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yectos\almamod\src\"/>
    </mc:Choice>
  </mc:AlternateContent>
  <xr:revisionPtr revIDLastSave="0" documentId="13_ncr:1_{5A38B922-A178-4A67-A261-57D3B53793CC}" xr6:coauthVersionLast="47" xr6:coauthVersionMax="47" xr10:uidLastSave="{00000000-0000-0000-0000-000000000000}"/>
  <bookViews>
    <workbookView xWindow="-108" yWindow="-108" windowWidth="23256" windowHeight="12456" tabRatio="680" firstSheet="7" activeTab="10" xr2:uid="{54E3BEEB-EE5C-4229-B462-2C608AD44740}"/>
  </bookViews>
  <sheets>
    <sheet name="ALQUILER" sheetId="10" r:id="rId1"/>
    <sheet name="VENTA" sheetId="7" r:id="rId2"/>
    <sheet name="VALORES" sheetId="8" r:id="rId3"/>
    <sheet name="MATRIZ" sheetId="1" r:id="rId4"/>
    <sheet name="INDUSTRIAL" sheetId="13" r:id="rId5"/>
    <sheet name="CABAÑERO" sheetId="11" r:id="rId6"/>
    <sheet name="MICASITA" sheetId="12" r:id="rId7"/>
    <sheet name="ABERTURAS" sheetId="3" r:id="rId8"/>
    <sheet name="MOBILIARIO" sheetId="5" r:id="rId9"/>
    <sheet name="COMPONENTES" sheetId="14" r:id="rId10"/>
    <sheet name="CONFIGURACION MODULOS " sheetId="15" r:id="rId11"/>
  </sheets>
  <definedNames>
    <definedName name="_xlnm.Print_Area" localSheetId="0">ALQUILER!$A$1:$G$109</definedName>
    <definedName name="_xlnm.Print_Area" localSheetId="1">VENTA!$A$1:$G$109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3" i="15" l="1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602" i="15"/>
  <c r="E601" i="15"/>
  <c r="E600" i="15"/>
  <c r="E599" i="15"/>
  <c r="E598" i="15"/>
  <c r="E597" i="15"/>
  <c r="E596" i="15"/>
  <c r="E595" i="15"/>
  <c r="E594" i="15"/>
  <c r="E593" i="15"/>
  <c r="E592" i="15"/>
  <c r="E591" i="15"/>
  <c r="E590" i="15"/>
  <c r="E589" i="15"/>
  <c r="E588" i="15"/>
  <c r="E587" i="15"/>
  <c r="E586" i="15"/>
  <c r="E585" i="15"/>
  <c r="E584" i="15"/>
  <c r="E583" i="15"/>
  <c r="E582" i="15"/>
  <c r="E581" i="15"/>
  <c r="E580" i="15"/>
  <c r="E579" i="15"/>
  <c r="E578" i="15"/>
  <c r="E577" i="15"/>
  <c r="E576" i="15"/>
  <c r="E575" i="15"/>
  <c r="E574" i="15"/>
  <c r="E573" i="15"/>
  <c r="E572" i="15"/>
  <c r="E571" i="15"/>
  <c r="E570" i="15"/>
  <c r="E569" i="15"/>
  <c r="E568" i="15"/>
  <c r="E567" i="15"/>
  <c r="E566" i="15"/>
  <c r="E565" i="15"/>
  <c r="E564" i="15"/>
  <c r="E563" i="15"/>
  <c r="E562" i="15"/>
  <c r="E561" i="15"/>
  <c r="E560" i="15"/>
  <c r="E559" i="15"/>
  <c r="E558" i="15"/>
  <c r="E557" i="15"/>
  <c r="E556" i="15"/>
  <c r="E555" i="15"/>
  <c r="E554" i="15"/>
  <c r="E553" i="15"/>
  <c r="E552" i="15"/>
  <c r="E551" i="15"/>
  <c r="E550" i="15"/>
  <c r="E549" i="15"/>
  <c r="E548" i="15"/>
  <c r="E547" i="15"/>
  <c r="E546" i="15"/>
  <c r="E545" i="15"/>
  <c r="E544" i="15"/>
  <c r="E543" i="15"/>
  <c r="E542" i="15"/>
  <c r="E541" i="15"/>
  <c r="E540" i="15"/>
  <c r="E539" i="15"/>
  <c r="E538" i="15"/>
  <c r="E537" i="15"/>
  <c r="E536" i="15"/>
  <c r="E535" i="15"/>
  <c r="E534" i="15"/>
  <c r="E533" i="15"/>
  <c r="E532" i="15"/>
  <c r="E531" i="15"/>
  <c r="E530" i="15"/>
  <c r="E529" i="15"/>
  <c r="E528" i="15"/>
  <c r="E527" i="15"/>
  <c r="E526" i="15"/>
  <c r="E525" i="15"/>
  <c r="E524" i="15"/>
  <c r="E523" i="15"/>
  <c r="E522" i="15"/>
  <c r="E521" i="15"/>
  <c r="E520" i="15"/>
  <c r="E519" i="15"/>
  <c r="E518" i="15"/>
  <c r="E517" i="15"/>
  <c r="E516" i="15"/>
  <c r="E515" i="15"/>
  <c r="E514" i="15"/>
  <c r="E513" i="15"/>
  <c r="E512" i="15"/>
  <c r="E511" i="15"/>
  <c r="E510" i="15"/>
  <c r="E509" i="15"/>
  <c r="E508" i="15"/>
  <c r="E507" i="15"/>
  <c r="E506" i="15"/>
  <c r="E505" i="15"/>
  <c r="E504" i="15"/>
  <c r="E503" i="15"/>
  <c r="E502" i="15"/>
  <c r="E501" i="15"/>
  <c r="E500" i="15"/>
  <c r="E499" i="15"/>
  <c r="E498" i="15"/>
  <c r="E497" i="15"/>
  <c r="E496" i="15"/>
  <c r="E495" i="15"/>
  <c r="E494" i="15"/>
  <c r="E493" i="15"/>
  <c r="E492" i="15"/>
  <c r="E491" i="15"/>
  <c r="E490" i="15"/>
  <c r="E489" i="15"/>
  <c r="E488" i="15"/>
  <c r="E487" i="15"/>
  <c r="E486" i="15"/>
  <c r="E485" i="15"/>
  <c r="E484" i="15"/>
  <c r="E483" i="15"/>
  <c r="E482" i="15"/>
  <c r="E481" i="15"/>
  <c r="E480" i="15"/>
  <c r="E479" i="15"/>
  <c r="E478" i="15"/>
  <c r="E477" i="15"/>
  <c r="E476" i="15"/>
  <c r="E475" i="15"/>
  <c r="E474" i="15"/>
  <c r="E473" i="15"/>
  <c r="E472" i="15"/>
  <c r="E471" i="15"/>
  <c r="E470" i="15"/>
  <c r="E469" i="15"/>
  <c r="E468" i="15"/>
  <c r="E467" i="15"/>
  <c r="E466" i="15"/>
  <c r="E465" i="15"/>
  <c r="E464" i="15"/>
  <c r="E463" i="15"/>
  <c r="E462" i="15"/>
  <c r="E461" i="15"/>
  <c r="E460" i="15"/>
  <c r="E459" i="15"/>
  <c r="E458" i="15"/>
  <c r="E457" i="15"/>
  <c r="E456" i="15"/>
  <c r="E455" i="15"/>
  <c r="E454" i="15"/>
  <c r="E453" i="15"/>
  <c r="E452" i="15"/>
  <c r="E451" i="15"/>
  <c r="E450" i="15"/>
  <c r="E449" i="15"/>
  <c r="E448" i="15"/>
  <c r="E447" i="15"/>
  <c r="E446" i="15"/>
  <c r="E445" i="15"/>
  <c r="E444" i="15"/>
  <c r="E443" i="15"/>
  <c r="E442" i="15"/>
  <c r="E441" i="15"/>
  <c r="E440" i="15"/>
  <c r="E439" i="15"/>
  <c r="E438" i="15"/>
  <c r="E437" i="15"/>
  <c r="E436" i="15"/>
  <c r="E435" i="15"/>
  <c r="E434" i="15"/>
  <c r="E433" i="15"/>
  <c r="E432" i="15"/>
  <c r="E431" i="15"/>
  <c r="E430" i="15"/>
  <c r="E429" i="15"/>
  <c r="E428" i="15"/>
  <c r="E427" i="15"/>
  <c r="E426" i="15"/>
  <c r="E425" i="15"/>
  <c r="E424" i="15"/>
  <c r="E423" i="15"/>
  <c r="E422" i="15"/>
  <c r="E421" i="15"/>
  <c r="E420" i="15"/>
  <c r="E419" i="15"/>
  <c r="E418" i="15"/>
  <c r="E417" i="15"/>
  <c r="E416" i="15"/>
  <c r="E415" i="15"/>
  <c r="E414" i="15"/>
  <c r="E413" i="15"/>
  <c r="E412" i="15"/>
  <c r="E411" i="15"/>
  <c r="E410" i="15"/>
  <c r="E409" i="15"/>
  <c r="E408" i="15"/>
  <c r="E407" i="15"/>
  <c r="E406" i="15"/>
  <c r="E405" i="15"/>
  <c r="E404" i="15"/>
  <c r="E403" i="15"/>
  <c r="E402" i="15"/>
  <c r="E401" i="15"/>
  <c r="E400" i="15"/>
  <c r="E399" i="15"/>
  <c r="E398" i="15"/>
  <c r="E397" i="15"/>
  <c r="E396" i="15"/>
  <c r="E395" i="15"/>
  <c r="E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E376" i="15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E363" i="15"/>
  <c r="E362" i="15"/>
  <c r="E361" i="15"/>
  <c r="E360" i="15"/>
  <c r="E359" i="15"/>
  <c r="E358" i="15"/>
  <c r="E357" i="15"/>
  <c r="E356" i="15"/>
  <c r="E355" i="15"/>
  <c r="E354" i="15"/>
  <c r="E353" i="15"/>
  <c r="E352" i="15"/>
  <c r="E351" i="15"/>
  <c r="E350" i="15"/>
  <c r="E349" i="15"/>
  <c r="E348" i="15"/>
  <c r="E347" i="15"/>
  <c r="E346" i="15"/>
  <c r="E345" i="15"/>
  <c r="E344" i="15"/>
  <c r="E343" i="15"/>
  <c r="E342" i="15"/>
  <c r="E341" i="15"/>
  <c r="E340" i="15"/>
  <c r="E339" i="15"/>
  <c r="E338" i="15"/>
  <c r="E337" i="15"/>
  <c r="E336" i="15"/>
  <c r="E335" i="15"/>
  <c r="E334" i="15"/>
  <c r="E333" i="15"/>
  <c r="E332" i="15"/>
  <c r="E331" i="15"/>
  <c r="E330" i="15"/>
  <c r="E329" i="15"/>
  <c r="E328" i="15"/>
  <c r="E327" i="15"/>
  <c r="E326" i="15"/>
  <c r="E325" i="15"/>
  <c r="E324" i="15"/>
  <c r="E323" i="15"/>
  <c r="E322" i="15"/>
  <c r="E321" i="15"/>
  <c r="E320" i="15"/>
  <c r="E319" i="15"/>
  <c r="E318" i="15"/>
  <c r="E317" i="15"/>
  <c r="E316" i="15"/>
  <c r="E315" i="15"/>
  <c r="E314" i="15"/>
  <c r="E313" i="15"/>
  <c r="E312" i="15"/>
  <c r="E311" i="15"/>
  <c r="E310" i="15"/>
  <c r="E309" i="15"/>
  <c r="E308" i="15"/>
  <c r="E307" i="15"/>
  <c r="E306" i="15"/>
  <c r="E305" i="15"/>
  <c r="E304" i="15"/>
  <c r="E303" i="15"/>
  <c r="E302" i="15"/>
  <c r="E301" i="15"/>
  <c r="E300" i="15"/>
  <c r="E299" i="15"/>
  <c r="E298" i="15"/>
  <c r="E297" i="15"/>
  <c r="E296" i="15"/>
  <c r="E295" i="15"/>
  <c r="E294" i="15"/>
  <c r="E293" i="15"/>
  <c r="E292" i="15"/>
  <c r="E291" i="15"/>
  <c r="E290" i="15"/>
  <c r="E289" i="15"/>
  <c r="E288" i="15"/>
  <c r="E287" i="15"/>
  <c r="E286" i="15"/>
  <c r="E285" i="15"/>
  <c r="E284" i="15"/>
  <c r="E283" i="15"/>
  <c r="E282" i="15"/>
  <c r="E281" i="15"/>
  <c r="E280" i="15"/>
  <c r="E279" i="15"/>
  <c r="E278" i="15"/>
  <c r="E277" i="15"/>
  <c r="E276" i="15"/>
  <c r="E275" i="15"/>
  <c r="E274" i="15"/>
  <c r="E273" i="15"/>
  <c r="E272" i="15"/>
  <c r="E271" i="15"/>
  <c r="E270" i="15"/>
  <c r="E269" i="15"/>
  <c r="E268" i="15"/>
  <c r="E267" i="15"/>
  <c r="E266" i="15"/>
  <c r="E265" i="15"/>
  <c r="E264" i="15"/>
  <c r="E263" i="15"/>
  <c r="E262" i="15"/>
  <c r="E261" i="15"/>
  <c r="E260" i="15"/>
  <c r="E259" i="15"/>
  <c r="E258" i="15"/>
  <c r="E257" i="15"/>
  <c r="E256" i="15"/>
  <c r="E255" i="15"/>
  <c r="E254" i="15"/>
  <c r="E253" i="15"/>
  <c r="E252" i="15"/>
  <c r="E251" i="15"/>
  <c r="E250" i="15"/>
  <c r="E249" i="15"/>
  <c r="E248" i="15"/>
  <c r="E247" i="15"/>
  <c r="E246" i="15"/>
  <c r="E245" i="15"/>
  <c r="E244" i="15"/>
  <c r="E243" i="15"/>
  <c r="E242" i="15"/>
  <c r="E241" i="15"/>
  <c r="E240" i="15"/>
  <c r="E239" i="15"/>
  <c r="E238" i="15"/>
  <c r="E237" i="15"/>
  <c r="E236" i="15"/>
  <c r="E235" i="15"/>
  <c r="E234" i="15"/>
  <c r="E233" i="15"/>
  <c r="E232" i="15"/>
  <c r="E231" i="15"/>
  <c r="E230" i="15"/>
  <c r="E229" i="15"/>
  <c r="E228" i="15"/>
  <c r="E227" i="15"/>
  <c r="E226" i="15"/>
  <c r="E225" i="15"/>
  <c r="E224" i="15"/>
  <c r="E223" i="15"/>
  <c r="E222" i="15"/>
  <c r="E221" i="15"/>
  <c r="E220" i="15"/>
  <c r="E219" i="15"/>
  <c r="E218" i="15"/>
  <c r="E217" i="15"/>
  <c r="E216" i="15"/>
  <c r="E215" i="15"/>
  <c r="E214" i="15"/>
  <c r="E213" i="15"/>
  <c r="E212" i="15"/>
  <c r="E211" i="15"/>
  <c r="E210" i="15"/>
  <c r="E209" i="15"/>
  <c r="E208" i="15"/>
  <c r="E207" i="15"/>
  <c r="E206" i="15"/>
  <c r="E205" i="15"/>
  <c r="E204" i="15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I368" i="13"/>
  <c r="I369" i="13"/>
  <c r="I370" i="13"/>
  <c r="I371" i="13"/>
  <c r="I309" i="13"/>
  <c r="I242" i="11"/>
  <c r="F42" i="10"/>
  <c r="I89" i="13"/>
  <c r="T480" i="13"/>
  <c r="I480" i="13"/>
  <c r="T479" i="13"/>
  <c r="I479" i="13"/>
  <c r="T478" i="13"/>
  <c r="I478" i="13"/>
  <c r="T477" i="13"/>
  <c r="I477" i="13"/>
  <c r="T474" i="13"/>
  <c r="I474" i="13"/>
  <c r="T473" i="13"/>
  <c r="I473" i="13"/>
  <c r="T472" i="13"/>
  <c r="I472" i="13"/>
  <c r="T471" i="13"/>
  <c r="I471" i="13"/>
  <c r="T470" i="13"/>
  <c r="I470" i="13"/>
  <c r="T469" i="13"/>
  <c r="I469" i="13"/>
  <c r="T468" i="13"/>
  <c r="I468" i="13"/>
  <c r="T467" i="13"/>
  <c r="I467" i="13"/>
  <c r="T466" i="13"/>
  <c r="I466" i="13"/>
  <c r="T465" i="13"/>
  <c r="I465" i="13"/>
  <c r="T464" i="13"/>
  <c r="I464" i="13"/>
  <c r="T460" i="13"/>
  <c r="I460" i="13"/>
  <c r="T459" i="13"/>
  <c r="I459" i="13"/>
  <c r="T458" i="13"/>
  <c r="I458" i="13"/>
  <c r="T457" i="13"/>
  <c r="I457" i="13"/>
  <c r="T456" i="13"/>
  <c r="I456" i="13"/>
  <c r="T455" i="13"/>
  <c r="I455" i="13"/>
  <c r="T454" i="13"/>
  <c r="I454" i="13"/>
  <c r="T453" i="13"/>
  <c r="I453" i="13"/>
  <c r="T452" i="13"/>
  <c r="I452" i="13"/>
  <c r="T451" i="13"/>
  <c r="I451" i="13"/>
  <c r="T450" i="13"/>
  <c r="I450" i="13"/>
  <c r="T449" i="13"/>
  <c r="I449" i="13"/>
  <c r="T448" i="13"/>
  <c r="I448" i="13"/>
  <c r="T447" i="13"/>
  <c r="I447" i="13"/>
  <c r="T446" i="13"/>
  <c r="I446" i="13"/>
  <c r="T445" i="13"/>
  <c r="I445" i="13"/>
  <c r="T444" i="13"/>
  <c r="I444" i="13"/>
  <c r="T441" i="13"/>
  <c r="I441" i="13"/>
  <c r="T440" i="13"/>
  <c r="I440" i="13"/>
  <c r="T439" i="13"/>
  <c r="I439" i="13"/>
  <c r="T438" i="13"/>
  <c r="I438" i="13"/>
  <c r="T437" i="13"/>
  <c r="I437" i="13"/>
  <c r="T436" i="13"/>
  <c r="I436" i="13"/>
  <c r="T435" i="13"/>
  <c r="I435" i="13"/>
  <c r="T434" i="13"/>
  <c r="I434" i="13"/>
  <c r="T433" i="13"/>
  <c r="I433" i="13"/>
  <c r="T432" i="13"/>
  <c r="I432" i="13"/>
  <c r="T431" i="13"/>
  <c r="I431" i="13"/>
  <c r="T430" i="13"/>
  <c r="I430" i="13"/>
  <c r="S427" i="13"/>
  <c r="T427" i="13" s="1"/>
  <c r="H427" i="13"/>
  <c r="I427" i="13" s="1"/>
  <c r="S426" i="13"/>
  <c r="T426" i="13" s="1"/>
  <c r="H426" i="13"/>
  <c r="I426" i="13" s="1"/>
  <c r="S425" i="13"/>
  <c r="T425" i="13" s="1"/>
  <c r="H425" i="13"/>
  <c r="I425" i="13" s="1"/>
  <c r="S424" i="13"/>
  <c r="T424" i="13" s="1"/>
  <c r="H424" i="13"/>
  <c r="I424" i="13" s="1"/>
  <c r="S423" i="13"/>
  <c r="T423" i="13" s="1"/>
  <c r="H423" i="13"/>
  <c r="I423" i="13" s="1"/>
  <c r="S422" i="13"/>
  <c r="T422" i="13" s="1"/>
  <c r="I422" i="13"/>
  <c r="H422" i="13"/>
  <c r="S421" i="13"/>
  <c r="T421" i="13" s="1"/>
  <c r="H421" i="13"/>
  <c r="I421" i="13" s="1"/>
  <c r="S420" i="13"/>
  <c r="T420" i="13" s="1"/>
  <c r="H420" i="13"/>
  <c r="I420" i="13" s="1"/>
  <c r="S419" i="13"/>
  <c r="T419" i="13" s="1"/>
  <c r="H419" i="13"/>
  <c r="I419" i="13" s="1"/>
  <c r="T418" i="13"/>
  <c r="S418" i="13"/>
  <c r="H418" i="13"/>
  <c r="I418" i="13" s="1"/>
  <c r="S417" i="13"/>
  <c r="T417" i="13" s="1"/>
  <c r="H417" i="13"/>
  <c r="I417" i="13" s="1"/>
  <c r="S416" i="13"/>
  <c r="T416" i="13" s="1"/>
  <c r="I416" i="13"/>
  <c r="H416" i="13"/>
  <c r="T413" i="13"/>
  <c r="I413" i="13"/>
  <c r="T412" i="13"/>
  <c r="I412" i="13"/>
  <c r="T411" i="13"/>
  <c r="I411" i="13"/>
  <c r="T410" i="13"/>
  <c r="I410" i="13"/>
  <c r="T409" i="13"/>
  <c r="I409" i="13"/>
  <c r="T407" i="13"/>
  <c r="I407" i="13"/>
  <c r="T406" i="13"/>
  <c r="I406" i="13"/>
  <c r="S405" i="13"/>
  <c r="T405" i="13" s="1"/>
  <c r="H405" i="13"/>
  <c r="I405" i="13" s="1"/>
  <c r="S404" i="13"/>
  <c r="T404" i="13" s="1"/>
  <c r="I404" i="13"/>
  <c r="H404" i="13"/>
  <c r="S403" i="13"/>
  <c r="T403" i="13" s="1"/>
  <c r="H403" i="13"/>
  <c r="I403" i="13" s="1"/>
  <c r="S402" i="13"/>
  <c r="T402" i="13" s="1"/>
  <c r="H402" i="13"/>
  <c r="I402" i="13" s="1"/>
  <c r="T399" i="13"/>
  <c r="I399" i="13"/>
  <c r="T398" i="13"/>
  <c r="I398" i="13"/>
  <c r="S397" i="13"/>
  <c r="T397" i="13" s="1"/>
  <c r="H397" i="13"/>
  <c r="I397" i="13" s="1"/>
  <c r="S396" i="13"/>
  <c r="T396" i="13" s="1"/>
  <c r="H396" i="13"/>
  <c r="I396" i="13" s="1"/>
  <c r="S395" i="13"/>
  <c r="T395" i="13" s="1"/>
  <c r="H395" i="13"/>
  <c r="I395" i="13" s="1"/>
  <c r="S394" i="13"/>
  <c r="T394" i="13" s="1"/>
  <c r="H394" i="13"/>
  <c r="I394" i="13" s="1"/>
  <c r="S393" i="13"/>
  <c r="T393" i="13" s="1"/>
  <c r="H393" i="13"/>
  <c r="I393" i="13" s="1"/>
  <c r="S392" i="13"/>
  <c r="T392" i="13" s="1"/>
  <c r="I392" i="13"/>
  <c r="H392" i="13"/>
  <c r="S391" i="13"/>
  <c r="T391" i="13" s="1"/>
  <c r="H391" i="13"/>
  <c r="I391" i="13" s="1"/>
  <c r="S390" i="13"/>
  <c r="T390" i="13" s="1"/>
  <c r="H390" i="13"/>
  <c r="I390" i="13" s="1"/>
  <c r="S389" i="13"/>
  <c r="T389" i="13" s="1"/>
  <c r="H389" i="13"/>
  <c r="I389" i="13" s="1"/>
  <c r="S388" i="13"/>
  <c r="T388" i="13" s="1"/>
  <c r="H388" i="13"/>
  <c r="I388" i="13" s="1"/>
  <c r="T387" i="13"/>
  <c r="S387" i="13"/>
  <c r="H387" i="13"/>
  <c r="I387" i="13" s="1"/>
  <c r="S386" i="13"/>
  <c r="T386" i="13" s="1"/>
  <c r="H386" i="13"/>
  <c r="I386" i="13" s="1"/>
  <c r="S385" i="13"/>
  <c r="T385" i="13" s="1"/>
  <c r="H385" i="13"/>
  <c r="I385" i="13" s="1"/>
  <c r="T384" i="13"/>
  <c r="I384" i="13"/>
  <c r="S383" i="13"/>
  <c r="T383" i="13" s="1"/>
  <c r="H383" i="13"/>
  <c r="I383" i="13" s="1"/>
  <c r="S382" i="13"/>
  <c r="T382" i="13" s="1"/>
  <c r="H382" i="13"/>
  <c r="I382" i="13" s="1"/>
  <c r="S381" i="13"/>
  <c r="H381" i="13"/>
  <c r="T380" i="13"/>
  <c r="S380" i="13"/>
  <c r="H380" i="13"/>
  <c r="I380" i="13" s="1"/>
  <c r="T371" i="13"/>
  <c r="T370" i="13"/>
  <c r="T369" i="13"/>
  <c r="T368" i="13"/>
  <c r="T365" i="13"/>
  <c r="I365" i="13"/>
  <c r="T364" i="13"/>
  <c r="I364" i="13"/>
  <c r="T363" i="13"/>
  <c r="I363" i="13"/>
  <c r="T362" i="13"/>
  <c r="I362" i="13"/>
  <c r="T361" i="13"/>
  <c r="I361" i="13"/>
  <c r="T360" i="13"/>
  <c r="I360" i="13"/>
  <c r="T359" i="13"/>
  <c r="I359" i="13"/>
  <c r="T358" i="13"/>
  <c r="I358" i="13"/>
  <c r="T357" i="13"/>
  <c r="I357" i="13"/>
  <c r="T356" i="13"/>
  <c r="I356" i="13"/>
  <c r="T355" i="13"/>
  <c r="I355" i="13"/>
  <c r="T351" i="13"/>
  <c r="I351" i="13"/>
  <c r="T350" i="13"/>
  <c r="I350" i="13"/>
  <c r="T349" i="13"/>
  <c r="I349" i="13"/>
  <c r="T348" i="13"/>
  <c r="I348" i="13"/>
  <c r="T347" i="13"/>
  <c r="I347" i="13"/>
  <c r="T346" i="13"/>
  <c r="I346" i="13"/>
  <c r="T345" i="13"/>
  <c r="I345" i="13"/>
  <c r="T344" i="13"/>
  <c r="I344" i="13"/>
  <c r="T343" i="13"/>
  <c r="I343" i="13"/>
  <c r="T342" i="13"/>
  <c r="I342" i="13"/>
  <c r="T341" i="13"/>
  <c r="I341" i="13"/>
  <c r="T340" i="13"/>
  <c r="I340" i="13"/>
  <c r="T339" i="13"/>
  <c r="I339" i="13"/>
  <c r="T338" i="13"/>
  <c r="I338" i="13"/>
  <c r="T337" i="13"/>
  <c r="I337" i="13"/>
  <c r="T336" i="13"/>
  <c r="I336" i="13"/>
  <c r="T335" i="13"/>
  <c r="I335" i="13"/>
  <c r="T332" i="13"/>
  <c r="I332" i="13"/>
  <c r="T331" i="13"/>
  <c r="I331" i="13"/>
  <c r="T330" i="13"/>
  <c r="I330" i="13"/>
  <c r="T329" i="13"/>
  <c r="I329" i="13"/>
  <c r="T328" i="13"/>
  <c r="I328" i="13"/>
  <c r="T327" i="13"/>
  <c r="I327" i="13"/>
  <c r="T326" i="13"/>
  <c r="I326" i="13"/>
  <c r="T325" i="13"/>
  <c r="I325" i="13"/>
  <c r="T324" i="13"/>
  <c r="I324" i="13"/>
  <c r="T323" i="13"/>
  <c r="I323" i="13"/>
  <c r="T322" i="13"/>
  <c r="I322" i="13"/>
  <c r="T321" i="13"/>
  <c r="I321" i="13"/>
  <c r="S318" i="13"/>
  <c r="T318" i="13" s="1"/>
  <c r="I318" i="13"/>
  <c r="H318" i="13"/>
  <c r="S317" i="13"/>
  <c r="T317" i="13" s="1"/>
  <c r="H317" i="13"/>
  <c r="I317" i="13" s="1"/>
  <c r="S316" i="13"/>
  <c r="T316" i="13" s="1"/>
  <c r="H316" i="13"/>
  <c r="I316" i="13" s="1"/>
  <c r="S315" i="13"/>
  <c r="T315" i="13" s="1"/>
  <c r="H315" i="13"/>
  <c r="I315" i="13" s="1"/>
  <c r="S314" i="13"/>
  <c r="T314" i="13" s="1"/>
  <c r="H314" i="13"/>
  <c r="I314" i="13" s="1"/>
  <c r="S313" i="13"/>
  <c r="T313" i="13" s="1"/>
  <c r="H313" i="13"/>
  <c r="I313" i="13" s="1"/>
  <c r="T312" i="13"/>
  <c r="S312" i="13"/>
  <c r="H312" i="13"/>
  <c r="I312" i="13" s="1"/>
  <c r="S311" i="13"/>
  <c r="T311" i="13" s="1"/>
  <c r="H311" i="13"/>
  <c r="I311" i="13" s="1"/>
  <c r="S310" i="13"/>
  <c r="T310" i="13" s="1"/>
  <c r="H310" i="13"/>
  <c r="I310" i="13" s="1"/>
  <c r="S308" i="13"/>
  <c r="T308" i="13" s="1"/>
  <c r="H308" i="13"/>
  <c r="I308" i="13" s="1"/>
  <c r="S307" i="13"/>
  <c r="T307" i="13" s="1"/>
  <c r="H307" i="13"/>
  <c r="I307" i="13" s="1"/>
  <c r="S306" i="13"/>
  <c r="T306" i="13" s="1"/>
  <c r="H306" i="13"/>
  <c r="I306" i="13" s="1"/>
  <c r="T303" i="13"/>
  <c r="I303" i="13"/>
  <c r="T302" i="13"/>
  <c r="I302" i="13"/>
  <c r="T301" i="13"/>
  <c r="I301" i="13"/>
  <c r="T300" i="13"/>
  <c r="I300" i="13"/>
  <c r="T299" i="13"/>
  <c r="I299" i="13"/>
  <c r="T297" i="13"/>
  <c r="I297" i="13"/>
  <c r="T296" i="13"/>
  <c r="I296" i="13"/>
  <c r="T295" i="13"/>
  <c r="S295" i="13"/>
  <c r="H295" i="13"/>
  <c r="I295" i="13" s="1"/>
  <c r="S294" i="13"/>
  <c r="T294" i="13" s="1"/>
  <c r="I294" i="13"/>
  <c r="H294" i="13"/>
  <c r="T293" i="13"/>
  <c r="S293" i="13"/>
  <c r="H293" i="13"/>
  <c r="I293" i="13" s="1"/>
  <c r="S292" i="13"/>
  <c r="T292" i="13" s="1"/>
  <c r="H292" i="13"/>
  <c r="I292" i="13" s="1"/>
  <c r="T289" i="13"/>
  <c r="I289" i="13"/>
  <c r="T288" i="13"/>
  <c r="I288" i="13"/>
  <c r="S287" i="13"/>
  <c r="T287" i="13" s="1"/>
  <c r="I287" i="13"/>
  <c r="H287" i="13"/>
  <c r="S286" i="13"/>
  <c r="T286" i="13" s="1"/>
  <c r="H286" i="13"/>
  <c r="I286" i="13" s="1"/>
  <c r="S285" i="13"/>
  <c r="T285" i="13" s="1"/>
  <c r="H285" i="13"/>
  <c r="I285" i="13" s="1"/>
  <c r="S284" i="13"/>
  <c r="T284" i="13" s="1"/>
  <c r="H284" i="13"/>
  <c r="I284" i="13" s="1"/>
  <c r="S283" i="13"/>
  <c r="T283" i="13" s="1"/>
  <c r="I283" i="13"/>
  <c r="H283" i="13"/>
  <c r="S282" i="13"/>
  <c r="T282" i="13" s="1"/>
  <c r="H282" i="13"/>
  <c r="I282" i="13" s="1"/>
  <c r="T281" i="13"/>
  <c r="S281" i="13"/>
  <c r="H281" i="13"/>
  <c r="I281" i="13" s="1"/>
  <c r="S280" i="13"/>
  <c r="T280" i="13" s="1"/>
  <c r="H280" i="13"/>
  <c r="I280" i="13" s="1"/>
  <c r="S279" i="13"/>
  <c r="T279" i="13" s="1"/>
  <c r="H279" i="13"/>
  <c r="I279" i="13" s="1"/>
  <c r="T278" i="13"/>
  <c r="S278" i="13"/>
  <c r="H278" i="13"/>
  <c r="I278" i="13" s="1"/>
  <c r="S277" i="13"/>
  <c r="T277" i="13" s="1"/>
  <c r="H277" i="13"/>
  <c r="I277" i="13" s="1"/>
  <c r="S276" i="13"/>
  <c r="T276" i="13" s="1"/>
  <c r="H276" i="13"/>
  <c r="I276" i="13" s="1"/>
  <c r="S275" i="13"/>
  <c r="T275" i="13" s="1"/>
  <c r="H275" i="13"/>
  <c r="I275" i="13" s="1"/>
  <c r="T274" i="13"/>
  <c r="I274" i="13"/>
  <c r="S273" i="13"/>
  <c r="T273" i="13" s="1"/>
  <c r="I273" i="13"/>
  <c r="H273" i="13"/>
  <c r="S272" i="13"/>
  <c r="T272" i="13" s="1"/>
  <c r="I272" i="13"/>
  <c r="H272" i="13"/>
  <c r="S271" i="13"/>
  <c r="H271" i="13"/>
  <c r="S270" i="13"/>
  <c r="T270" i="13" s="1"/>
  <c r="H270" i="13"/>
  <c r="I270" i="13" s="1"/>
  <c r="T260" i="13"/>
  <c r="I260" i="13"/>
  <c r="T259" i="13"/>
  <c r="I259" i="13"/>
  <c r="T258" i="13"/>
  <c r="I258" i="13"/>
  <c r="T257" i="13"/>
  <c r="U259" i="13" s="1"/>
  <c r="I257" i="13"/>
  <c r="T254" i="13"/>
  <c r="I254" i="13"/>
  <c r="T253" i="13"/>
  <c r="I253" i="13"/>
  <c r="T252" i="13"/>
  <c r="I252" i="13"/>
  <c r="T251" i="13"/>
  <c r="I251" i="13"/>
  <c r="T250" i="13"/>
  <c r="I250" i="13"/>
  <c r="T249" i="13"/>
  <c r="I249" i="13"/>
  <c r="T248" i="13"/>
  <c r="I248" i="13"/>
  <c r="T247" i="13"/>
  <c r="I247" i="13"/>
  <c r="T246" i="13"/>
  <c r="I246" i="13"/>
  <c r="T245" i="13"/>
  <c r="I245" i="13"/>
  <c r="T244" i="13"/>
  <c r="I244" i="13"/>
  <c r="T240" i="13"/>
  <c r="I240" i="13"/>
  <c r="T239" i="13"/>
  <c r="I239" i="13"/>
  <c r="T238" i="13"/>
  <c r="I238" i="13"/>
  <c r="T237" i="13"/>
  <c r="I237" i="13"/>
  <c r="T236" i="13"/>
  <c r="I236" i="13"/>
  <c r="T235" i="13"/>
  <c r="I235" i="13"/>
  <c r="T234" i="13"/>
  <c r="I234" i="13"/>
  <c r="T233" i="13"/>
  <c r="I233" i="13"/>
  <c r="T232" i="13"/>
  <c r="I232" i="13"/>
  <c r="T231" i="13"/>
  <c r="I231" i="13"/>
  <c r="T230" i="13"/>
  <c r="I230" i="13"/>
  <c r="T229" i="13"/>
  <c r="I229" i="13"/>
  <c r="T228" i="13"/>
  <c r="I228" i="13"/>
  <c r="T227" i="13"/>
  <c r="I227" i="13"/>
  <c r="T226" i="13"/>
  <c r="I226" i="13"/>
  <c r="T225" i="13"/>
  <c r="I225" i="13"/>
  <c r="T224" i="13"/>
  <c r="I224" i="13"/>
  <c r="T221" i="13"/>
  <c r="I221" i="13"/>
  <c r="T220" i="13"/>
  <c r="I220" i="13"/>
  <c r="T219" i="13"/>
  <c r="I219" i="13"/>
  <c r="T218" i="13"/>
  <c r="I218" i="13"/>
  <c r="T217" i="13"/>
  <c r="I217" i="13"/>
  <c r="T216" i="13"/>
  <c r="I216" i="13"/>
  <c r="T215" i="13"/>
  <c r="I215" i="13"/>
  <c r="T214" i="13"/>
  <c r="I214" i="13"/>
  <c r="T213" i="13"/>
  <c r="I213" i="13"/>
  <c r="T212" i="13"/>
  <c r="I212" i="13"/>
  <c r="T211" i="13"/>
  <c r="I211" i="13"/>
  <c r="T210" i="13"/>
  <c r="I210" i="13"/>
  <c r="S207" i="13"/>
  <c r="T207" i="13" s="1"/>
  <c r="H207" i="13"/>
  <c r="I207" i="13" s="1"/>
  <c r="S206" i="13"/>
  <c r="T206" i="13" s="1"/>
  <c r="H206" i="13"/>
  <c r="I206" i="13" s="1"/>
  <c r="S205" i="13"/>
  <c r="T205" i="13" s="1"/>
  <c r="H205" i="13"/>
  <c r="I205" i="13" s="1"/>
  <c r="S204" i="13"/>
  <c r="T204" i="13" s="1"/>
  <c r="H204" i="13"/>
  <c r="I204" i="13" s="1"/>
  <c r="S203" i="13"/>
  <c r="T203" i="13" s="1"/>
  <c r="I203" i="13"/>
  <c r="H203" i="13"/>
  <c r="S202" i="13"/>
  <c r="T202" i="13" s="1"/>
  <c r="H202" i="13"/>
  <c r="I202" i="13" s="1"/>
  <c r="S201" i="13"/>
  <c r="T201" i="13" s="1"/>
  <c r="H201" i="13"/>
  <c r="I201" i="13" s="1"/>
  <c r="T200" i="13"/>
  <c r="S200" i="13"/>
  <c r="H200" i="13"/>
  <c r="I200" i="13" s="1"/>
  <c r="S199" i="13"/>
  <c r="T199" i="13" s="1"/>
  <c r="H199" i="13"/>
  <c r="I199" i="13" s="1"/>
  <c r="S198" i="13"/>
  <c r="T198" i="13" s="1"/>
  <c r="H198" i="13"/>
  <c r="I198" i="13" s="1"/>
  <c r="S197" i="13"/>
  <c r="T197" i="13" s="1"/>
  <c r="H197" i="13"/>
  <c r="I197" i="13" s="1"/>
  <c r="T196" i="13"/>
  <c r="S196" i="13"/>
  <c r="H196" i="13"/>
  <c r="I196" i="13" s="1"/>
  <c r="T193" i="13"/>
  <c r="I193" i="13"/>
  <c r="T192" i="13"/>
  <c r="I192" i="13"/>
  <c r="T191" i="13"/>
  <c r="I191" i="13"/>
  <c r="T190" i="13"/>
  <c r="I190" i="13"/>
  <c r="T189" i="13"/>
  <c r="I189" i="13"/>
  <c r="T187" i="13"/>
  <c r="I187" i="13"/>
  <c r="T186" i="13"/>
  <c r="I186" i="13"/>
  <c r="S185" i="13"/>
  <c r="T185" i="13" s="1"/>
  <c r="H185" i="13"/>
  <c r="I185" i="13" s="1"/>
  <c r="S184" i="13"/>
  <c r="T184" i="13" s="1"/>
  <c r="H184" i="13"/>
  <c r="I184" i="13" s="1"/>
  <c r="S183" i="13"/>
  <c r="T183" i="13" s="1"/>
  <c r="H183" i="13"/>
  <c r="I183" i="13" s="1"/>
  <c r="T182" i="13"/>
  <c r="S182" i="13"/>
  <c r="H182" i="13"/>
  <c r="I182" i="13" s="1"/>
  <c r="T179" i="13"/>
  <c r="I179" i="13"/>
  <c r="T178" i="13"/>
  <c r="I178" i="13"/>
  <c r="S177" i="13"/>
  <c r="T177" i="13" s="1"/>
  <c r="H177" i="13"/>
  <c r="I177" i="13" s="1"/>
  <c r="S176" i="13"/>
  <c r="T176" i="13" s="1"/>
  <c r="H176" i="13"/>
  <c r="I176" i="13" s="1"/>
  <c r="S175" i="13"/>
  <c r="T175" i="13" s="1"/>
  <c r="H175" i="13"/>
  <c r="I175" i="13" s="1"/>
  <c r="S174" i="13"/>
  <c r="T174" i="13" s="1"/>
  <c r="I174" i="13"/>
  <c r="H174" i="13"/>
  <c r="S173" i="13"/>
  <c r="T173" i="13" s="1"/>
  <c r="H173" i="13"/>
  <c r="I173" i="13" s="1"/>
  <c r="S172" i="13"/>
  <c r="T172" i="13" s="1"/>
  <c r="I172" i="13"/>
  <c r="H172" i="13"/>
  <c r="S171" i="13"/>
  <c r="T171" i="13" s="1"/>
  <c r="H171" i="13"/>
  <c r="I171" i="13" s="1"/>
  <c r="S170" i="13"/>
  <c r="T170" i="13" s="1"/>
  <c r="H170" i="13"/>
  <c r="I170" i="13" s="1"/>
  <c r="S169" i="13"/>
  <c r="T169" i="13" s="1"/>
  <c r="H169" i="13"/>
  <c r="I169" i="13" s="1"/>
  <c r="S168" i="13"/>
  <c r="T168" i="13" s="1"/>
  <c r="H168" i="13"/>
  <c r="I168" i="13" s="1"/>
  <c r="S167" i="13"/>
  <c r="T167" i="13" s="1"/>
  <c r="I167" i="13"/>
  <c r="H167" i="13"/>
  <c r="S166" i="13"/>
  <c r="T166" i="13" s="1"/>
  <c r="I166" i="13"/>
  <c r="H166" i="13"/>
  <c r="S165" i="13"/>
  <c r="T165" i="13" s="1"/>
  <c r="H165" i="13"/>
  <c r="I165" i="13" s="1"/>
  <c r="T164" i="13"/>
  <c r="I164" i="13"/>
  <c r="S163" i="13"/>
  <c r="T163" i="13" s="1"/>
  <c r="H163" i="13"/>
  <c r="I163" i="13" s="1"/>
  <c r="S162" i="13"/>
  <c r="T162" i="13" s="1"/>
  <c r="I162" i="13"/>
  <c r="H162" i="13"/>
  <c r="S161" i="13"/>
  <c r="H161" i="13"/>
  <c r="S160" i="13"/>
  <c r="T160" i="13" s="1"/>
  <c r="H160" i="13"/>
  <c r="I160" i="13" s="1"/>
  <c r="T151" i="13"/>
  <c r="I151" i="13"/>
  <c r="T150" i="13"/>
  <c r="I150" i="13"/>
  <c r="T149" i="13"/>
  <c r="I149" i="13"/>
  <c r="T148" i="13"/>
  <c r="I148" i="13"/>
  <c r="T145" i="13"/>
  <c r="I145" i="13"/>
  <c r="T144" i="13"/>
  <c r="I144" i="13"/>
  <c r="T143" i="13"/>
  <c r="I143" i="13"/>
  <c r="T142" i="13"/>
  <c r="I142" i="13"/>
  <c r="T141" i="13"/>
  <c r="I141" i="13"/>
  <c r="T140" i="13"/>
  <c r="I140" i="13"/>
  <c r="T139" i="13"/>
  <c r="I139" i="13"/>
  <c r="T138" i="13"/>
  <c r="I138" i="13"/>
  <c r="T137" i="13"/>
  <c r="I137" i="13"/>
  <c r="T136" i="13"/>
  <c r="I136" i="13"/>
  <c r="T135" i="13"/>
  <c r="I135" i="13"/>
  <c r="T134" i="13"/>
  <c r="I134" i="13"/>
  <c r="T131" i="13"/>
  <c r="I131" i="13"/>
  <c r="T130" i="13"/>
  <c r="I130" i="13"/>
  <c r="T129" i="13"/>
  <c r="I129" i="13"/>
  <c r="T128" i="13"/>
  <c r="I128" i="13"/>
  <c r="T127" i="13"/>
  <c r="I127" i="13"/>
  <c r="T126" i="13"/>
  <c r="I126" i="13"/>
  <c r="T125" i="13"/>
  <c r="I125" i="13"/>
  <c r="T124" i="13"/>
  <c r="I124" i="13"/>
  <c r="T123" i="13"/>
  <c r="I123" i="13"/>
  <c r="T122" i="13"/>
  <c r="I122" i="13"/>
  <c r="T121" i="13"/>
  <c r="I121" i="13"/>
  <c r="T120" i="13"/>
  <c r="I120" i="13"/>
  <c r="T119" i="13"/>
  <c r="I119" i="13"/>
  <c r="T118" i="13"/>
  <c r="I118" i="13"/>
  <c r="T117" i="13"/>
  <c r="I117" i="13"/>
  <c r="T116" i="13"/>
  <c r="I116" i="13"/>
  <c r="T115" i="13"/>
  <c r="I115" i="13"/>
  <c r="T112" i="13"/>
  <c r="I112" i="13"/>
  <c r="T111" i="13"/>
  <c r="I111" i="13"/>
  <c r="T110" i="13"/>
  <c r="I110" i="13"/>
  <c r="T109" i="13"/>
  <c r="I109" i="13"/>
  <c r="T108" i="13"/>
  <c r="I108" i="13"/>
  <c r="T107" i="13"/>
  <c r="I107" i="13"/>
  <c r="T106" i="13"/>
  <c r="I106" i="13"/>
  <c r="T105" i="13"/>
  <c r="I105" i="13"/>
  <c r="T104" i="13"/>
  <c r="I104" i="13"/>
  <c r="T103" i="13"/>
  <c r="I103" i="13"/>
  <c r="T102" i="13"/>
  <c r="I102" i="13"/>
  <c r="T101" i="13"/>
  <c r="I101" i="13"/>
  <c r="S98" i="13"/>
  <c r="T98" i="13" s="1"/>
  <c r="H98" i="13"/>
  <c r="I98" i="13" s="1"/>
  <c r="S97" i="13"/>
  <c r="T97" i="13" s="1"/>
  <c r="H97" i="13"/>
  <c r="I97" i="13" s="1"/>
  <c r="S96" i="13"/>
  <c r="T96" i="13" s="1"/>
  <c r="H96" i="13"/>
  <c r="I96" i="13" s="1"/>
  <c r="S95" i="13"/>
  <c r="T95" i="13" s="1"/>
  <c r="H95" i="13"/>
  <c r="I95" i="13" s="1"/>
  <c r="S94" i="13"/>
  <c r="T94" i="13" s="1"/>
  <c r="I94" i="13"/>
  <c r="H94" i="13"/>
  <c r="S93" i="13"/>
  <c r="T93" i="13" s="1"/>
  <c r="H93" i="13"/>
  <c r="I93" i="13" s="1"/>
  <c r="S92" i="13"/>
  <c r="T92" i="13" s="1"/>
  <c r="H92" i="13"/>
  <c r="I92" i="13" s="1"/>
  <c r="T91" i="13"/>
  <c r="S91" i="13"/>
  <c r="H91" i="13"/>
  <c r="I91" i="13" s="1"/>
  <c r="S90" i="13"/>
  <c r="T90" i="13" s="1"/>
  <c r="H90" i="13"/>
  <c r="I90" i="13" s="1"/>
  <c r="S88" i="13"/>
  <c r="T88" i="13" s="1"/>
  <c r="H88" i="13"/>
  <c r="I88" i="13" s="1"/>
  <c r="S87" i="13"/>
  <c r="T87" i="13" s="1"/>
  <c r="H87" i="13"/>
  <c r="I87" i="13" s="1"/>
  <c r="S86" i="13"/>
  <c r="T86" i="13" s="1"/>
  <c r="H86" i="13"/>
  <c r="I86" i="13" s="1"/>
  <c r="T83" i="13"/>
  <c r="I83" i="13"/>
  <c r="T82" i="13"/>
  <c r="I82" i="13"/>
  <c r="T81" i="13"/>
  <c r="I81" i="13"/>
  <c r="T80" i="13"/>
  <c r="I80" i="13"/>
  <c r="T79" i="13"/>
  <c r="I79" i="13"/>
  <c r="T77" i="13"/>
  <c r="I77" i="13"/>
  <c r="T76" i="13"/>
  <c r="I76" i="13"/>
  <c r="S75" i="13"/>
  <c r="T75" i="13" s="1"/>
  <c r="H75" i="13"/>
  <c r="I75" i="13" s="1"/>
  <c r="S74" i="13"/>
  <c r="T74" i="13" s="1"/>
  <c r="H74" i="13"/>
  <c r="I74" i="13" s="1"/>
  <c r="S73" i="13"/>
  <c r="T73" i="13" s="1"/>
  <c r="H73" i="13"/>
  <c r="I73" i="13" s="1"/>
  <c r="T72" i="13"/>
  <c r="S72" i="13"/>
  <c r="H72" i="13"/>
  <c r="I72" i="13" s="1"/>
  <c r="T69" i="13"/>
  <c r="I69" i="13"/>
  <c r="T68" i="13"/>
  <c r="I68" i="13"/>
  <c r="S67" i="13"/>
  <c r="T67" i="13" s="1"/>
  <c r="H67" i="13"/>
  <c r="I67" i="13" s="1"/>
  <c r="S66" i="13"/>
  <c r="T66" i="13" s="1"/>
  <c r="I66" i="13"/>
  <c r="H66" i="13"/>
  <c r="S65" i="13"/>
  <c r="T65" i="13" s="1"/>
  <c r="H65" i="13"/>
  <c r="I65" i="13" s="1"/>
  <c r="S64" i="13"/>
  <c r="T64" i="13" s="1"/>
  <c r="H64" i="13"/>
  <c r="I64" i="13" s="1"/>
  <c r="S63" i="13"/>
  <c r="T63" i="13" s="1"/>
  <c r="H63" i="13"/>
  <c r="I63" i="13" s="1"/>
  <c r="T62" i="13"/>
  <c r="S62" i="13"/>
  <c r="H62" i="13"/>
  <c r="I62" i="13" s="1"/>
  <c r="S61" i="13"/>
  <c r="T61" i="13" s="1"/>
  <c r="H61" i="13"/>
  <c r="I61" i="13" s="1"/>
  <c r="S60" i="13"/>
  <c r="T60" i="13" s="1"/>
  <c r="H60" i="13"/>
  <c r="I60" i="13" s="1"/>
  <c r="S59" i="13"/>
  <c r="T59" i="13" s="1"/>
  <c r="H59" i="13"/>
  <c r="I59" i="13" s="1"/>
  <c r="T58" i="13"/>
  <c r="S58" i="13"/>
  <c r="H58" i="13"/>
  <c r="I58" i="13" s="1"/>
  <c r="S57" i="13"/>
  <c r="T57" i="13" s="1"/>
  <c r="I57" i="13"/>
  <c r="H57" i="13"/>
  <c r="S56" i="13"/>
  <c r="T56" i="13" s="1"/>
  <c r="H56" i="13"/>
  <c r="I56" i="13" s="1"/>
  <c r="S55" i="13"/>
  <c r="T55" i="13" s="1"/>
  <c r="H55" i="13"/>
  <c r="I55" i="13" s="1"/>
  <c r="T54" i="13"/>
  <c r="I54" i="13"/>
  <c r="S53" i="13"/>
  <c r="T53" i="13" s="1"/>
  <c r="H53" i="13"/>
  <c r="I53" i="13" s="1"/>
  <c r="T52" i="13"/>
  <c r="S52" i="13"/>
  <c r="H52" i="13"/>
  <c r="I52" i="13" s="1"/>
  <c r="S51" i="13"/>
  <c r="H51" i="13"/>
  <c r="S50" i="13"/>
  <c r="T50" i="13" s="1"/>
  <c r="H50" i="13"/>
  <c r="I50" i="13" s="1"/>
  <c r="I40" i="13"/>
  <c r="I39" i="13"/>
  <c r="I38" i="13"/>
  <c r="I37" i="13"/>
  <c r="T133" i="11"/>
  <c r="T134" i="11"/>
  <c r="T135" i="11"/>
  <c r="T136" i="11"/>
  <c r="J350" i="13" l="1"/>
  <c r="U253" i="13"/>
  <c r="J259" i="13"/>
  <c r="U370" i="13"/>
  <c r="U412" i="13"/>
  <c r="J479" i="13"/>
  <c r="J473" i="13"/>
  <c r="J459" i="13"/>
  <c r="U426" i="13"/>
  <c r="J192" i="13"/>
  <c r="U350" i="13"/>
  <c r="J253" i="13"/>
  <c r="J302" i="13"/>
  <c r="J364" i="13"/>
  <c r="U479" i="13"/>
  <c r="U481" i="13" s="1"/>
  <c r="U192" i="13"/>
  <c r="U331" i="13"/>
  <c r="J412" i="13"/>
  <c r="U239" i="13"/>
  <c r="J220" i="13"/>
  <c r="J331" i="13"/>
  <c r="J398" i="13"/>
  <c r="U473" i="13"/>
  <c r="U178" i="13"/>
  <c r="J440" i="13"/>
  <c r="U364" i="13"/>
  <c r="J370" i="13"/>
  <c r="U440" i="13"/>
  <c r="U459" i="13"/>
  <c r="J178" i="13"/>
  <c r="U150" i="13"/>
  <c r="J150" i="13"/>
  <c r="J144" i="13"/>
  <c r="U144" i="13"/>
  <c r="U130" i="13"/>
  <c r="J111" i="13"/>
  <c r="J82" i="13"/>
  <c r="U82" i="13"/>
  <c r="U68" i="13"/>
  <c r="J68" i="13"/>
  <c r="U206" i="13"/>
  <c r="U97" i="13"/>
  <c r="J206" i="13"/>
  <c r="J288" i="13"/>
  <c r="J426" i="13"/>
  <c r="U288" i="13"/>
  <c r="U302" i="13"/>
  <c r="U398" i="13"/>
  <c r="J97" i="13"/>
  <c r="U220" i="13"/>
  <c r="J317" i="13"/>
  <c r="U111" i="13"/>
  <c r="J239" i="13"/>
  <c r="J261" i="13" s="1"/>
  <c r="U317" i="13"/>
  <c r="J130" i="13"/>
  <c r="T259" i="12"/>
  <c r="I259" i="12"/>
  <c r="T258" i="12"/>
  <c r="J258" i="12"/>
  <c r="I258" i="12"/>
  <c r="T257" i="12"/>
  <c r="U258" i="12" s="1"/>
  <c r="I257" i="12"/>
  <c r="T256" i="12"/>
  <c r="I256" i="12"/>
  <c r="T253" i="12"/>
  <c r="I253" i="12"/>
  <c r="T252" i="12"/>
  <c r="I252" i="12"/>
  <c r="T251" i="12"/>
  <c r="I251" i="12"/>
  <c r="T250" i="12"/>
  <c r="I250" i="12"/>
  <c r="T249" i="12"/>
  <c r="I249" i="12"/>
  <c r="T248" i="12"/>
  <c r="I248" i="12"/>
  <c r="T247" i="12"/>
  <c r="I247" i="12"/>
  <c r="T246" i="12"/>
  <c r="I246" i="12"/>
  <c r="T245" i="12"/>
  <c r="I245" i="12"/>
  <c r="T244" i="12"/>
  <c r="I244" i="12"/>
  <c r="T243" i="12"/>
  <c r="I243" i="12"/>
  <c r="J252" i="12" s="1"/>
  <c r="T239" i="12"/>
  <c r="I239" i="12"/>
  <c r="T238" i="12"/>
  <c r="I238" i="12"/>
  <c r="T237" i="12"/>
  <c r="I237" i="12"/>
  <c r="T236" i="12"/>
  <c r="I236" i="12"/>
  <c r="T235" i="12"/>
  <c r="I235" i="12"/>
  <c r="T234" i="12"/>
  <c r="I234" i="12"/>
  <c r="T233" i="12"/>
  <c r="I233" i="12"/>
  <c r="T232" i="12"/>
  <c r="I232" i="12"/>
  <c r="T231" i="12"/>
  <c r="I231" i="12"/>
  <c r="T230" i="12"/>
  <c r="I230" i="12"/>
  <c r="T229" i="12"/>
  <c r="I229" i="12"/>
  <c r="T228" i="12"/>
  <c r="I228" i="12"/>
  <c r="T227" i="12"/>
  <c r="I227" i="12"/>
  <c r="T226" i="12"/>
  <c r="I226" i="12"/>
  <c r="T225" i="12"/>
  <c r="I225" i="12"/>
  <c r="T224" i="12"/>
  <c r="I224" i="12"/>
  <c r="J238" i="12" s="1"/>
  <c r="T223" i="12"/>
  <c r="I223" i="12"/>
  <c r="T220" i="12"/>
  <c r="I220" i="12"/>
  <c r="T219" i="12"/>
  <c r="I219" i="12"/>
  <c r="T218" i="12"/>
  <c r="I218" i="12"/>
  <c r="T217" i="12"/>
  <c r="I217" i="12"/>
  <c r="T216" i="12"/>
  <c r="I216" i="12"/>
  <c r="T215" i="12"/>
  <c r="I215" i="12"/>
  <c r="T214" i="12"/>
  <c r="I214" i="12"/>
  <c r="T213" i="12"/>
  <c r="I213" i="12"/>
  <c r="T212" i="12"/>
  <c r="I212" i="12"/>
  <c r="T211" i="12"/>
  <c r="I211" i="12"/>
  <c r="T210" i="12"/>
  <c r="I210" i="12"/>
  <c r="T209" i="12"/>
  <c r="U219" i="12" s="1"/>
  <c r="I209" i="12"/>
  <c r="S206" i="12"/>
  <c r="T206" i="12" s="1"/>
  <c r="H206" i="12"/>
  <c r="I206" i="12" s="1"/>
  <c r="S205" i="12"/>
  <c r="T205" i="12" s="1"/>
  <c r="H205" i="12"/>
  <c r="I205" i="12" s="1"/>
  <c r="S204" i="12"/>
  <c r="T204" i="12" s="1"/>
  <c r="H204" i="12"/>
  <c r="I204" i="12" s="1"/>
  <c r="S203" i="12"/>
  <c r="T203" i="12" s="1"/>
  <c r="H203" i="12"/>
  <c r="I203" i="12" s="1"/>
  <c r="S202" i="12"/>
  <c r="T202" i="12" s="1"/>
  <c r="H202" i="12"/>
  <c r="I202" i="12" s="1"/>
  <c r="S201" i="12"/>
  <c r="T201" i="12" s="1"/>
  <c r="H201" i="12"/>
  <c r="I201" i="12" s="1"/>
  <c r="S200" i="12"/>
  <c r="T200" i="12" s="1"/>
  <c r="H200" i="12"/>
  <c r="I200" i="12" s="1"/>
  <c r="S199" i="12"/>
  <c r="T199" i="12" s="1"/>
  <c r="H199" i="12"/>
  <c r="I199" i="12" s="1"/>
  <c r="S198" i="12"/>
  <c r="T198" i="12" s="1"/>
  <c r="H198" i="12"/>
  <c r="I198" i="12" s="1"/>
  <c r="S197" i="12"/>
  <c r="T197" i="12" s="1"/>
  <c r="H197" i="12"/>
  <c r="I197" i="12" s="1"/>
  <c r="S196" i="12"/>
  <c r="T196" i="12" s="1"/>
  <c r="H196" i="12"/>
  <c r="I196" i="12" s="1"/>
  <c r="S195" i="12"/>
  <c r="T195" i="12" s="1"/>
  <c r="H195" i="12"/>
  <c r="I195" i="12" s="1"/>
  <c r="T192" i="12"/>
  <c r="I192" i="12"/>
  <c r="T191" i="12"/>
  <c r="I191" i="12"/>
  <c r="T190" i="12"/>
  <c r="I190" i="12"/>
  <c r="T189" i="12"/>
  <c r="I189" i="12"/>
  <c r="T188" i="12"/>
  <c r="I188" i="12"/>
  <c r="T186" i="12"/>
  <c r="I186" i="12"/>
  <c r="T185" i="12"/>
  <c r="I185" i="12"/>
  <c r="S184" i="12"/>
  <c r="T184" i="12" s="1"/>
  <c r="H184" i="12"/>
  <c r="I184" i="12" s="1"/>
  <c r="S183" i="12"/>
  <c r="T183" i="12" s="1"/>
  <c r="H183" i="12"/>
  <c r="I183" i="12" s="1"/>
  <c r="S182" i="12"/>
  <c r="T182" i="12" s="1"/>
  <c r="H182" i="12"/>
  <c r="I182" i="12" s="1"/>
  <c r="S181" i="12"/>
  <c r="T181" i="12" s="1"/>
  <c r="H181" i="12"/>
  <c r="I181" i="12" s="1"/>
  <c r="T178" i="12"/>
  <c r="I178" i="12"/>
  <c r="T177" i="12"/>
  <c r="I177" i="12"/>
  <c r="S176" i="12"/>
  <c r="T176" i="12" s="1"/>
  <c r="H176" i="12"/>
  <c r="I176" i="12" s="1"/>
  <c r="T175" i="12"/>
  <c r="S175" i="12"/>
  <c r="I175" i="12"/>
  <c r="H175" i="12"/>
  <c r="S174" i="12"/>
  <c r="T174" i="12" s="1"/>
  <c r="H174" i="12"/>
  <c r="I174" i="12" s="1"/>
  <c r="T173" i="12"/>
  <c r="S173" i="12"/>
  <c r="I173" i="12"/>
  <c r="H173" i="12"/>
  <c r="S172" i="12"/>
  <c r="T172" i="12" s="1"/>
  <c r="H172" i="12"/>
  <c r="I172" i="12" s="1"/>
  <c r="T171" i="12"/>
  <c r="S171" i="12"/>
  <c r="I171" i="12"/>
  <c r="H171" i="12"/>
  <c r="S170" i="12"/>
  <c r="T170" i="12" s="1"/>
  <c r="H170" i="12"/>
  <c r="I170" i="12" s="1"/>
  <c r="T169" i="12"/>
  <c r="S169" i="12"/>
  <c r="I169" i="12"/>
  <c r="H169" i="12"/>
  <c r="S168" i="12"/>
  <c r="T168" i="12" s="1"/>
  <c r="H168" i="12"/>
  <c r="I168" i="12" s="1"/>
  <c r="T167" i="12"/>
  <c r="S167" i="12"/>
  <c r="I167" i="12"/>
  <c r="H167" i="12"/>
  <c r="S166" i="12"/>
  <c r="T166" i="12" s="1"/>
  <c r="H166" i="12"/>
  <c r="I166" i="12" s="1"/>
  <c r="T165" i="12"/>
  <c r="S165" i="12"/>
  <c r="I165" i="12"/>
  <c r="H165" i="12"/>
  <c r="S164" i="12"/>
  <c r="T164" i="12" s="1"/>
  <c r="H164" i="12"/>
  <c r="I164" i="12" s="1"/>
  <c r="T163" i="12"/>
  <c r="I163" i="12"/>
  <c r="T162" i="12"/>
  <c r="S162" i="12"/>
  <c r="H162" i="12"/>
  <c r="I162" i="12" s="1"/>
  <c r="S161" i="12"/>
  <c r="T161" i="12" s="1"/>
  <c r="I161" i="12"/>
  <c r="H161" i="12"/>
  <c r="S160" i="12"/>
  <c r="H160" i="12"/>
  <c r="S159" i="12"/>
  <c r="T159" i="12" s="1"/>
  <c r="H159" i="12"/>
  <c r="I159" i="12" s="1"/>
  <c r="T150" i="12"/>
  <c r="I150" i="12"/>
  <c r="T149" i="12"/>
  <c r="I149" i="12"/>
  <c r="T148" i="12"/>
  <c r="I148" i="12"/>
  <c r="T147" i="12"/>
  <c r="I147" i="12"/>
  <c r="T144" i="12"/>
  <c r="I144" i="12"/>
  <c r="T143" i="12"/>
  <c r="I143" i="12"/>
  <c r="T142" i="12"/>
  <c r="I142" i="12"/>
  <c r="T141" i="12"/>
  <c r="I141" i="12"/>
  <c r="T140" i="12"/>
  <c r="I140" i="12"/>
  <c r="T139" i="12"/>
  <c r="I139" i="12"/>
  <c r="T138" i="12"/>
  <c r="I138" i="12"/>
  <c r="T137" i="12"/>
  <c r="I137" i="12"/>
  <c r="T136" i="12"/>
  <c r="I136" i="12"/>
  <c r="T135" i="12"/>
  <c r="I135" i="12"/>
  <c r="T134" i="12"/>
  <c r="I134" i="12"/>
  <c r="I133" i="12"/>
  <c r="T130" i="12"/>
  <c r="I130" i="12"/>
  <c r="T129" i="12"/>
  <c r="I129" i="12"/>
  <c r="T128" i="12"/>
  <c r="I128" i="12"/>
  <c r="T127" i="12"/>
  <c r="I127" i="12"/>
  <c r="T126" i="12"/>
  <c r="I126" i="12"/>
  <c r="T125" i="12"/>
  <c r="I125" i="12"/>
  <c r="T124" i="12"/>
  <c r="I124" i="12"/>
  <c r="T123" i="12"/>
  <c r="I123" i="12"/>
  <c r="T122" i="12"/>
  <c r="I122" i="12"/>
  <c r="T121" i="12"/>
  <c r="I121" i="12"/>
  <c r="T120" i="12"/>
  <c r="I120" i="12"/>
  <c r="T119" i="12"/>
  <c r="I119" i="12"/>
  <c r="T118" i="12"/>
  <c r="I118" i="12"/>
  <c r="T117" i="12"/>
  <c r="I117" i="12"/>
  <c r="T116" i="12"/>
  <c r="I116" i="12"/>
  <c r="T115" i="12"/>
  <c r="I115" i="12"/>
  <c r="T114" i="12"/>
  <c r="I114" i="12"/>
  <c r="T111" i="12"/>
  <c r="I111" i="12"/>
  <c r="T110" i="12"/>
  <c r="I110" i="12"/>
  <c r="T109" i="12"/>
  <c r="I109" i="12"/>
  <c r="T108" i="12"/>
  <c r="I108" i="12"/>
  <c r="T107" i="12"/>
  <c r="I107" i="12"/>
  <c r="T106" i="12"/>
  <c r="I106" i="12"/>
  <c r="T105" i="12"/>
  <c r="I105" i="12"/>
  <c r="T104" i="12"/>
  <c r="I104" i="12"/>
  <c r="T103" i="12"/>
  <c r="I103" i="12"/>
  <c r="T102" i="12"/>
  <c r="I102" i="12"/>
  <c r="T101" i="12"/>
  <c r="I101" i="12"/>
  <c r="T100" i="12"/>
  <c r="I100" i="12"/>
  <c r="T97" i="12"/>
  <c r="S97" i="12"/>
  <c r="I97" i="12"/>
  <c r="H97" i="12"/>
  <c r="T96" i="12"/>
  <c r="S96" i="12"/>
  <c r="I96" i="12"/>
  <c r="H96" i="12"/>
  <c r="T95" i="12"/>
  <c r="S95" i="12"/>
  <c r="H95" i="12"/>
  <c r="I95" i="12" s="1"/>
  <c r="S94" i="12"/>
  <c r="T94" i="12" s="1"/>
  <c r="H94" i="12"/>
  <c r="I94" i="12" s="1"/>
  <c r="S93" i="12"/>
  <c r="T93" i="12" s="1"/>
  <c r="H93" i="12"/>
  <c r="I93" i="12" s="1"/>
  <c r="T92" i="12"/>
  <c r="S92" i="12"/>
  <c r="I92" i="12"/>
  <c r="H92" i="12"/>
  <c r="T91" i="12"/>
  <c r="S91" i="12"/>
  <c r="H91" i="12"/>
  <c r="I91" i="12" s="1"/>
  <c r="S90" i="12"/>
  <c r="T90" i="12" s="1"/>
  <c r="H90" i="12"/>
  <c r="I90" i="12" s="1"/>
  <c r="S89" i="12"/>
  <c r="T89" i="12" s="1"/>
  <c r="H89" i="12"/>
  <c r="I89" i="12" s="1"/>
  <c r="T88" i="12"/>
  <c r="S88" i="12"/>
  <c r="I88" i="12"/>
  <c r="H88" i="12"/>
  <c r="T87" i="12"/>
  <c r="S87" i="12"/>
  <c r="H87" i="12"/>
  <c r="I87" i="12" s="1"/>
  <c r="S86" i="12"/>
  <c r="T86" i="12" s="1"/>
  <c r="H86" i="12"/>
  <c r="I86" i="12" s="1"/>
  <c r="T83" i="12"/>
  <c r="I83" i="12"/>
  <c r="T82" i="12"/>
  <c r="I82" i="12"/>
  <c r="T81" i="12"/>
  <c r="I81" i="12"/>
  <c r="T80" i="12"/>
  <c r="I80" i="12"/>
  <c r="T79" i="12"/>
  <c r="I79" i="12"/>
  <c r="T77" i="12"/>
  <c r="I77" i="12"/>
  <c r="T76" i="12"/>
  <c r="I76" i="12"/>
  <c r="S75" i="12"/>
  <c r="T75" i="12" s="1"/>
  <c r="H75" i="12"/>
  <c r="I75" i="12" s="1"/>
  <c r="T74" i="12"/>
  <c r="S74" i="12"/>
  <c r="I74" i="12"/>
  <c r="H74" i="12"/>
  <c r="T73" i="12"/>
  <c r="S73" i="12"/>
  <c r="H73" i="12"/>
  <c r="I73" i="12" s="1"/>
  <c r="S72" i="12"/>
  <c r="T72" i="12" s="1"/>
  <c r="H72" i="12"/>
  <c r="I72" i="12" s="1"/>
  <c r="T69" i="12"/>
  <c r="I69" i="12"/>
  <c r="T68" i="12"/>
  <c r="I68" i="12"/>
  <c r="S67" i="12"/>
  <c r="T67" i="12" s="1"/>
  <c r="H67" i="12"/>
  <c r="I67" i="12" s="1"/>
  <c r="S66" i="12"/>
  <c r="T66" i="12" s="1"/>
  <c r="I66" i="12"/>
  <c r="H66" i="12"/>
  <c r="T65" i="12"/>
  <c r="S65" i="12"/>
  <c r="I65" i="12"/>
  <c r="H65" i="12"/>
  <c r="S64" i="12"/>
  <c r="T64" i="12" s="1"/>
  <c r="I64" i="12"/>
  <c r="S63" i="12"/>
  <c r="T63" i="12" s="1"/>
  <c r="H63" i="12"/>
  <c r="I63" i="12" s="1"/>
  <c r="S62" i="12"/>
  <c r="T62" i="12" s="1"/>
  <c r="I62" i="12"/>
  <c r="H62" i="12"/>
  <c r="T61" i="12"/>
  <c r="S61" i="12"/>
  <c r="I61" i="12"/>
  <c r="H61" i="12"/>
  <c r="S60" i="12"/>
  <c r="T60" i="12" s="1"/>
  <c r="H60" i="12"/>
  <c r="I60" i="12" s="1"/>
  <c r="S59" i="12"/>
  <c r="T59" i="12" s="1"/>
  <c r="H59" i="12"/>
  <c r="I59" i="12" s="1"/>
  <c r="S58" i="12"/>
  <c r="T58" i="12" s="1"/>
  <c r="I58" i="12"/>
  <c r="H58" i="12"/>
  <c r="T57" i="12"/>
  <c r="S57" i="12"/>
  <c r="I57" i="12"/>
  <c r="H57" i="12"/>
  <c r="S56" i="12"/>
  <c r="T56" i="12" s="1"/>
  <c r="H56" i="12"/>
  <c r="I56" i="12" s="1"/>
  <c r="S55" i="12"/>
  <c r="T55" i="12" s="1"/>
  <c r="H55" i="12"/>
  <c r="I55" i="12" s="1"/>
  <c r="T54" i="12"/>
  <c r="I54" i="12"/>
  <c r="S53" i="12"/>
  <c r="T53" i="12" s="1"/>
  <c r="H53" i="12"/>
  <c r="I53" i="12" s="1"/>
  <c r="S52" i="12"/>
  <c r="T52" i="12" s="1"/>
  <c r="H52" i="12"/>
  <c r="I52" i="12" s="1"/>
  <c r="S51" i="12"/>
  <c r="H51" i="12"/>
  <c r="T50" i="12"/>
  <c r="S50" i="12"/>
  <c r="I50" i="12"/>
  <c r="H50" i="12"/>
  <c r="I40" i="12"/>
  <c r="I39" i="12"/>
  <c r="I38" i="12"/>
  <c r="I37" i="12"/>
  <c r="I133" i="11"/>
  <c r="T478" i="11"/>
  <c r="I478" i="11"/>
  <c r="U477" i="11"/>
  <c r="T477" i="11"/>
  <c r="I477" i="11"/>
  <c r="T476" i="11"/>
  <c r="I476" i="11"/>
  <c r="T475" i="11"/>
  <c r="I475" i="11"/>
  <c r="J477" i="11" s="1"/>
  <c r="T472" i="11"/>
  <c r="I472" i="11"/>
  <c r="T471" i="11"/>
  <c r="I471" i="11"/>
  <c r="T470" i="11"/>
  <c r="I470" i="11"/>
  <c r="T469" i="11"/>
  <c r="I469" i="11"/>
  <c r="T468" i="11"/>
  <c r="I468" i="11"/>
  <c r="T467" i="11"/>
  <c r="I467" i="11"/>
  <c r="T466" i="11"/>
  <c r="I466" i="11"/>
  <c r="T465" i="11"/>
  <c r="I465" i="11"/>
  <c r="T464" i="11"/>
  <c r="I464" i="11"/>
  <c r="T463" i="11"/>
  <c r="I463" i="11"/>
  <c r="J471" i="11" s="1"/>
  <c r="T462" i="11"/>
  <c r="U471" i="11" s="1"/>
  <c r="I462" i="11"/>
  <c r="T458" i="11"/>
  <c r="I458" i="11"/>
  <c r="T457" i="11"/>
  <c r="I457" i="11"/>
  <c r="T456" i="11"/>
  <c r="I456" i="11"/>
  <c r="T455" i="11"/>
  <c r="I455" i="11"/>
  <c r="T454" i="11"/>
  <c r="I454" i="11"/>
  <c r="T453" i="11"/>
  <c r="I453" i="11"/>
  <c r="T452" i="11"/>
  <c r="I452" i="11"/>
  <c r="T451" i="11"/>
  <c r="I451" i="11"/>
  <c r="T450" i="11"/>
  <c r="I450" i="11"/>
  <c r="T449" i="11"/>
  <c r="I449" i="11"/>
  <c r="T448" i="11"/>
  <c r="I448" i="11"/>
  <c r="T447" i="11"/>
  <c r="I447" i="11"/>
  <c r="T446" i="11"/>
  <c r="I446" i="11"/>
  <c r="T445" i="11"/>
  <c r="I445" i="11"/>
  <c r="T444" i="11"/>
  <c r="I444" i="11"/>
  <c r="T443" i="11"/>
  <c r="I443" i="11"/>
  <c r="T442" i="11"/>
  <c r="U457" i="11" s="1"/>
  <c r="I442" i="11"/>
  <c r="J457" i="11" s="1"/>
  <c r="T439" i="11"/>
  <c r="I439" i="11"/>
  <c r="T438" i="11"/>
  <c r="I438" i="11"/>
  <c r="T437" i="11"/>
  <c r="I437" i="11"/>
  <c r="T436" i="11"/>
  <c r="I436" i="11"/>
  <c r="T435" i="11"/>
  <c r="I435" i="11"/>
  <c r="T434" i="11"/>
  <c r="I434" i="11"/>
  <c r="T433" i="11"/>
  <c r="I433" i="11"/>
  <c r="T432" i="11"/>
  <c r="I432" i="11"/>
  <c r="T431" i="11"/>
  <c r="I431" i="11"/>
  <c r="T430" i="11"/>
  <c r="I430" i="11"/>
  <c r="T429" i="11"/>
  <c r="I429" i="11"/>
  <c r="T428" i="11"/>
  <c r="U438" i="11" s="1"/>
  <c r="I428" i="11"/>
  <c r="J438" i="11" s="1"/>
  <c r="T425" i="11"/>
  <c r="S425" i="11"/>
  <c r="I425" i="11"/>
  <c r="H425" i="11"/>
  <c r="T424" i="11"/>
  <c r="S424" i="11"/>
  <c r="I424" i="11"/>
  <c r="H424" i="11"/>
  <c r="T423" i="11"/>
  <c r="S423" i="11"/>
  <c r="H423" i="11"/>
  <c r="I423" i="11" s="1"/>
  <c r="S422" i="11"/>
  <c r="T422" i="11" s="1"/>
  <c r="I422" i="11"/>
  <c r="H422" i="11"/>
  <c r="T421" i="11"/>
  <c r="S421" i="11"/>
  <c r="H421" i="11"/>
  <c r="I421" i="11" s="1"/>
  <c r="S420" i="11"/>
  <c r="T420" i="11" s="1"/>
  <c r="I420" i="11"/>
  <c r="H420" i="11"/>
  <c r="T419" i="11"/>
  <c r="S419" i="11"/>
  <c r="H419" i="11"/>
  <c r="I419" i="11" s="1"/>
  <c r="S418" i="11"/>
  <c r="T418" i="11" s="1"/>
  <c r="I418" i="11"/>
  <c r="H418" i="11"/>
  <c r="T417" i="11"/>
  <c r="S417" i="11"/>
  <c r="H417" i="11"/>
  <c r="I417" i="11" s="1"/>
  <c r="S416" i="11"/>
  <c r="T416" i="11" s="1"/>
  <c r="H416" i="11"/>
  <c r="I416" i="11" s="1"/>
  <c r="S415" i="11"/>
  <c r="T415" i="11" s="1"/>
  <c r="H415" i="11"/>
  <c r="I415" i="11" s="1"/>
  <c r="S414" i="11"/>
  <c r="T414" i="11" s="1"/>
  <c r="I414" i="11"/>
  <c r="H414" i="11"/>
  <c r="T411" i="11"/>
  <c r="I411" i="11"/>
  <c r="T410" i="11"/>
  <c r="I410" i="11"/>
  <c r="T409" i="11"/>
  <c r="I409" i="11"/>
  <c r="T408" i="11"/>
  <c r="I408" i="11"/>
  <c r="T407" i="11"/>
  <c r="I407" i="11"/>
  <c r="T405" i="11"/>
  <c r="I405" i="11"/>
  <c r="T404" i="11"/>
  <c r="I404" i="11"/>
  <c r="T403" i="11"/>
  <c r="S403" i="11"/>
  <c r="H403" i="11"/>
  <c r="I403" i="11" s="1"/>
  <c r="S402" i="11"/>
  <c r="T402" i="11" s="1"/>
  <c r="I402" i="11"/>
  <c r="H402" i="11"/>
  <c r="T401" i="11"/>
  <c r="S401" i="11"/>
  <c r="H401" i="11"/>
  <c r="I401" i="11" s="1"/>
  <c r="S400" i="11"/>
  <c r="T400" i="11" s="1"/>
  <c r="I400" i="11"/>
  <c r="H400" i="11"/>
  <c r="T397" i="11"/>
  <c r="I397" i="11"/>
  <c r="T396" i="11"/>
  <c r="I396" i="11"/>
  <c r="T395" i="11"/>
  <c r="S395" i="11"/>
  <c r="I395" i="11"/>
  <c r="H395" i="11"/>
  <c r="S394" i="11"/>
  <c r="T394" i="11" s="1"/>
  <c r="H394" i="11"/>
  <c r="I394" i="11" s="1"/>
  <c r="T393" i="11"/>
  <c r="S393" i="11"/>
  <c r="I393" i="11"/>
  <c r="H393" i="11"/>
  <c r="S392" i="11"/>
  <c r="T392" i="11" s="1"/>
  <c r="H392" i="11"/>
  <c r="I392" i="11" s="1"/>
  <c r="T391" i="11"/>
  <c r="S391" i="11"/>
  <c r="I391" i="11"/>
  <c r="H391" i="11"/>
  <c r="S390" i="11"/>
  <c r="T390" i="11" s="1"/>
  <c r="H390" i="11"/>
  <c r="I390" i="11" s="1"/>
  <c r="T389" i="11"/>
  <c r="S389" i="11"/>
  <c r="I389" i="11"/>
  <c r="H389" i="11"/>
  <c r="S388" i="11"/>
  <c r="T388" i="11" s="1"/>
  <c r="H388" i="11"/>
  <c r="I388" i="11" s="1"/>
  <c r="T387" i="11"/>
  <c r="S387" i="11"/>
  <c r="I387" i="11"/>
  <c r="H387" i="11"/>
  <c r="S386" i="11"/>
  <c r="T386" i="11" s="1"/>
  <c r="H386" i="11"/>
  <c r="I386" i="11" s="1"/>
  <c r="T385" i="11"/>
  <c r="S385" i="11"/>
  <c r="I385" i="11"/>
  <c r="H385" i="11"/>
  <c r="S384" i="11"/>
  <c r="T384" i="11" s="1"/>
  <c r="H384" i="11"/>
  <c r="I384" i="11" s="1"/>
  <c r="T383" i="11"/>
  <c r="S383" i="11"/>
  <c r="I383" i="11"/>
  <c r="H383" i="11"/>
  <c r="T382" i="11"/>
  <c r="I382" i="11"/>
  <c r="S381" i="11"/>
  <c r="T381" i="11" s="1"/>
  <c r="I381" i="11"/>
  <c r="H381" i="11"/>
  <c r="T380" i="11"/>
  <c r="S380" i="11"/>
  <c r="H380" i="11"/>
  <c r="I380" i="11" s="1"/>
  <c r="S379" i="11"/>
  <c r="H379" i="11"/>
  <c r="T378" i="11"/>
  <c r="S378" i="11"/>
  <c r="I378" i="11"/>
  <c r="J396" i="11" s="1"/>
  <c r="H378" i="11"/>
  <c r="T369" i="11"/>
  <c r="I369" i="11"/>
  <c r="T368" i="11"/>
  <c r="I368" i="11"/>
  <c r="T367" i="11"/>
  <c r="I367" i="11"/>
  <c r="T366" i="11"/>
  <c r="U368" i="11" s="1"/>
  <c r="I366" i="11"/>
  <c r="J368" i="11" s="1"/>
  <c r="T363" i="11"/>
  <c r="I363" i="11"/>
  <c r="T362" i="11"/>
  <c r="I362" i="11"/>
  <c r="T361" i="11"/>
  <c r="I361" i="11"/>
  <c r="T360" i="11"/>
  <c r="I360" i="11"/>
  <c r="T359" i="11"/>
  <c r="I359" i="11"/>
  <c r="T358" i="11"/>
  <c r="I358" i="11"/>
  <c r="T357" i="11"/>
  <c r="I357" i="11"/>
  <c r="T356" i="11"/>
  <c r="I356" i="11"/>
  <c r="T355" i="11"/>
  <c r="U362" i="11" s="1"/>
  <c r="I355" i="11"/>
  <c r="T354" i="11"/>
  <c r="I354" i="11"/>
  <c r="T353" i="11"/>
  <c r="I353" i="11"/>
  <c r="J362" i="11" s="1"/>
  <c r="T349" i="11"/>
  <c r="I349" i="11"/>
  <c r="U348" i="11"/>
  <c r="T348" i="11"/>
  <c r="I348" i="11"/>
  <c r="T347" i="11"/>
  <c r="I347" i="11"/>
  <c r="T346" i="11"/>
  <c r="I346" i="11"/>
  <c r="T345" i="11"/>
  <c r="I345" i="11"/>
  <c r="T344" i="11"/>
  <c r="I344" i="11"/>
  <c r="T343" i="11"/>
  <c r="I343" i="11"/>
  <c r="T342" i="11"/>
  <c r="I342" i="11"/>
  <c r="T341" i="11"/>
  <c r="I341" i="11"/>
  <c r="T340" i="11"/>
  <c r="I340" i="11"/>
  <c r="T339" i="11"/>
  <c r="I339" i="11"/>
  <c r="T338" i="11"/>
  <c r="I338" i="11"/>
  <c r="T337" i="11"/>
  <c r="I337" i="11"/>
  <c r="T336" i="11"/>
  <c r="I336" i="11"/>
  <c r="T335" i="11"/>
  <c r="I335" i="11"/>
  <c r="J348" i="11" s="1"/>
  <c r="T334" i="11"/>
  <c r="I334" i="11"/>
  <c r="T333" i="11"/>
  <c r="I333" i="11"/>
  <c r="T330" i="11"/>
  <c r="I330" i="11"/>
  <c r="T329" i="11"/>
  <c r="I329" i="11"/>
  <c r="T328" i="11"/>
  <c r="I328" i="11"/>
  <c r="T327" i="11"/>
  <c r="I327" i="11"/>
  <c r="T326" i="11"/>
  <c r="I326" i="11"/>
  <c r="T325" i="11"/>
  <c r="I325" i="11"/>
  <c r="T324" i="11"/>
  <c r="I324" i="11"/>
  <c r="T323" i="11"/>
  <c r="I323" i="11"/>
  <c r="T322" i="11"/>
  <c r="I322" i="11"/>
  <c r="T321" i="11"/>
  <c r="I321" i="11"/>
  <c r="T320" i="11"/>
  <c r="I320" i="11"/>
  <c r="T319" i="11"/>
  <c r="U329" i="11" s="1"/>
  <c r="I319" i="11"/>
  <c r="J329" i="11" s="1"/>
  <c r="S316" i="11"/>
  <c r="T316" i="11" s="1"/>
  <c r="I316" i="11"/>
  <c r="H316" i="11"/>
  <c r="S315" i="11"/>
  <c r="T315" i="11" s="1"/>
  <c r="H315" i="11"/>
  <c r="I315" i="11" s="1"/>
  <c r="T314" i="11"/>
  <c r="S314" i="11"/>
  <c r="I314" i="11"/>
  <c r="H314" i="11"/>
  <c r="S313" i="11"/>
  <c r="T313" i="11" s="1"/>
  <c r="H313" i="11"/>
  <c r="I313" i="11" s="1"/>
  <c r="T312" i="11"/>
  <c r="S312" i="11"/>
  <c r="I312" i="11"/>
  <c r="H312" i="11"/>
  <c r="S311" i="11"/>
  <c r="T311" i="11" s="1"/>
  <c r="H311" i="11"/>
  <c r="I311" i="11" s="1"/>
  <c r="T310" i="11"/>
  <c r="S310" i="11"/>
  <c r="I310" i="11"/>
  <c r="H310" i="11"/>
  <c r="S309" i="11"/>
  <c r="T309" i="11" s="1"/>
  <c r="H309" i="11"/>
  <c r="I309" i="11" s="1"/>
  <c r="T308" i="11"/>
  <c r="S308" i="11"/>
  <c r="I308" i="11"/>
  <c r="H308" i="11"/>
  <c r="S307" i="11"/>
  <c r="T307" i="11" s="1"/>
  <c r="H307" i="11"/>
  <c r="I307" i="11" s="1"/>
  <c r="S306" i="11"/>
  <c r="T306" i="11" s="1"/>
  <c r="H306" i="11"/>
  <c r="I306" i="11" s="1"/>
  <c r="S305" i="11"/>
  <c r="T305" i="11" s="1"/>
  <c r="H305" i="11"/>
  <c r="I305" i="11" s="1"/>
  <c r="T302" i="11"/>
  <c r="I302" i="11"/>
  <c r="T301" i="11"/>
  <c r="I301" i="11"/>
  <c r="T300" i="11"/>
  <c r="I300" i="11"/>
  <c r="T299" i="11"/>
  <c r="I299" i="11"/>
  <c r="T298" i="11"/>
  <c r="I298" i="11"/>
  <c r="T296" i="11"/>
  <c r="I296" i="11"/>
  <c r="T295" i="11"/>
  <c r="I295" i="11"/>
  <c r="T294" i="11"/>
  <c r="S294" i="11"/>
  <c r="I294" i="11"/>
  <c r="H294" i="11"/>
  <c r="S293" i="11"/>
  <c r="T293" i="11" s="1"/>
  <c r="H293" i="11"/>
  <c r="I293" i="11" s="1"/>
  <c r="T292" i="11"/>
  <c r="S292" i="11"/>
  <c r="I292" i="11"/>
  <c r="H292" i="11"/>
  <c r="S291" i="11"/>
  <c r="T291" i="11" s="1"/>
  <c r="H291" i="11"/>
  <c r="I291" i="11" s="1"/>
  <c r="J301" i="11" s="1"/>
  <c r="T288" i="11"/>
  <c r="I288" i="11"/>
  <c r="T287" i="11"/>
  <c r="I287" i="11"/>
  <c r="S286" i="11"/>
  <c r="T286" i="11" s="1"/>
  <c r="I286" i="11"/>
  <c r="H286" i="11"/>
  <c r="T285" i="11"/>
  <c r="S285" i="11"/>
  <c r="H285" i="11"/>
  <c r="I285" i="11" s="1"/>
  <c r="S284" i="11"/>
  <c r="T284" i="11" s="1"/>
  <c r="I284" i="11"/>
  <c r="H284" i="11"/>
  <c r="T283" i="11"/>
  <c r="S283" i="11"/>
  <c r="H283" i="11"/>
  <c r="I283" i="11" s="1"/>
  <c r="S282" i="11"/>
  <c r="T282" i="11" s="1"/>
  <c r="I282" i="11"/>
  <c r="H282" i="11"/>
  <c r="T281" i="11"/>
  <c r="S281" i="11"/>
  <c r="H281" i="11"/>
  <c r="I281" i="11" s="1"/>
  <c r="S280" i="11"/>
  <c r="T280" i="11" s="1"/>
  <c r="I280" i="11"/>
  <c r="H280" i="11"/>
  <c r="T279" i="11"/>
  <c r="S279" i="11"/>
  <c r="H279" i="11"/>
  <c r="I279" i="11" s="1"/>
  <c r="S278" i="11"/>
  <c r="T278" i="11" s="1"/>
  <c r="I278" i="11"/>
  <c r="H278" i="11"/>
  <c r="T277" i="11"/>
  <c r="S277" i="11"/>
  <c r="H277" i="11"/>
  <c r="I277" i="11" s="1"/>
  <c r="S276" i="11"/>
  <c r="T276" i="11" s="1"/>
  <c r="I276" i="11"/>
  <c r="H276" i="11"/>
  <c r="T275" i="11"/>
  <c r="S275" i="11"/>
  <c r="H275" i="11"/>
  <c r="I275" i="11" s="1"/>
  <c r="S274" i="11"/>
  <c r="T274" i="11" s="1"/>
  <c r="I274" i="11"/>
  <c r="H274" i="11"/>
  <c r="T273" i="11"/>
  <c r="I273" i="11"/>
  <c r="S272" i="11"/>
  <c r="T272" i="11" s="1"/>
  <c r="H272" i="11"/>
  <c r="I272" i="11" s="1"/>
  <c r="T271" i="11"/>
  <c r="S271" i="11"/>
  <c r="I271" i="11"/>
  <c r="H271" i="11"/>
  <c r="S270" i="11"/>
  <c r="H270" i="11"/>
  <c r="S269" i="11"/>
  <c r="T269" i="11" s="1"/>
  <c r="I269" i="11"/>
  <c r="H269" i="11"/>
  <c r="T259" i="11"/>
  <c r="I259" i="11"/>
  <c r="T258" i="11"/>
  <c r="I258" i="11"/>
  <c r="T257" i="11"/>
  <c r="I257" i="11"/>
  <c r="T256" i="11"/>
  <c r="U258" i="11" s="1"/>
  <c r="I256" i="11"/>
  <c r="T253" i="11"/>
  <c r="I253" i="11"/>
  <c r="T252" i="11"/>
  <c r="I252" i="11"/>
  <c r="T251" i="11"/>
  <c r="I251" i="11"/>
  <c r="T250" i="11"/>
  <c r="I250" i="11"/>
  <c r="T249" i="11"/>
  <c r="I249" i="11"/>
  <c r="T248" i="11"/>
  <c r="I248" i="11"/>
  <c r="T247" i="11"/>
  <c r="I247" i="11"/>
  <c r="T246" i="11"/>
  <c r="I246" i="11"/>
  <c r="T245" i="11"/>
  <c r="I245" i="11"/>
  <c r="T244" i="11"/>
  <c r="I244" i="11"/>
  <c r="T243" i="11"/>
  <c r="U252" i="11" s="1"/>
  <c r="I243" i="11"/>
  <c r="T239" i="11"/>
  <c r="I239" i="11"/>
  <c r="T238" i="11"/>
  <c r="I238" i="11"/>
  <c r="T237" i="11"/>
  <c r="I237" i="11"/>
  <c r="T236" i="11"/>
  <c r="I236" i="11"/>
  <c r="T235" i="11"/>
  <c r="I235" i="11"/>
  <c r="T234" i="11"/>
  <c r="I234" i="11"/>
  <c r="T233" i="11"/>
  <c r="I233" i="11"/>
  <c r="T232" i="11"/>
  <c r="I232" i="11"/>
  <c r="T231" i="11"/>
  <c r="I231" i="11"/>
  <c r="T230" i="11"/>
  <c r="I230" i="11"/>
  <c r="T229" i="11"/>
  <c r="I229" i="11"/>
  <c r="T228" i="11"/>
  <c r="I228" i="11"/>
  <c r="T227" i="11"/>
  <c r="I227" i="11"/>
  <c r="T226" i="11"/>
  <c r="I226" i="11"/>
  <c r="T225" i="11"/>
  <c r="I225" i="11"/>
  <c r="T224" i="11"/>
  <c r="I224" i="11"/>
  <c r="T223" i="11"/>
  <c r="U238" i="11" s="1"/>
  <c r="I223" i="11"/>
  <c r="T220" i="11"/>
  <c r="I220" i="11"/>
  <c r="T219" i="11"/>
  <c r="I219" i="11"/>
  <c r="T218" i="11"/>
  <c r="I218" i="11"/>
  <c r="T217" i="11"/>
  <c r="I217" i="11"/>
  <c r="T216" i="11"/>
  <c r="I216" i="11"/>
  <c r="T215" i="11"/>
  <c r="I215" i="11"/>
  <c r="T214" i="11"/>
  <c r="I214" i="11"/>
  <c r="T213" i="11"/>
  <c r="I213" i="11"/>
  <c r="T212" i="11"/>
  <c r="I212" i="11"/>
  <c r="T211" i="11"/>
  <c r="I211" i="11"/>
  <c r="T210" i="11"/>
  <c r="I210" i="11"/>
  <c r="T209" i="11"/>
  <c r="U219" i="11" s="1"/>
  <c r="I209" i="11"/>
  <c r="S206" i="11"/>
  <c r="T206" i="11" s="1"/>
  <c r="H206" i="11"/>
  <c r="I206" i="11" s="1"/>
  <c r="S205" i="11"/>
  <c r="T205" i="11" s="1"/>
  <c r="H205" i="11"/>
  <c r="I205" i="11" s="1"/>
  <c r="S204" i="11"/>
  <c r="T204" i="11" s="1"/>
  <c r="H204" i="11"/>
  <c r="I204" i="11" s="1"/>
  <c r="T203" i="11"/>
  <c r="S203" i="11"/>
  <c r="H203" i="11"/>
  <c r="I203" i="11" s="1"/>
  <c r="S202" i="11"/>
  <c r="T202" i="11" s="1"/>
  <c r="H202" i="11"/>
  <c r="I202" i="11" s="1"/>
  <c r="T201" i="11"/>
  <c r="S201" i="11"/>
  <c r="H201" i="11"/>
  <c r="I201" i="11" s="1"/>
  <c r="S200" i="11"/>
  <c r="T200" i="11" s="1"/>
  <c r="H200" i="11"/>
  <c r="I200" i="11" s="1"/>
  <c r="T199" i="11"/>
  <c r="S199" i="11"/>
  <c r="H199" i="11"/>
  <c r="I199" i="11" s="1"/>
  <c r="S198" i="11"/>
  <c r="T198" i="11" s="1"/>
  <c r="H198" i="11"/>
  <c r="I198" i="11" s="1"/>
  <c r="S197" i="11"/>
  <c r="T197" i="11" s="1"/>
  <c r="H197" i="11"/>
  <c r="I197" i="11" s="1"/>
  <c r="S196" i="11"/>
  <c r="T196" i="11" s="1"/>
  <c r="H196" i="11"/>
  <c r="I196" i="11" s="1"/>
  <c r="T195" i="11"/>
  <c r="S195" i="11"/>
  <c r="H195" i="11"/>
  <c r="I195" i="11" s="1"/>
  <c r="T192" i="11"/>
  <c r="I192" i="11"/>
  <c r="T191" i="11"/>
  <c r="I191" i="11"/>
  <c r="T190" i="11"/>
  <c r="I190" i="11"/>
  <c r="T189" i="11"/>
  <c r="I189" i="11"/>
  <c r="T188" i="11"/>
  <c r="I188" i="11"/>
  <c r="T186" i="11"/>
  <c r="I186" i="11"/>
  <c r="T185" i="11"/>
  <c r="I185" i="11"/>
  <c r="S184" i="11"/>
  <c r="T184" i="11" s="1"/>
  <c r="H184" i="11"/>
  <c r="I184" i="11" s="1"/>
  <c r="T183" i="11"/>
  <c r="S183" i="11"/>
  <c r="H183" i="11"/>
  <c r="I183" i="11" s="1"/>
  <c r="S182" i="11"/>
  <c r="T182" i="11" s="1"/>
  <c r="H182" i="11"/>
  <c r="I182" i="11" s="1"/>
  <c r="T181" i="11"/>
  <c r="S181" i="11"/>
  <c r="H181" i="11"/>
  <c r="I181" i="11" s="1"/>
  <c r="T178" i="11"/>
  <c r="I178" i="11"/>
  <c r="T177" i="11"/>
  <c r="I177" i="11"/>
  <c r="S176" i="11"/>
  <c r="T176" i="11" s="1"/>
  <c r="H176" i="11"/>
  <c r="I176" i="11" s="1"/>
  <c r="T175" i="11"/>
  <c r="S175" i="11"/>
  <c r="I175" i="11"/>
  <c r="H175" i="11"/>
  <c r="S174" i="11"/>
  <c r="T174" i="11" s="1"/>
  <c r="H174" i="11"/>
  <c r="I174" i="11" s="1"/>
  <c r="T173" i="11"/>
  <c r="S173" i="11"/>
  <c r="I173" i="11"/>
  <c r="H173" i="11"/>
  <c r="S172" i="11"/>
  <c r="T172" i="11" s="1"/>
  <c r="H172" i="11"/>
  <c r="I172" i="11" s="1"/>
  <c r="T171" i="11"/>
  <c r="S171" i="11"/>
  <c r="I171" i="11"/>
  <c r="H171" i="11"/>
  <c r="S170" i="11"/>
  <c r="T170" i="11" s="1"/>
  <c r="H170" i="11"/>
  <c r="I170" i="11" s="1"/>
  <c r="T169" i="11"/>
  <c r="S169" i="11"/>
  <c r="I169" i="11"/>
  <c r="H169" i="11"/>
  <c r="S168" i="11"/>
  <c r="T168" i="11" s="1"/>
  <c r="H168" i="11"/>
  <c r="I168" i="11" s="1"/>
  <c r="S167" i="11"/>
  <c r="T167" i="11" s="1"/>
  <c r="I167" i="11"/>
  <c r="H167" i="11"/>
  <c r="S166" i="11"/>
  <c r="T166" i="11" s="1"/>
  <c r="H166" i="11"/>
  <c r="I166" i="11" s="1"/>
  <c r="S165" i="11"/>
  <c r="T165" i="11" s="1"/>
  <c r="I165" i="11"/>
  <c r="H165" i="11"/>
  <c r="S164" i="11"/>
  <c r="T164" i="11" s="1"/>
  <c r="H164" i="11"/>
  <c r="I164" i="11" s="1"/>
  <c r="T163" i="11"/>
  <c r="I163" i="11"/>
  <c r="T162" i="11"/>
  <c r="S162" i="11"/>
  <c r="H162" i="11"/>
  <c r="I162" i="11" s="1"/>
  <c r="S161" i="11"/>
  <c r="T161" i="11" s="1"/>
  <c r="H161" i="11"/>
  <c r="I161" i="11" s="1"/>
  <c r="S160" i="11"/>
  <c r="H160" i="11"/>
  <c r="S159" i="11"/>
  <c r="T159" i="11" s="1"/>
  <c r="H159" i="11"/>
  <c r="I159" i="11" s="1"/>
  <c r="T150" i="11"/>
  <c r="I150" i="11"/>
  <c r="T149" i="11"/>
  <c r="I149" i="11"/>
  <c r="T148" i="11"/>
  <c r="I148" i="11"/>
  <c r="T147" i="11"/>
  <c r="I147" i="11"/>
  <c r="T144" i="11"/>
  <c r="I144" i="11"/>
  <c r="T143" i="11"/>
  <c r="I143" i="11"/>
  <c r="T142" i="11"/>
  <c r="I142" i="11"/>
  <c r="T141" i="11"/>
  <c r="I141" i="11"/>
  <c r="T140" i="11"/>
  <c r="I140" i="11"/>
  <c r="T139" i="11"/>
  <c r="I139" i="11"/>
  <c r="T138" i="11"/>
  <c r="I138" i="11"/>
  <c r="T137" i="11"/>
  <c r="I137" i="11"/>
  <c r="I136" i="11"/>
  <c r="I135" i="11"/>
  <c r="I134" i="11"/>
  <c r="T130" i="11"/>
  <c r="I130" i="11"/>
  <c r="T129" i="11"/>
  <c r="I129" i="11"/>
  <c r="T128" i="11"/>
  <c r="I128" i="11"/>
  <c r="T127" i="11"/>
  <c r="I127" i="11"/>
  <c r="T126" i="11"/>
  <c r="I126" i="11"/>
  <c r="T125" i="11"/>
  <c r="I125" i="11"/>
  <c r="T124" i="11"/>
  <c r="I124" i="11"/>
  <c r="T123" i="11"/>
  <c r="I123" i="11"/>
  <c r="T122" i="11"/>
  <c r="I122" i="11"/>
  <c r="T121" i="11"/>
  <c r="I121" i="11"/>
  <c r="T120" i="11"/>
  <c r="I120" i="11"/>
  <c r="T119" i="11"/>
  <c r="I119" i="11"/>
  <c r="T118" i="11"/>
  <c r="I118" i="11"/>
  <c r="T117" i="11"/>
  <c r="I117" i="11"/>
  <c r="T116" i="11"/>
  <c r="I116" i="11"/>
  <c r="T115" i="11"/>
  <c r="I115" i="11"/>
  <c r="T114" i="11"/>
  <c r="I114" i="11"/>
  <c r="T111" i="11"/>
  <c r="I111" i="11"/>
  <c r="T110" i="11"/>
  <c r="I110" i="11"/>
  <c r="T109" i="11"/>
  <c r="I109" i="11"/>
  <c r="T108" i="11"/>
  <c r="I108" i="11"/>
  <c r="T107" i="11"/>
  <c r="I107" i="11"/>
  <c r="T106" i="11"/>
  <c r="I106" i="11"/>
  <c r="T105" i="11"/>
  <c r="I105" i="11"/>
  <c r="T104" i="11"/>
  <c r="I104" i="11"/>
  <c r="T103" i="11"/>
  <c r="I103" i="11"/>
  <c r="T102" i="11"/>
  <c r="I102" i="11"/>
  <c r="T101" i="11"/>
  <c r="I101" i="11"/>
  <c r="T100" i="11"/>
  <c r="I100" i="11"/>
  <c r="T97" i="11"/>
  <c r="S97" i="11"/>
  <c r="H97" i="11"/>
  <c r="I97" i="11" s="1"/>
  <c r="T96" i="11"/>
  <c r="S96" i="11"/>
  <c r="I96" i="11"/>
  <c r="H96" i="11"/>
  <c r="S95" i="11"/>
  <c r="T95" i="11" s="1"/>
  <c r="H95" i="11"/>
  <c r="I95" i="11" s="1"/>
  <c r="S94" i="11"/>
  <c r="T94" i="11" s="1"/>
  <c r="I94" i="11"/>
  <c r="H94" i="11"/>
  <c r="S93" i="11"/>
  <c r="T93" i="11" s="1"/>
  <c r="H93" i="11"/>
  <c r="I93" i="11" s="1"/>
  <c r="S92" i="11"/>
  <c r="T92" i="11" s="1"/>
  <c r="I92" i="11"/>
  <c r="H92" i="11"/>
  <c r="S91" i="11"/>
  <c r="T91" i="11" s="1"/>
  <c r="H91" i="11"/>
  <c r="I91" i="11" s="1"/>
  <c r="S90" i="11"/>
  <c r="T90" i="11" s="1"/>
  <c r="I90" i="11"/>
  <c r="H90" i="11"/>
  <c r="S89" i="11"/>
  <c r="T89" i="11" s="1"/>
  <c r="H89" i="11"/>
  <c r="I89" i="11" s="1"/>
  <c r="S88" i="11"/>
  <c r="T88" i="11" s="1"/>
  <c r="I88" i="11"/>
  <c r="H88" i="11"/>
  <c r="S87" i="11"/>
  <c r="T87" i="11" s="1"/>
  <c r="H87" i="11"/>
  <c r="I87" i="11" s="1"/>
  <c r="S86" i="11"/>
  <c r="T86" i="11" s="1"/>
  <c r="I86" i="11"/>
  <c r="H86" i="11"/>
  <c r="T83" i="11"/>
  <c r="I83" i="11"/>
  <c r="T82" i="11"/>
  <c r="I82" i="11"/>
  <c r="T81" i="11"/>
  <c r="I81" i="11"/>
  <c r="T80" i="11"/>
  <c r="I80" i="11"/>
  <c r="T79" i="11"/>
  <c r="I79" i="11"/>
  <c r="T77" i="11"/>
  <c r="I77" i="11"/>
  <c r="T76" i="11"/>
  <c r="I76" i="11"/>
  <c r="S75" i="11"/>
  <c r="T75" i="11" s="1"/>
  <c r="H75" i="11"/>
  <c r="I75" i="11" s="1"/>
  <c r="S74" i="11"/>
  <c r="T74" i="11" s="1"/>
  <c r="I74" i="11"/>
  <c r="H74" i="11"/>
  <c r="S73" i="11"/>
  <c r="T73" i="11" s="1"/>
  <c r="H73" i="11"/>
  <c r="I73" i="11" s="1"/>
  <c r="S72" i="11"/>
  <c r="T72" i="11" s="1"/>
  <c r="I72" i="11"/>
  <c r="H72" i="11"/>
  <c r="T69" i="11"/>
  <c r="I69" i="11"/>
  <c r="T68" i="11"/>
  <c r="I68" i="11"/>
  <c r="T67" i="11"/>
  <c r="S67" i="11"/>
  <c r="H67" i="11"/>
  <c r="I67" i="11" s="1"/>
  <c r="S66" i="11"/>
  <c r="T66" i="11" s="1"/>
  <c r="H66" i="11"/>
  <c r="I66" i="11" s="1"/>
  <c r="T65" i="11"/>
  <c r="S65" i="11"/>
  <c r="H65" i="11"/>
  <c r="I65" i="11" s="1"/>
  <c r="S64" i="11"/>
  <c r="T64" i="11" s="1"/>
  <c r="H64" i="11"/>
  <c r="I64" i="11" s="1"/>
  <c r="T63" i="11"/>
  <c r="S63" i="11"/>
  <c r="H63" i="11"/>
  <c r="I63" i="11" s="1"/>
  <c r="S62" i="11"/>
  <c r="T62" i="11" s="1"/>
  <c r="H62" i="11"/>
  <c r="I62" i="11" s="1"/>
  <c r="T61" i="11"/>
  <c r="S61" i="11"/>
  <c r="H61" i="11"/>
  <c r="I61" i="11" s="1"/>
  <c r="S60" i="11"/>
  <c r="T60" i="11" s="1"/>
  <c r="H60" i="11"/>
  <c r="I60" i="11" s="1"/>
  <c r="T59" i="11"/>
  <c r="S59" i="11"/>
  <c r="H59" i="11"/>
  <c r="I59" i="11" s="1"/>
  <c r="S58" i="11"/>
  <c r="T58" i="11" s="1"/>
  <c r="H58" i="11"/>
  <c r="I58" i="11" s="1"/>
  <c r="T57" i="11"/>
  <c r="S57" i="11"/>
  <c r="H57" i="11"/>
  <c r="I57" i="11" s="1"/>
  <c r="S56" i="11"/>
  <c r="T56" i="11" s="1"/>
  <c r="H56" i="11"/>
  <c r="I56" i="11" s="1"/>
  <c r="T55" i="11"/>
  <c r="S55" i="11"/>
  <c r="H55" i="11"/>
  <c r="I55" i="11" s="1"/>
  <c r="T54" i="11"/>
  <c r="I54" i="11"/>
  <c r="S53" i="11"/>
  <c r="T53" i="11" s="1"/>
  <c r="I53" i="11"/>
  <c r="H53" i="11"/>
  <c r="S52" i="11"/>
  <c r="T52" i="11" s="1"/>
  <c r="H52" i="11"/>
  <c r="I52" i="11" s="1"/>
  <c r="S51" i="11"/>
  <c r="H51" i="11"/>
  <c r="T50" i="11"/>
  <c r="S50" i="11"/>
  <c r="H50" i="11"/>
  <c r="I50" i="11" s="1"/>
  <c r="I40" i="11"/>
  <c r="I39" i="11"/>
  <c r="I38" i="11"/>
  <c r="I37" i="11"/>
  <c r="H269" i="1"/>
  <c r="I269" i="1" s="1"/>
  <c r="J287" i="1" s="1"/>
  <c r="S269" i="1"/>
  <c r="T269" i="1" s="1"/>
  <c r="U287" i="1" s="1"/>
  <c r="H270" i="1"/>
  <c r="S270" i="1"/>
  <c r="H271" i="1"/>
  <c r="I271" i="1"/>
  <c r="S271" i="1"/>
  <c r="T271" i="1"/>
  <c r="H272" i="1"/>
  <c r="I272" i="1"/>
  <c r="S272" i="1"/>
  <c r="T272" i="1"/>
  <c r="I273" i="1"/>
  <c r="T273" i="1"/>
  <c r="H274" i="1"/>
  <c r="I274" i="1"/>
  <c r="S274" i="1"/>
  <c r="T274" i="1"/>
  <c r="H275" i="1"/>
  <c r="I275" i="1"/>
  <c r="S275" i="1"/>
  <c r="T275" i="1"/>
  <c r="H276" i="1"/>
  <c r="I276" i="1"/>
  <c r="S276" i="1"/>
  <c r="T276" i="1"/>
  <c r="H277" i="1"/>
  <c r="I277" i="1"/>
  <c r="S277" i="1"/>
  <c r="T277" i="1"/>
  <c r="H278" i="1"/>
  <c r="I278" i="1"/>
  <c r="S278" i="1"/>
  <c r="T278" i="1"/>
  <c r="H279" i="1"/>
  <c r="I279" i="1"/>
  <c r="S279" i="1"/>
  <c r="T279" i="1"/>
  <c r="H280" i="1"/>
  <c r="I280" i="1"/>
  <c r="S280" i="1"/>
  <c r="T280" i="1"/>
  <c r="H281" i="1"/>
  <c r="I281" i="1"/>
  <c r="S281" i="1"/>
  <c r="T281" i="1"/>
  <c r="H282" i="1"/>
  <c r="I282" i="1"/>
  <c r="S282" i="1"/>
  <c r="T282" i="1"/>
  <c r="H283" i="1"/>
  <c r="I283" i="1"/>
  <c r="S283" i="1"/>
  <c r="T283" i="1"/>
  <c r="H284" i="1"/>
  <c r="I284" i="1"/>
  <c r="S284" i="1"/>
  <c r="T284" i="1"/>
  <c r="H285" i="1"/>
  <c r="I285" i="1"/>
  <c r="S285" i="1"/>
  <c r="T285" i="1"/>
  <c r="H286" i="1"/>
  <c r="I286" i="1"/>
  <c r="S286" i="1"/>
  <c r="T286" i="1"/>
  <c r="I287" i="1"/>
  <c r="T287" i="1"/>
  <c r="I288" i="1"/>
  <c r="T288" i="1"/>
  <c r="H291" i="1"/>
  <c r="I291" i="1"/>
  <c r="S291" i="1"/>
  <c r="T291" i="1"/>
  <c r="U301" i="1" s="1"/>
  <c r="H292" i="1"/>
  <c r="I292" i="1"/>
  <c r="S292" i="1"/>
  <c r="T292" i="1"/>
  <c r="H293" i="1"/>
  <c r="I293" i="1"/>
  <c r="S293" i="1"/>
  <c r="T293" i="1"/>
  <c r="H294" i="1"/>
  <c r="I294" i="1"/>
  <c r="S294" i="1"/>
  <c r="T294" i="1"/>
  <c r="I295" i="1"/>
  <c r="T295" i="1"/>
  <c r="I296" i="1"/>
  <c r="T296" i="1"/>
  <c r="I298" i="1"/>
  <c r="T298" i="1"/>
  <c r="I299" i="1"/>
  <c r="T299" i="1"/>
  <c r="I300" i="1"/>
  <c r="T300" i="1"/>
  <c r="I301" i="1"/>
  <c r="J301" i="1"/>
  <c r="T301" i="1"/>
  <c r="I302" i="1"/>
  <c r="T302" i="1"/>
  <c r="H305" i="1"/>
  <c r="I305" i="1"/>
  <c r="J315" i="1" s="1"/>
  <c r="S305" i="1"/>
  <c r="T305" i="1"/>
  <c r="U315" i="1" s="1"/>
  <c r="H306" i="1"/>
  <c r="I306" i="1"/>
  <c r="S306" i="1"/>
  <c r="T306" i="1"/>
  <c r="H307" i="1"/>
  <c r="I307" i="1"/>
  <c r="S307" i="1"/>
  <c r="T307" i="1"/>
  <c r="H308" i="1"/>
  <c r="I308" i="1"/>
  <c r="S308" i="1"/>
  <c r="T308" i="1"/>
  <c r="H309" i="1"/>
  <c r="I309" i="1"/>
  <c r="S309" i="1"/>
  <c r="T309" i="1"/>
  <c r="H310" i="1"/>
  <c r="I310" i="1"/>
  <c r="S310" i="1"/>
  <c r="T310" i="1"/>
  <c r="H311" i="1"/>
  <c r="I311" i="1"/>
  <c r="S311" i="1"/>
  <c r="T311" i="1"/>
  <c r="H312" i="1"/>
  <c r="I312" i="1"/>
  <c r="S312" i="1"/>
  <c r="T312" i="1"/>
  <c r="H313" i="1"/>
  <c r="I313" i="1"/>
  <c r="S313" i="1"/>
  <c r="T313" i="1"/>
  <c r="H314" i="1"/>
  <c r="I314" i="1"/>
  <c r="S314" i="1"/>
  <c r="T314" i="1"/>
  <c r="H315" i="1"/>
  <c r="I315" i="1"/>
  <c r="S315" i="1"/>
  <c r="T315" i="1" s="1"/>
  <c r="H316" i="1"/>
  <c r="I316" i="1"/>
  <c r="S316" i="1"/>
  <c r="T316" i="1"/>
  <c r="I319" i="1"/>
  <c r="T319" i="1"/>
  <c r="U329" i="1" s="1"/>
  <c r="I320" i="1"/>
  <c r="T320" i="1"/>
  <c r="I321" i="1"/>
  <c r="T321" i="1"/>
  <c r="I322" i="1"/>
  <c r="T322" i="1"/>
  <c r="I323" i="1"/>
  <c r="T323" i="1"/>
  <c r="I324" i="1"/>
  <c r="T324" i="1"/>
  <c r="I325" i="1"/>
  <c r="T325" i="1"/>
  <c r="I326" i="1"/>
  <c r="T326" i="1"/>
  <c r="I327" i="1"/>
  <c r="T327" i="1"/>
  <c r="I328" i="1"/>
  <c r="T328" i="1"/>
  <c r="I329" i="1"/>
  <c r="J329" i="1"/>
  <c r="T329" i="1"/>
  <c r="I330" i="1"/>
  <c r="T330" i="1"/>
  <c r="I333" i="1"/>
  <c r="T333" i="1"/>
  <c r="I334" i="1"/>
  <c r="T334" i="1"/>
  <c r="U348" i="1" s="1"/>
  <c r="I335" i="1"/>
  <c r="T335" i="1"/>
  <c r="I336" i="1"/>
  <c r="T336" i="1"/>
  <c r="I337" i="1"/>
  <c r="T337" i="1"/>
  <c r="I338" i="1"/>
  <c r="T338" i="1"/>
  <c r="I339" i="1"/>
  <c r="T339" i="1"/>
  <c r="I340" i="1"/>
  <c r="T340" i="1"/>
  <c r="I341" i="1"/>
  <c r="T341" i="1"/>
  <c r="I342" i="1"/>
  <c r="T342" i="1"/>
  <c r="I343" i="1"/>
  <c r="T343" i="1"/>
  <c r="I344" i="1"/>
  <c r="T344" i="1"/>
  <c r="I345" i="1"/>
  <c r="T345" i="1"/>
  <c r="I346" i="1"/>
  <c r="T346" i="1"/>
  <c r="I347" i="1"/>
  <c r="T347" i="1"/>
  <c r="I348" i="1"/>
  <c r="J348" i="1"/>
  <c r="T348" i="1"/>
  <c r="I349" i="1"/>
  <c r="T349" i="1"/>
  <c r="I353" i="1"/>
  <c r="T353" i="1"/>
  <c r="U362" i="1" s="1"/>
  <c r="I354" i="1"/>
  <c r="T354" i="1"/>
  <c r="I355" i="1"/>
  <c r="T355" i="1"/>
  <c r="I356" i="1"/>
  <c r="T356" i="1"/>
  <c r="I357" i="1"/>
  <c r="T357" i="1"/>
  <c r="I358" i="1"/>
  <c r="T358" i="1"/>
  <c r="I359" i="1"/>
  <c r="T359" i="1"/>
  <c r="I360" i="1"/>
  <c r="T360" i="1"/>
  <c r="I361" i="1"/>
  <c r="T361" i="1"/>
  <c r="I362" i="1"/>
  <c r="J362" i="1"/>
  <c r="T362" i="1"/>
  <c r="I363" i="1"/>
  <c r="T363" i="1"/>
  <c r="I366" i="1"/>
  <c r="J368" i="1" s="1"/>
  <c r="T366" i="1"/>
  <c r="U368" i="1" s="1"/>
  <c r="I367" i="1"/>
  <c r="T367" i="1"/>
  <c r="I368" i="1"/>
  <c r="T368" i="1"/>
  <c r="I369" i="1"/>
  <c r="T369" i="1"/>
  <c r="H378" i="1"/>
  <c r="I378" i="1"/>
  <c r="S378" i="1"/>
  <c r="T378" i="1"/>
  <c r="H379" i="1"/>
  <c r="S379" i="1"/>
  <c r="H380" i="1"/>
  <c r="I380" i="1"/>
  <c r="J396" i="1" s="1"/>
  <c r="S380" i="1"/>
  <c r="T380" i="1"/>
  <c r="H381" i="1"/>
  <c r="I381" i="1"/>
  <c r="S381" i="1"/>
  <c r="T381" i="1"/>
  <c r="I382" i="1"/>
  <c r="T382" i="1"/>
  <c r="H383" i="1"/>
  <c r="I383" i="1"/>
  <c r="S383" i="1"/>
  <c r="T383" i="1"/>
  <c r="H384" i="1"/>
  <c r="I384" i="1"/>
  <c r="S384" i="1"/>
  <c r="T384" i="1"/>
  <c r="H385" i="1"/>
  <c r="I385" i="1"/>
  <c r="S385" i="1"/>
  <c r="T385" i="1"/>
  <c r="H386" i="1"/>
  <c r="I386" i="1"/>
  <c r="S386" i="1"/>
  <c r="T386" i="1"/>
  <c r="H387" i="1"/>
  <c r="I387" i="1"/>
  <c r="S387" i="1"/>
  <c r="T387" i="1"/>
  <c r="H388" i="1"/>
  <c r="I388" i="1"/>
  <c r="S388" i="1"/>
  <c r="T388" i="1"/>
  <c r="H389" i="1"/>
  <c r="I389" i="1"/>
  <c r="S389" i="1"/>
  <c r="T389" i="1"/>
  <c r="H390" i="1"/>
  <c r="I390" i="1"/>
  <c r="S390" i="1"/>
  <c r="T390" i="1"/>
  <c r="H391" i="1"/>
  <c r="I391" i="1"/>
  <c r="S391" i="1"/>
  <c r="T391" i="1"/>
  <c r="H392" i="1"/>
  <c r="I392" i="1"/>
  <c r="S392" i="1"/>
  <c r="T392" i="1"/>
  <c r="H393" i="1"/>
  <c r="I393" i="1"/>
  <c r="S393" i="1"/>
  <c r="T393" i="1"/>
  <c r="H394" i="1"/>
  <c r="I394" i="1"/>
  <c r="S394" i="1"/>
  <c r="T394" i="1"/>
  <c r="U396" i="1" s="1"/>
  <c r="H395" i="1"/>
  <c r="I395" i="1"/>
  <c r="S395" i="1"/>
  <c r="T395" i="1"/>
  <c r="I396" i="1"/>
  <c r="T396" i="1"/>
  <c r="I397" i="1"/>
  <c r="T397" i="1"/>
  <c r="H400" i="1"/>
  <c r="I400" i="1"/>
  <c r="S400" i="1"/>
  <c r="T400" i="1"/>
  <c r="H401" i="1"/>
  <c r="I401" i="1"/>
  <c r="J410" i="1" s="1"/>
  <c r="S401" i="1"/>
  <c r="T401" i="1"/>
  <c r="H402" i="1"/>
  <c r="I402" i="1"/>
  <c r="S402" i="1"/>
  <c r="T402" i="1"/>
  <c r="H403" i="1"/>
  <c r="I403" i="1"/>
  <c r="S403" i="1"/>
  <c r="T403" i="1"/>
  <c r="I404" i="1"/>
  <c r="T404" i="1"/>
  <c r="I405" i="1"/>
  <c r="T405" i="1"/>
  <c r="I407" i="1"/>
  <c r="T407" i="1"/>
  <c r="I408" i="1"/>
  <c r="T408" i="1"/>
  <c r="I409" i="1"/>
  <c r="T409" i="1"/>
  <c r="I410" i="1"/>
  <c r="T410" i="1"/>
  <c r="U410" i="1"/>
  <c r="I411" i="1"/>
  <c r="T411" i="1"/>
  <c r="H414" i="1"/>
  <c r="I414" i="1"/>
  <c r="S414" i="1"/>
  <c r="T414" i="1"/>
  <c r="H415" i="1"/>
  <c r="I415" i="1"/>
  <c r="J424" i="1" s="1"/>
  <c r="S415" i="1"/>
  <c r="T415" i="1"/>
  <c r="H416" i="1"/>
  <c r="I416" i="1"/>
  <c r="S416" i="1"/>
  <c r="T416" i="1"/>
  <c r="H417" i="1"/>
  <c r="I417" i="1"/>
  <c r="S417" i="1"/>
  <c r="T417" i="1"/>
  <c r="H418" i="1"/>
  <c r="I418" i="1"/>
  <c r="S418" i="1"/>
  <c r="T418" i="1"/>
  <c r="H419" i="1"/>
  <c r="I419" i="1"/>
  <c r="S419" i="1"/>
  <c r="T419" i="1"/>
  <c r="H420" i="1"/>
  <c r="I420" i="1"/>
  <c r="S420" i="1"/>
  <c r="T420" i="1"/>
  <c r="H421" i="1"/>
  <c r="I421" i="1"/>
  <c r="S421" i="1"/>
  <c r="T421" i="1"/>
  <c r="H422" i="1"/>
  <c r="I422" i="1"/>
  <c r="S422" i="1"/>
  <c r="T422" i="1"/>
  <c r="H423" i="1"/>
  <c r="I423" i="1"/>
  <c r="S423" i="1"/>
  <c r="T423" i="1"/>
  <c r="H424" i="1"/>
  <c r="I424" i="1"/>
  <c r="S424" i="1"/>
  <c r="T424" i="1" s="1"/>
  <c r="U424" i="1" s="1"/>
  <c r="H425" i="1"/>
  <c r="I425" i="1"/>
  <c r="S425" i="1"/>
  <c r="T425" i="1"/>
  <c r="I428" i="1"/>
  <c r="J438" i="1" s="1"/>
  <c r="T428" i="1"/>
  <c r="U438" i="1" s="1"/>
  <c r="I429" i="1"/>
  <c r="T429" i="1"/>
  <c r="I430" i="1"/>
  <c r="T430" i="1"/>
  <c r="I431" i="1"/>
  <c r="T431" i="1"/>
  <c r="I432" i="1"/>
  <c r="T432" i="1"/>
  <c r="I433" i="1"/>
  <c r="T433" i="1"/>
  <c r="I434" i="1"/>
  <c r="T434" i="1"/>
  <c r="I435" i="1"/>
  <c r="T435" i="1"/>
  <c r="I436" i="1"/>
  <c r="T436" i="1"/>
  <c r="I437" i="1"/>
  <c r="T437" i="1"/>
  <c r="I438" i="1"/>
  <c r="T438" i="1"/>
  <c r="I439" i="1"/>
  <c r="T439" i="1"/>
  <c r="I442" i="1"/>
  <c r="T442" i="1"/>
  <c r="I443" i="1"/>
  <c r="T443" i="1"/>
  <c r="I444" i="1"/>
  <c r="T444" i="1"/>
  <c r="I445" i="1"/>
  <c r="T445" i="1"/>
  <c r="I446" i="1"/>
  <c r="T446" i="1"/>
  <c r="I447" i="1"/>
  <c r="T447" i="1"/>
  <c r="I448" i="1"/>
  <c r="T448" i="1"/>
  <c r="I449" i="1"/>
  <c r="T449" i="1"/>
  <c r="I450" i="1"/>
  <c r="T450" i="1"/>
  <c r="I451" i="1"/>
  <c r="T451" i="1"/>
  <c r="I452" i="1"/>
  <c r="T452" i="1"/>
  <c r="I453" i="1"/>
  <c r="T453" i="1"/>
  <c r="I454" i="1"/>
  <c r="T454" i="1"/>
  <c r="I455" i="1"/>
  <c r="T455" i="1"/>
  <c r="I456" i="1"/>
  <c r="T456" i="1"/>
  <c r="I457" i="1"/>
  <c r="J457" i="1"/>
  <c r="T457" i="1"/>
  <c r="U457" i="1"/>
  <c r="I458" i="1"/>
  <c r="T458" i="1"/>
  <c r="I462" i="1"/>
  <c r="T462" i="1"/>
  <c r="I463" i="1"/>
  <c r="T463" i="1"/>
  <c r="I464" i="1"/>
  <c r="T464" i="1"/>
  <c r="I465" i="1"/>
  <c r="T465" i="1"/>
  <c r="I466" i="1"/>
  <c r="T466" i="1"/>
  <c r="I467" i="1"/>
  <c r="T467" i="1"/>
  <c r="I468" i="1"/>
  <c r="T468" i="1"/>
  <c r="I469" i="1"/>
  <c r="T469" i="1"/>
  <c r="I470" i="1"/>
  <c r="T470" i="1"/>
  <c r="I471" i="1"/>
  <c r="J471" i="1"/>
  <c r="T471" i="1"/>
  <c r="U471" i="1"/>
  <c r="I472" i="1"/>
  <c r="T472" i="1"/>
  <c r="I475" i="1"/>
  <c r="T475" i="1"/>
  <c r="U477" i="1" s="1"/>
  <c r="I476" i="1"/>
  <c r="T476" i="1"/>
  <c r="I477" i="1"/>
  <c r="J477" i="1"/>
  <c r="J479" i="1" s="1"/>
  <c r="T477" i="1"/>
  <c r="I478" i="1"/>
  <c r="T478" i="1"/>
  <c r="J258" i="11" l="1"/>
  <c r="J252" i="11"/>
  <c r="J238" i="11"/>
  <c r="J219" i="11"/>
  <c r="J191" i="11"/>
  <c r="J481" i="13"/>
  <c r="U372" i="13"/>
  <c r="J372" i="13"/>
  <c r="U261" i="13"/>
  <c r="U152" i="13"/>
  <c r="J152" i="13"/>
  <c r="U143" i="11"/>
  <c r="U129" i="11"/>
  <c r="U110" i="11"/>
  <c r="J143" i="12"/>
  <c r="J129" i="12"/>
  <c r="J82" i="12"/>
  <c r="U191" i="12"/>
  <c r="U238" i="12"/>
  <c r="U110" i="12"/>
  <c r="U129" i="12"/>
  <c r="U82" i="12"/>
  <c r="J110" i="12"/>
  <c r="J149" i="12"/>
  <c r="U96" i="12"/>
  <c r="U149" i="12"/>
  <c r="U252" i="12"/>
  <c r="U143" i="12"/>
  <c r="J219" i="12"/>
  <c r="U68" i="12"/>
  <c r="U205" i="12"/>
  <c r="U260" i="12"/>
  <c r="J191" i="12"/>
  <c r="J96" i="12"/>
  <c r="J68" i="12"/>
  <c r="J177" i="12"/>
  <c r="J205" i="12"/>
  <c r="U177" i="12"/>
  <c r="J287" i="11"/>
  <c r="U149" i="11"/>
  <c r="J129" i="11"/>
  <c r="J149" i="11"/>
  <c r="J143" i="11"/>
  <c r="J110" i="11"/>
  <c r="U424" i="11"/>
  <c r="J68" i="11"/>
  <c r="U68" i="11"/>
  <c r="J82" i="11"/>
  <c r="J96" i="11"/>
  <c r="U177" i="11"/>
  <c r="U301" i="11"/>
  <c r="U396" i="11"/>
  <c r="J410" i="11"/>
  <c r="U82" i="11"/>
  <c r="U96" i="11"/>
  <c r="U287" i="11"/>
  <c r="J315" i="11"/>
  <c r="J370" i="11" s="1"/>
  <c r="U410" i="11"/>
  <c r="J205" i="11"/>
  <c r="U191" i="11"/>
  <c r="U205" i="11"/>
  <c r="U260" i="11" s="1"/>
  <c r="J424" i="11"/>
  <c r="U315" i="11"/>
  <c r="U370" i="11" s="1"/>
  <c r="J177" i="11"/>
  <c r="U370" i="1"/>
  <c r="J370" i="1"/>
  <c r="U479" i="1"/>
  <c r="H159" i="1"/>
  <c r="I159" i="1"/>
  <c r="S159" i="1"/>
  <c r="T159" i="1" s="1"/>
  <c r="H160" i="1"/>
  <c r="S160" i="1"/>
  <c r="H161" i="1"/>
  <c r="I161" i="1"/>
  <c r="S161" i="1"/>
  <c r="T161" i="1"/>
  <c r="H162" i="1"/>
  <c r="I162" i="1" s="1"/>
  <c r="S162" i="1"/>
  <c r="T162" i="1" s="1"/>
  <c r="I163" i="1"/>
  <c r="T163" i="1"/>
  <c r="H164" i="1"/>
  <c r="I164" i="1"/>
  <c r="S164" i="1"/>
  <c r="T164" i="1" s="1"/>
  <c r="H165" i="1"/>
  <c r="I165" i="1"/>
  <c r="S165" i="1"/>
  <c r="T165" i="1"/>
  <c r="H166" i="1"/>
  <c r="I166" i="1"/>
  <c r="S166" i="1"/>
  <c r="T166" i="1" s="1"/>
  <c r="H167" i="1"/>
  <c r="I167" i="1"/>
  <c r="S167" i="1"/>
  <c r="T167" i="1"/>
  <c r="H168" i="1"/>
  <c r="I168" i="1"/>
  <c r="S168" i="1"/>
  <c r="T168" i="1" s="1"/>
  <c r="H169" i="1"/>
  <c r="I169" i="1"/>
  <c r="S169" i="1"/>
  <c r="T169" i="1"/>
  <c r="H170" i="1"/>
  <c r="I170" i="1"/>
  <c r="S170" i="1"/>
  <c r="T170" i="1" s="1"/>
  <c r="H171" i="1"/>
  <c r="I171" i="1"/>
  <c r="S171" i="1"/>
  <c r="T171" i="1"/>
  <c r="H172" i="1"/>
  <c r="I172" i="1"/>
  <c r="S172" i="1"/>
  <c r="T172" i="1" s="1"/>
  <c r="H173" i="1"/>
  <c r="I173" i="1"/>
  <c r="S173" i="1"/>
  <c r="T173" i="1"/>
  <c r="H174" i="1"/>
  <c r="I174" i="1"/>
  <c r="S174" i="1"/>
  <c r="T174" i="1" s="1"/>
  <c r="H175" i="1"/>
  <c r="I175" i="1"/>
  <c r="S175" i="1"/>
  <c r="T175" i="1"/>
  <c r="H176" i="1"/>
  <c r="I176" i="1"/>
  <c r="S176" i="1"/>
  <c r="T176" i="1" s="1"/>
  <c r="I177" i="1"/>
  <c r="T177" i="1"/>
  <c r="I178" i="1"/>
  <c r="T178" i="1"/>
  <c r="H181" i="1"/>
  <c r="I181" i="1" s="1"/>
  <c r="S181" i="1"/>
  <c r="T181" i="1"/>
  <c r="H182" i="1"/>
  <c r="I182" i="1"/>
  <c r="S182" i="1"/>
  <c r="T182" i="1"/>
  <c r="U191" i="1" s="1"/>
  <c r="H183" i="1"/>
  <c r="I183" i="1" s="1"/>
  <c r="S183" i="1"/>
  <c r="T183" i="1"/>
  <c r="H184" i="1"/>
  <c r="I184" i="1"/>
  <c r="S184" i="1"/>
  <c r="T184" i="1"/>
  <c r="I185" i="1"/>
  <c r="T185" i="1"/>
  <c r="I186" i="1"/>
  <c r="T186" i="1"/>
  <c r="I188" i="1"/>
  <c r="T188" i="1"/>
  <c r="I189" i="1"/>
  <c r="T189" i="1"/>
  <c r="I190" i="1"/>
  <c r="T190" i="1"/>
  <c r="I191" i="1"/>
  <c r="T191" i="1"/>
  <c r="I192" i="1"/>
  <c r="T192" i="1"/>
  <c r="H195" i="1"/>
  <c r="I195" i="1" s="1"/>
  <c r="S195" i="1"/>
  <c r="T195" i="1"/>
  <c r="H196" i="1"/>
  <c r="I196" i="1"/>
  <c r="S196" i="1"/>
  <c r="T196" i="1"/>
  <c r="H197" i="1"/>
  <c r="I197" i="1" s="1"/>
  <c r="S197" i="1"/>
  <c r="T197" i="1"/>
  <c r="H198" i="1"/>
  <c r="I198" i="1"/>
  <c r="S198" i="1"/>
  <c r="T198" i="1"/>
  <c r="H199" i="1"/>
  <c r="I199" i="1" s="1"/>
  <c r="S199" i="1"/>
  <c r="T199" i="1"/>
  <c r="H200" i="1"/>
  <c r="I200" i="1"/>
  <c r="S200" i="1"/>
  <c r="T200" i="1"/>
  <c r="H201" i="1"/>
  <c r="I201" i="1" s="1"/>
  <c r="S201" i="1"/>
  <c r="T201" i="1"/>
  <c r="H202" i="1"/>
  <c r="I202" i="1"/>
  <c r="S202" i="1"/>
  <c r="T202" i="1"/>
  <c r="H203" i="1"/>
  <c r="I203" i="1" s="1"/>
  <c r="S203" i="1"/>
  <c r="T203" i="1"/>
  <c r="H204" i="1"/>
  <c r="I204" i="1"/>
  <c r="S204" i="1"/>
  <c r="T204" i="1"/>
  <c r="H205" i="1"/>
  <c r="I205" i="1" s="1"/>
  <c r="S205" i="1"/>
  <c r="T205" i="1"/>
  <c r="H206" i="1"/>
  <c r="I206" i="1"/>
  <c r="S206" i="1"/>
  <c r="T206" i="1" s="1"/>
  <c r="I209" i="1"/>
  <c r="T209" i="1"/>
  <c r="I210" i="1"/>
  <c r="T210" i="1"/>
  <c r="I211" i="1"/>
  <c r="T211" i="1"/>
  <c r="I212" i="1"/>
  <c r="J219" i="1" s="1"/>
  <c r="T212" i="1"/>
  <c r="I213" i="1"/>
  <c r="T213" i="1"/>
  <c r="I214" i="1"/>
  <c r="T214" i="1"/>
  <c r="I215" i="1"/>
  <c r="T215" i="1"/>
  <c r="I216" i="1"/>
  <c r="T216" i="1"/>
  <c r="I217" i="1"/>
  <c r="T217" i="1"/>
  <c r="I218" i="1"/>
  <c r="T218" i="1"/>
  <c r="I219" i="1"/>
  <c r="T219" i="1"/>
  <c r="U219" i="1" s="1"/>
  <c r="I220" i="1"/>
  <c r="T220" i="1"/>
  <c r="I223" i="1"/>
  <c r="J238" i="1" s="1"/>
  <c r="T223" i="1"/>
  <c r="I224" i="1"/>
  <c r="T224" i="1"/>
  <c r="U238" i="1" s="1"/>
  <c r="I225" i="1"/>
  <c r="T225" i="1"/>
  <c r="I226" i="1"/>
  <c r="T226" i="1"/>
  <c r="I227" i="1"/>
  <c r="T227" i="1"/>
  <c r="I228" i="1"/>
  <c r="T228" i="1"/>
  <c r="I229" i="1"/>
  <c r="T229" i="1"/>
  <c r="I230" i="1"/>
  <c r="T230" i="1"/>
  <c r="I231" i="1"/>
  <c r="T231" i="1"/>
  <c r="I232" i="1"/>
  <c r="T232" i="1"/>
  <c r="I233" i="1"/>
  <c r="T233" i="1"/>
  <c r="I234" i="1"/>
  <c r="T234" i="1"/>
  <c r="I235" i="1"/>
  <c r="T235" i="1"/>
  <c r="I236" i="1"/>
  <c r="T236" i="1"/>
  <c r="I237" i="1"/>
  <c r="T237" i="1"/>
  <c r="I238" i="1"/>
  <c r="T238" i="1"/>
  <c r="I239" i="1"/>
  <c r="T239" i="1"/>
  <c r="I243" i="1"/>
  <c r="J252" i="1" s="1"/>
  <c r="T243" i="1"/>
  <c r="U252" i="1" s="1"/>
  <c r="I244" i="1"/>
  <c r="T244" i="1"/>
  <c r="I245" i="1"/>
  <c r="T245" i="1"/>
  <c r="I246" i="1"/>
  <c r="T246" i="1"/>
  <c r="I247" i="1"/>
  <c r="T247" i="1"/>
  <c r="I248" i="1"/>
  <c r="T248" i="1"/>
  <c r="I249" i="1"/>
  <c r="T249" i="1"/>
  <c r="I250" i="1"/>
  <c r="T250" i="1"/>
  <c r="I251" i="1"/>
  <c r="T251" i="1"/>
  <c r="I252" i="1"/>
  <c r="T252" i="1"/>
  <c r="I253" i="1"/>
  <c r="T253" i="1"/>
  <c r="I256" i="1"/>
  <c r="J258" i="1" s="1"/>
  <c r="T256" i="1"/>
  <c r="U258" i="1" s="1"/>
  <c r="I257" i="1"/>
  <c r="T257" i="1"/>
  <c r="I258" i="1"/>
  <c r="T258" i="1"/>
  <c r="I259" i="1"/>
  <c r="T259" i="1"/>
  <c r="S50" i="1"/>
  <c r="T50" i="1"/>
  <c r="S51" i="1"/>
  <c r="S52" i="1"/>
  <c r="T52" i="1" s="1"/>
  <c r="S53" i="1"/>
  <c r="T53" i="1"/>
  <c r="T54" i="1"/>
  <c r="S55" i="1"/>
  <c r="T55" i="1"/>
  <c r="S56" i="1"/>
  <c r="T56" i="1"/>
  <c r="S57" i="1"/>
  <c r="T57" i="1" s="1"/>
  <c r="S58" i="1"/>
  <c r="T58" i="1"/>
  <c r="S59" i="1"/>
  <c r="T59" i="1"/>
  <c r="S60" i="1"/>
  <c r="T60" i="1"/>
  <c r="S61" i="1"/>
  <c r="T61" i="1" s="1"/>
  <c r="S62" i="1"/>
  <c r="T62" i="1"/>
  <c r="S63" i="1"/>
  <c r="T63" i="1"/>
  <c r="S64" i="1"/>
  <c r="T64" i="1"/>
  <c r="S65" i="1"/>
  <c r="T65" i="1" s="1"/>
  <c r="S66" i="1"/>
  <c r="T66" i="1"/>
  <c r="S67" i="1"/>
  <c r="T67" i="1"/>
  <c r="T68" i="1"/>
  <c r="T69" i="1"/>
  <c r="S72" i="1"/>
  <c r="T72" i="1"/>
  <c r="S73" i="1"/>
  <c r="T73" i="1"/>
  <c r="S74" i="1"/>
  <c r="T74" i="1" s="1"/>
  <c r="S75" i="1"/>
  <c r="T75" i="1" s="1"/>
  <c r="T76" i="1"/>
  <c r="T77" i="1"/>
  <c r="T79" i="1"/>
  <c r="T80" i="1"/>
  <c r="T81" i="1"/>
  <c r="T82" i="1"/>
  <c r="T83" i="1"/>
  <c r="S86" i="1"/>
  <c r="T86" i="1"/>
  <c r="S87" i="1"/>
  <c r="T87" i="1"/>
  <c r="S88" i="1"/>
  <c r="T88" i="1" s="1"/>
  <c r="S89" i="1"/>
  <c r="T89" i="1" s="1"/>
  <c r="S90" i="1"/>
  <c r="T90" i="1"/>
  <c r="S91" i="1"/>
  <c r="T91" i="1"/>
  <c r="S92" i="1"/>
  <c r="T92" i="1" s="1"/>
  <c r="S93" i="1"/>
  <c r="T93" i="1" s="1"/>
  <c r="S94" i="1"/>
  <c r="T94" i="1"/>
  <c r="S95" i="1"/>
  <c r="T95" i="1"/>
  <c r="S96" i="1"/>
  <c r="T96" i="1" s="1"/>
  <c r="S97" i="1"/>
  <c r="T97" i="1" s="1"/>
  <c r="T100" i="1"/>
  <c r="T101" i="1"/>
  <c r="T102" i="1"/>
  <c r="T103" i="1"/>
  <c r="T104" i="1"/>
  <c r="T105" i="1"/>
  <c r="T106" i="1"/>
  <c r="T107" i="1"/>
  <c r="T108" i="1"/>
  <c r="T109" i="1"/>
  <c r="T110" i="1"/>
  <c r="U110" i="1"/>
  <c r="T111" i="1"/>
  <c r="T114" i="1"/>
  <c r="T115" i="1"/>
  <c r="T116" i="1"/>
  <c r="T117" i="1"/>
  <c r="T118" i="1"/>
  <c r="U129" i="1" s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4" i="1"/>
  <c r="T135" i="1"/>
  <c r="T136" i="1"/>
  <c r="T137" i="1"/>
  <c r="U143" i="1" s="1"/>
  <c r="T138" i="1"/>
  <c r="T139" i="1"/>
  <c r="T140" i="1"/>
  <c r="T141" i="1"/>
  <c r="T142" i="1"/>
  <c r="T143" i="1"/>
  <c r="T144" i="1"/>
  <c r="T147" i="1"/>
  <c r="U149" i="1" s="1"/>
  <c r="T148" i="1"/>
  <c r="T149" i="1"/>
  <c r="T150" i="1"/>
  <c r="J260" i="11" l="1"/>
  <c r="U151" i="12"/>
  <c r="J151" i="12"/>
  <c r="J260" i="12"/>
  <c r="U151" i="11"/>
  <c r="U479" i="11"/>
  <c r="J479" i="11"/>
  <c r="J151" i="11"/>
  <c r="J191" i="1"/>
  <c r="J177" i="1"/>
  <c r="U205" i="1"/>
  <c r="U260" i="1"/>
  <c r="J260" i="1"/>
  <c r="J205" i="1"/>
  <c r="U177" i="1"/>
  <c r="U96" i="1"/>
  <c r="U82" i="1"/>
  <c r="U68" i="1"/>
  <c r="U151" i="1" s="1"/>
  <c r="H97" i="1" l="1"/>
  <c r="H96" i="1"/>
  <c r="H95" i="1"/>
  <c r="H94" i="1"/>
  <c r="H93" i="1"/>
  <c r="H92" i="1"/>
  <c r="H91" i="1"/>
  <c r="H90" i="1"/>
  <c r="H89" i="1"/>
  <c r="H88" i="1"/>
  <c r="H87" i="1"/>
  <c r="H86" i="1"/>
  <c r="H74" i="1"/>
  <c r="H75" i="1"/>
  <c r="H73" i="1"/>
  <c r="H72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3" i="1"/>
  <c r="H52" i="1"/>
  <c r="H51" i="1"/>
  <c r="H50" i="1"/>
  <c r="I63" i="1" l="1"/>
  <c r="I62" i="1"/>
  <c r="I61" i="1"/>
  <c r="I67" i="1"/>
  <c r="I66" i="1"/>
  <c r="I65" i="1"/>
  <c r="I64" i="1"/>
  <c r="I60" i="1"/>
  <c r="I59" i="1"/>
  <c r="I58" i="1"/>
  <c r="I57" i="1"/>
  <c r="I56" i="1"/>
  <c r="I55" i="1"/>
  <c r="I53" i="1"/>
  <c r="I52" i="1"/>
  <c r="I50" i="1"/>
  <c r="I149" i="1"/>
  <c r="I150" i="1"/>
  <c r="I147" i="1"/>
  <c r="I148" i="1"/>
  <c r="I144" i="1"/>
  <c r="I104" i="1"/>
  <c r="I105" i="1"/>
  <c r="I106" i="1"/>
  <c r="I107" i="1"/>
  <c r="I108" i="1"/>
  <c r="I109" i="1"/>
  <c r="I100" i="1"/>
  <c r="I101" i="1"/>
  <c r="I102" i="1"/>
  <c r="I103" i="1"/>
  <c r="I93" i="1"/>
  <c r="I94" i="1"/>
  <c r="I95" i="1"/>
  <c r="I96" i="1"/>
  <c r="I97" i="1"/>
  <c r="I86" i="1"/>
  <c r="I87" i="1"/>
  <c r="I88" i="1"/>
  <c r="I90" i="1"/>
  <c r="I91" i="1"/>
  <c r="I92" i="1"/>
  <c r="I82" i="1"/>
  <c r="I83" i="1"/>
  <c r="I72" i="1"/>
  <c r="I73" i="1"/>
  <c r="I74" i="1"/>
  <c r="I75" i="1"/>
  <c r="I89" i="1"/>
  <c r="I143" i="1"/>
  <c r="I142" i="1"/>
  <c r="I141" i="1"/>
  <c r="I140" i="1"/>
  <c r="I139" i="1"/>
  <c r="I138" i="1"/>
  <c r="I137" i="1"/>
  <c r="I136" i="1"/>
  <c r="I135" i="1"/>
  <c r="I134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1" i="1"/>
  <c r="I110" i="1"/>
  <c r="I81" i="1"/>
  <c r="I80" i="1"/>
  <c r="I79" i="1"/>
  <c r="I77" i="1"/>
  <c r="I76" i="1"/>
  <c r="I69" i="1"/>
  <c r="I68" i="1"/>
  <c r="I54" i="1"/>
  <c r="J129" i="1" l="1"/>
  <c r="J143" i="1"/>
  <c r="J149" i="1"/>
  <c r="J110" i="1"/>
  <c r="J96" i="1"/>
  <c r="J82" i="1"/>
  <c r="J68" i="1"/>
  <c r="J151" i="1" s="1"/>
  <c r="G27" i="10" l="1"/>
  <c r="G29" i="10"/>
  <c r="G31" i="10"/>
  <c r="G23" i="10"/>
  <c r="G25" i="10"/>
  <c r="G40" i="10"/>
  <c r="G38" i="10"/>
  <c r="G21" i="10"/>
  <c r="F5" i="10"/>
  <c r="L65" i="8"/>
  <c r="M65" i="8" s="1"/>
  <c r="L57" i="8" l="1"/>
  <c r="L69" i="8"/>
  <c r="L71" i="8"/>
  <c r="L73" i="8"/>
  <c r="L75" i="8"/>
  <c r="G40" i="7" l="1"/>
  <c r="G38" i="7"/>
  <c r="I40" i="1" l="1"/>
  <c r="I39" i="1"/>
  <c r="I38" i="1"/>
  <c r="I37" i="1"/>
  <c r="M75" i="8" l="1"/>
  <c r="M73" i="8"/>
  <c r="M71" i="8"/>
  <c r="M69" i="8"/>
  <c r="L31" i="8"/>
  <c r="L27" i="8"/>
  <c r="L25" i="8"/>
  <c r="L23" i="8"/>
  <c r="L21" i="8"/>
  <c r="L17" i="8"/>
  <c r="G21" i="7"/>
  <c r="F5" i="7"/>
  <c r="I19" i="8" l="1"/>
  <c r="L19" i="8" s="1"/>
  <c r="I13" i="8"/>
  <c r="L13" i="8" s="1"/>
  <c r="I47" i="8"/>
  <c r="I39" i="8"/>
  <c r="L39" i="8" s="1"/>
  <c r="M39" i="8" s="1"/>
  <c r="L37" i="8"/>
  <c r="M37" i="8" s="1"/>
  <c r="F42" i="7"/>
  <c r="I29" i="8" l="1"/>
  <c r="L29" i="8" s="1"/>
  <c r="I9" i="8"/>
  <c r="L9" i="8" s="1"/>
  <c r="I63" i="8"/>
  <c r="L63" i="8" s="1"/>
  <c r="M63" i="8" s="1"/>
  <c r="I45" i="8"/>
  <c r="L45" i="8" s="1"/>
  <c r="M45" i="8" s="1"/>
  <c r="I61" i="8"/>
  <c r="L61" i="8" s="1"/>
  <c r="M61" i="8" s="1"/>
  <c r="I15" i="8"/>
  <c r="L15" i="8" s="1"/>
  <c r="I11" i="8"/>
  <c r="L11" i="8" s="1"/>
  <c r="I67" i="8"/>
  <c r="I59" i="8"/>
  <c r="I53" i="8"/>
  <c r="L55" i="8" s="1"/>
  <c r="L51" i="8"/>
  <c r="M51" i="8" s="1"/>
  <c r="L49" i="8"/>
  <c r="L47" i="8"/>
  <c r="I41" i="8"/>
  <c r="L41" i="8" s="1"/>
  <c r="M41" i="8" s="1"/>
  <c r="I43" i="8"/>
  <c r="L43" i="8" s="1"/>
  <c r="M43" i="8" s="1"/>
  <c r="M57" i="8" l="1"/>
  <c r="L59" i="8"/>
  <c r="L67" i="8"/>
  <c r="L53" i="8"/>
  <c r="M53" i="8" s="1"/>
  <c r="M55" i="8"/>
  <c r="M47" i="8"/>
  <c r="M49" i="8"/>
  <c r="M59" i="8" l="1"/>
  <c r="M6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35" authorId="0" shapeId="0" xr:uid="{875CC037-C488-4EBE-979F-6A68EAF44E1A}">
      <text>
        <r>
          <rPr>
            <sz val="11"/>
            <color theme="1"/>
            <rFont val="Calibri"/>
            <family val="2"/>
            <scheme val="minor"/>
          </rPr>
          <t>======
ID#AAABhFzzeWs
Pablo Meza    (2025-04-29 20:18:54)
REMARCO EN VERDE PARA NO CONFUNDIRME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Meza</author>
  </authors>
  <commentList>
    <comment ref="B117" authorId="0" shapeId="0" xr:uid="{BB1B2656-63FA-4BA7-ADE0-285BAB76966F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Meza</author>
  </authors>
  <commentList>
    <comment ref="B118" authorId="0" shapeId="0" xr:uid="{32C1FD2A-E1C8-4848-BAF4-0995919EB4B0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M118" authorId="0" shapeId="0" xr:uid="{CF9814EB-7520-4B84-BB91-2ACCC5A93ABD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B227" authorId="0" shapeId="0" xr:uid="{05682B5E-73D4-4EBF-90D6-F4033EBF5D38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M227" authorId="0" shapeId="0" xr:uid="{AA76A2CB-F2E4-4845-994C-6DF847192A7C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B338" authorId="0" shapeId="0" xr:uid="{13877413-64A3-46A5-87A8-2568247E373F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M338" authorId="0" shapeId="0" xr:uid="{673C1518-80B5-49FF-9924-15482044E965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B447" authorId="0" shapeId="0" xr:uid="{BBB2FD3B-172B-45A6-A825-452608CEA792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M447" authorId="0" shapeId="0" xr:uid="{4A1C7F06-3B9D-4947-927E-1D6D9AFFD175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Meza</author>
  </authors>
  <commentList>
    <comment ref="B117" authorId="0" shapeId="0" xr:uid="{2773E8B6-06A7-4EC6-B393-C25156A631D6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M117" authorId="0" shapeId="0" xr:uid="{2A6F897C-862C-4132-9FEB-E0903BD73F97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B226" authorId="0" shapeId="0" xr:uid="{D58A0038-8FB1-4C52-99F3-A908E22190FD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M226" authorId="0" shapeId="0" xr:uid="{B6DDAA6B-3D05-4D61-8B3B-8357AD19A234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B336" authorId="0" shapeId="0" xr:uid="{221906BA-C3DD-464D-B59D-160F0F7C15B3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M336" authorId="0" shapeId="0" xr:uid="{499E9A67-146B-4481-9EF7-6DC873DEB50B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B445" authorId="0" shapeId="0" xr:uid="{1D121E39-2273-49E2-AFD2-4FEC6E752D6D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M445" authorId="0" shapeId="0" xr:uid="{B22775FA-271D-4F38-AAC4-F076373043BC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Meza</author>
  </authors>
  <commentList>
    <comment ref="B117" authorId="0" shapeId="0" xr:uid="{FCA02AAB-7A00-4836-A170-38C87E425772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M117" authorId="0" shapeId="0" xr:uid="{97AA44BB-E15D-487D-9EF7-9317DE6FFADA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B226" authorId="0" shapeId="0" xr:uid="{1964E86D-FC79-4C61-BD93-8977945227C7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  <comment ref="M226" authorId="0" shapeId="0" xr:uid="{EC81D49E-50DF-4F4D-AA94-6751B723F30B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5 CAÑOS 20
5 CODOS
10 GRAMPAS
15 CONECTORES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Meza</author>
  </authors>
  <commentList>
    <comment ref="D3" authorId="0" shapeId="0" xr:uid="{0C321908-A828-478C-A605-01FA914AD7AD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PERFILES ALUAR
CONSIDERAR DESCUENTO</t>
        </r>
      </text>
    </comment>
    <comment ref="F3" authorId="0" shapeId="0" xr:uid="{7D55F82A-62B5-416D-9F3B-F547AB3CE172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PERFILES ALUAR</t>
        </r>
      </text>
    </comment>
    <comment ref="J3" authorId="0" shapeId="0" xr:uid="{D4B9222B-26DA-4701-ABF6-AA051A2D0A03}">
      <text>
        <r>
          <rPr>
            <b/>
            <sz val="9"/>
            <color indexed="81"/>
            <rFont val="Tahoma"/>
            <family val="2"/>
          </rPr>
          <t>Pablo Meza:</t>
        </r>
        <r>
          <rPr>
            <sz val="9"/>
            <color indexed="81"/>
            <rFont val="Tahoma"/>
            <family val="2"/>
          </rPr>
          <t xml:space="preserve">
PERFILES MDT
VALORES FINALES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1466AD-3A48-4AA4-8A94-F7686CA759F8}" keepAlive="1" interval="60" name="Consulta - DOLAR" description="Conexión a la consulta 'DOLAR' en el libro." type="5" refreshedVersion="7" background="1" refreshOnLoad="1" saveData="1">
    <dbPr connection="Provider=Microsoft.Mashup.OleDb.1;Data Source=$Workbook$;Location=DOLAR;Extended Properties=&quot;&quot;" command="SELECT * FROM [DOLAR]"/>
  </connection>
</connections>
</file>

<file path=xl/sharedStrings.xml><?xml version="1.0" encoding="utf-8"?>
<sst xmlns="http://schemas.openxmlformats.org/spreadsheetml/2006/main" count="5821" uniqueCount="443">
  <si>
    <t>VALOR</t>
  </si>
  <si>
    <t>FENOLICOS</t>
  </si>
  <si>
    <t>AIRE ACONDICIONADO</t>
  </si>
  <si>
    <t>CABLES 2,5</t>
  </si>
  <si>
    <t>CABLES 1,5</t>
  </si>
  <si>
    <t>IVA</t>
  </si>
  <si>
    <t>PISO VINILICO M2</t>
  </si>
  <si>
    <t>ELECTRODOS</t>
  </si>
  <si>
    <t>MANO DE OBRA ENSAMBLE</t>
  </si>
  <si>
    <t>MANO DE OBRA METALURGICA</t>
  </si>
  <si>
    <t>ESPUMA POLIURETANO</t>
  </si>
  <si>
    <t>PINTURA ASFALTICA</t>
  </si>
  <si>
    <t>ZOCALO 2,4MTS</t>
  </si>
  <si>
    <t>PANEL SIP MACH</t>
  </si>
  <si>
    <t>PANEL 9</t>
  </si>
  <si>
    <t>PANEL 11</t>
  </si>
  <si>
    <t>KIT CLOACAL</t>
  </si>
  <si>
    <t>KIT AGUA</t>
  </si>
  <si>
    <t>TIRANTE VINCULACION 45X67</t>
  </si>
  <si>
    <t>TIRANTE FINALIZACION 35X67</t>
  </si>
  <si>
    <t>FENOLICO</t>
  </si>
  <si>
    <t>TERMOTANQUE</t>
  </si>
  <si>
    <t>ANAFE</t>
  </si>
  <si>
    <t>PANEL 9,2</t>
  </si>
  <si>
    <t>ESTRUCTURA</t>
  </si>
  <si>
    <t>TERMINACIONES</t>
  </si>
  <si>
    <t>INSTALACIONES</t>
  </si>
  <si>
    <t>ABERTURAS</t>
  </si>
  <si>
    <t>ACCESORIOS</t>
  </si>
  <si>
    <t>PUERTA VIDRIO DVH 2,05X0,80</t>
  </si>
  <si>
    <t>PAÑO FIJO DVH 2,44X2,44</t>
  </si>
  <si>
    <t>PINTURA SINTETICA</t>
  </si>
  <si>
    <t>PINTURA LATEX</t>
  </si>
  <si>
    <t>PUERTA PLACA 60</t>
  </si>
  <si>
    <t>PUERTA PLACA 70</t>
  </si>
  <si>
    <t>PUERTA CORREDIZA EMBUTIR 60</t>
  </si>
  <si>
    <t>PUERTA DOBLE CHAPA 2,05X0,80</t>
  </si>
  <si>
    <t>PAÑO FIJO CON VENTANA 2,00X0,80</t>
  </si>
  <si>
    <t>PAÑO FIJO CON VENTANA 1,60X0,80</t>
  </si>
  <si>
    <t>PAÑO FIJO CON VENTANA 1,40X0,80</t>
  </si>
  <si>
    <t>VENTILUZ 0,60X0,40</t>
  </si>
  <si>
    <t>CABLE 4</t>
  </si>
  <si>
    <t>CABLE 6</t>
  </si>
  <si>
    <t>MEDIDA</t>
  </si>
  <si>
    <t>PROVEEDOR</t>
  </si>
  <si>
    <t>MAX ALUMINIO</t>
  </si>
  <si>
    <t>CENTER GLASS</t>
  </si>
  <si>
    <t xml:space="preserve">FRANCO </t>
  </si>
  <si>
    <t>COMAHUE</t>
  </si>
  <si>
    <t>Puerta vidrio DVH 2,05X0,80</t>
  </si>
  <si>
    <t>Paño fijo con paño abrir DVH 2,00X0,80</t>
  </si>
  <si>
    <t>Paño fijo con paño abrir DVH 1,40X0,80</t>
  </si>
  <si>
    <t>Paño fijo con paño abrir DVH 1,60X0,80</t>
  </si>
  <si>
    <t>Paño fijo con banderola DVH 1,60X0,40</t>
  </si>
  <si>
    <t>Paño fijo con paño abrir DVH 2,44x2,44</t>
  </si>
  <si>
    <t>Paño fijo DVH 2,44x2,44</t>
  </si>
  <si>
    <t>Paño fijo con paño abrir 1,40X0,80</t>
  </si>
  <si>
    <t>Paño fijo con paño abrir 1,60X0,80</t>
  </si>
  <si>
    <t>Ventiluz 0,60x0,40</t>
  </si>
  <si>
    <t>3+3/9/4</t>
  </si>
  <si>
    <t>4+4/3+3 blindex</t>
  </si>
  <si>
    <t>Puerta 80 + blindex</t>
  </si>
  <si>
    <t>PAÑO FIJO CON PAÑO ABRIR DVH 2,00X0,80</t>
  </si>
  <si>
    <t>PAÑO FIJO CON PAÑO ABRIR DVH 1,60X0,80</t>
  </si>
  <si>
    <t>PAÑO FIJO CON PAÑO ABRIR DVH 1,40X0,80</t>
  </si>
  <si>
    <t>PAÑO FIJO CON PAÑO ABRIR DVH 2,44X2,44</t>
  </si>
  <si>
    <t>PAÑO FIJO CON BANDEROLA DVH 0,40X1,60</t>
  </si>
  <si>
    <t>CAJA RECTANGULAR</t>
  </si>
  <si>
    <t>CAJA OCTOGONAL</t>
  </si>
  <si>
    <t>4 + 9 + 4</t>
  </si>
  <si>
    <t>LLAVES Y PUNTOS</t>
  </si>
  <si>
    <t>SANITARIOS BARI</t>
  </si>
  <si>
    <t>SANITARIOS ANDINA</t>
  </si>
  <si>
    <t>TIRANTE VINCULACION 45X68</t>
  </si>
  <si>
    <t>TIRANTE FINALIZACION 35X68</t>
  </si>
  <si>
    <t>PISO VINILICO M3</t>
  </si>
  <si>
    <t>PAÑO FIJO 0,40X1,60</t>
  </si>
  <si>
    <t>Paño fijo 1,60x0,40</t>
  </si>
  <si>
    <t>AMPLIACION 12</t>
  </si>
  <si>
    <t>AMPLIACION 6</t>
  </si>
  <si>
    <t>TIPO Y MEDIDA</t>
  </si>
  <si>
    <t>HOLZ KRAUSE</t>
  </si>
  <si>
    <t>ECO</t>
  </si>
  <si>
    <t>FULL</t>
  </si>
  <si>
    <t>ALACENA Y BAJO MESADA 1,20 mts</t>
  </si>
  <si>
    <t>ALACENA Y BAJO MESADA 1,40 mts</t>
  </si>
  <si>
    <t>ALACENA Y BAJO MESADA 1,60 mts</t>
  </si>
  <si>
    <t>ALACENA Y BAJO MESADA 2,00 mts</t>
  </si>
  <si>
    <t>ESCRITORIO 1,20 mts</t>
  </si>
  <si>
    <t>ESCRITORIO 2,00 mts</t>
  </si>
  <si>
    <t>VANITORY COLGANTE 0,60 mts APOYO</t>
  </si>
  <si>
    <t>X</t>
  </si>
  <si>
    <t>VANITORY COLGANTE 0,50 mts BACHA</t>
  </si>
  <si>
    <t>VANITORY COLGANTE 1,00 mts APOYO</t>
  </si>
  <si>
    <t xml:space="preserve">PUERTA INGRESO DOBLE CHAPA </t>
  </si>
  <si>
    <t>MANO DE OBRA</t>
  </si>
  <si>
    <t>SUPERVISION</t>
  </si>
  <si>
    <t>OFICIAL</t>
  </si>
  <si>
    <t>AYUDANTE</t>
  </si>
  <si>
    <t>PAÑOLERO</t>
  </si>
  <si>
    <t>REVESTIMIENTO EXTERIOR SIDING</t>
  </si>
  <si>
    <t>PRESUPUESTO</t>
  </si>
  <si>
    <t>Numero</t>
  </si>
  <si>
    <t>Fecha</t>
  </si>
  <si>
    <t>CLIENTE</t>
  </si>
  <si>
    <t>30 - 71698137 - 8</t>
  </si>
  <si>
    <t>PIN Oeste Mza 18 Lote A1</t>
  </si>
  <si>
    <t>Neuquen, Argentina</t>
  </si>
  <si>
    <t>DIRECCION DE LA OBRA</t>
  </si>
  <si>
    <t>2994087106 - 2996562616</t>
  </si>
  <si>
    <t>MODULO</t>
  </si>
  <si>
    <t>ITEM</t>
  </si>
  <si>
    <t>DESCRIPCION</t>
  </si>
  <si>
    <t>UN.</t>
  </si>
  <si>
    <t>CANT.</t>
  </si>
  <si>
    <t>VALOR UNIT.</t>
  </si>
  <si>
    <t>VALOR TOTAL</t>
  </si>
  <si>
    <t>OPCIONALES</t>
  </si>
  <si>
    <t>TOTAL PRESUPUESTO</t>
  </si>
  <si>
    <t>DISPONIBILIDAD</t>
  </si>
  <si>
    <t>VALIDEZ DEL PRESUPUESTO</t>
  </si>
  <si>
    <t>MONEDA</t>
  </si>
  <si>
    <t>PESOS ARGENTINOS</t>
  </si>
  <si>
    <t>CONDICION DE PAGO</t>
  </si>
  <si>
    <t>NOTA 1</t>
  </si>
  <si>
    <t>PAGINA 1</t>
  </si>
  <si>
    <t>ALCANCE DEL PRESUPUESTO</t>
  </si>
  <si>
    <t>ITEM 1</t>
  </si>
  <si>
    <t>PAGINA 2</t>
  </si>
  <si>
    <t>info@almamod.com.ar</t>
  </si>
  <si>
    <t>ALMAMOD - PIN OESTE MZA 18 LOTE A1 - NEUQUEN - INFO@ALMAMOD.COM.AR - 2994087106 - 2996562616</t>
  </si>
  <si>
    <t>MODULOS</t>
  </si>
  <si>
    <t xml:space="preserve"> INDUSTRIALES</t>
  </si>
  <si>
    <t>TIPO</t>
  </si>
  <si>
    <t>MEDIDAS</t>
  </si>
  <si>
    <t>CARACTERISTICAS</t>
  </si>
  <si>
    <t>COSTO</t>
  </si>
  <si>
    <t>MARGEN</t>
  </si>
  <si>
    <t>PRECIO</t>
  </si>
  <si>
    <t>PESOS</t>
  </si>
  <si>
    <t>COMERCIAL</t>
  </si>
  <si>
    <t>FINAL</t>
  </si>
  <si>
    <t>PROPANEL</t>
  </si>
  <si>
    <t>Oficina Eco 6</t>
  </si>
  <si>
    <t>6 X 2,44 (15M2)</t>
  </si>
  <si>
    <t>Estructura apta para arrastre. Aire acondicionado 3300w</t>
  </si>
  <si>
    <t>Oficina Eco 6 + Baño</t>
  </si>
  <si>
    <t>Estructura apta para arrastre. Inodoro y lavamanos. Aire acondicionado 3300w</t>
  </si>
  <si>
    <t>Oficina Full 6</t>
  </si>
  <si>
    <t>Estructura apta para izaje y arrastre. Aire acondicionado 3300w</t>
  </si>
  <si>
    <t>Oficina Full 6 + Baño</t>
  </si>
  <si>
    <t>Estructura apta para izaje y arrastre. Inodoro y lavamanos. Aire acondicionado 3300w</t>
  </si>
  <si>
    <t>Oficina Full 12</t>
  </si>
  <si>
    <t>12 x 2,44 (30m2)</t>
  </si>
  <si>
    <t>Oficina Full 12 + Baño</t>
  </si>
  <si>
    <t>Comedor 6</t>
  </si>
  <si>
    <t>Estructura apta para izaje y arrastre. Bajo mesada con bacha acero inox. Aire acondicionado</t>
  </si>
  <si>
    <t>Sanitario Mixto 6</t>
  </si>
  <si>
    <t>Estructura apta para izaje y arrastre. Baño hombre 2 inodoro 2 mingitorios 2 lavamano, baño mujer 4 inodoro 2 lavamano</t>
  </si>
  <si>
    <t>Pañol 6</t>
  </si>
  <si>
    <t>Estructura apta para izaje y arrastre</t>
  </si>
  <si>
    <t>Habitacion 6</t>
  </si>
  <si>
    <t>Estructura apta para izaje y arrastre. Doble aire acondicionado. 2 habitaciones separadas con baño privado</t>
  </si>
  <si>
    <t>Company 12</t>
  </si>
  <si>
    <t>ENVIO</t>
  </si>
  <si>
    <t>EXTRA</t>
  </si>
  <si>
    <t>MI CASITA</t>
  </si>
  <si>
    <t>4,88 X 2,44 (12m2)</t>
  </si>
  <si>
    <t>Monoambiente con baño con inodoro, bidet y cuadro ducha, alacena bajo mesada 1,20 . Techo 1 agua altura 2,44 a 2,14</t>
  </si>
  <si>
    <t>MI CASITA (Ampliacion)</t>
  </si>
  <si>
    <t>Ampliacion para habitacion o living. Techo 1 agua altura 2,44 a 2,14</t>
  </si>
  <si>
    <t>2,44 X 2,44 (6m2)</t>
  </si>
  <si>
    <t>Nova 6</t>
  </si>
  <si>
    <t>Nova 12</t>
  </si>
  <si>
    <t>Alma 18</t>
  </si>
  <si>
    <t>6 x 3 (18m2)</t>
  </si>
  <si>
    <t>Monoambiente con baño con inodoro, bidet y cuadro ducha, alacena bajo mesada. Techo 1 agua altura 3,05 a 2,44</t>
  </si>
  <si>
    <t>Alma 18 Plus</t>
  </si>
  <si>
    <t>Monoambiente habitacion separada con baño con inodoro, bidet y cuadro ducha, alacena bajo mesada. Techo 1 agua altura 3,05 a 2,44</t>
  </si>
  <si>
    <t>Alma 27</t>
  </si>
  <si>
    <t>9 x 3 (27m2)</t>
  </si>
  <si>
    <t>1 habitacion con baño y cocina Estructura apta para izaje y arrastre</t>
  </si>
  <si>
    <t>Alma 36</t>
  </si>
  <si>
    <t>12 x 3 (36m2)</t>
  </si>
  <si>
    <t>1 habitacion con baño y cocina comedor y living Estructura apta para izaje y arrastre</t>
  </si>
  <si>
    <t>Alma 36 Plus</t>
  </si>
  <si>
    <t>2 habitaciones con baño cocina comedor y living Estructura apta para izaje y arrastre</t>
  </si>
  <si>
    <t>6 x 6 (36m2)</t>
  </si>
  <si>
    <t>Alma Loft 28</t>
  </si>
  <si>
    <t>7 x 3 (21m2)</t>
  </si>
  <si>
    <t>HABITABLES</t>
  </si>
  <si>
    <t>"Construcción sin limites"</t>
  </si>
  <si>
    <t>Ventiluz DVH 0,60x0,40</t>
  </si>
  <si>
    <t>SANITARIOS</t>
  </si>
  <si>
    <t>ITEM 2</t>
  </si>
  <si>
    <r>
      <rPr>
        <b/>
        <sz val="11"/>
        <color rgb="FF292929"/>
        <rFont val="Arial"/>
        <family val="2"/>
      </rPr>
      <t>EQUIPAMIENTO INCLUIDO:</t>
    </r>
    <r>
      <rPr>
        <sz val="11"/>
        <color rgb="FF292929"/>
        <rFont val="Arial"/>
        <family val="2"/>
      </rPr>
      <t xml:space="preserve">
</t>
    </r>
  </si>
  <si>
    <t>Revestimientos de baño: placas PVC símil mármol a elección</t>
  </si>
  <si>
    <t>Instalación de agua: Por cañería termofusión.</t>
  </si>
  <si>
    <t>Instalación de desagüe: sistema cloacal de cañerías con o-ring.</t>
  </si>
  <si>
    <t>VALORES SIN IVA INCLUIDO</t>
  </si>
  <si>
    <t>ALMA 18</t>
  </si>
  <si>
    <t>ALMA 27</t>
  </si>
  <si>
    <t>ALMA 36</t>
  </si>
  <si>
    <t>Refugio 36 + Deck</t>
  </si>
  <si>
    <t>1 habitaciones con baño cocina comedor y living Estructura apta para izaje y arrastre</t>
  </si>
  <si>
    <t>Refugio 30 + Deck</t>
  </si>
  <si>
    <t>6 x 5 (30m2)</t>
  </si>
  <si>
    <t>7 DIAS</t>
  </si>
  <si>
    <t>Pilotes de hormigon</t>
  </si>
  <si>
    <t>Revestimientos de cocina: placas PVC símil mármol a elección</t>
  </si>
  <si>
    <t>ITEM 3</t>
  </si>
  <si>
    <t>3 habitaciones con baño cocina comedor y living Estructura apta para izaje y arrastre</t>
  </si>
  <si>
    <t>4 habitaciones con baño cocina comedor y living Estructura apta para izaje y arrastre</t>
  </si>
  <si>
    <t>Refugio 45 + Deck</t>
  </si>
  <si>
    <t>Refugio 54 + Deck</t>
  </si>
  <si>
    <t>9 x 6 (54m2)</t>
  </si>
  <si>
    <t>7,5 x 6 (45m2)</t>
  </si>
  <si>
    <t>ALMA 72</t>
  </si>
  <si>
    <t>TORNILLO TORX 6X140 MECHA</t>
  </si>
  <si>
    <t>TORNILLO TORX 6X140 AGUJA</t>
  </si>
  <si>
    <t>TORNILLO HEX MECHA 14X5</t>
  </si>
  <si>
    <t>TORNILLO HEX AGUJA 14X2 1/2</t>
  </si>
  <si>
    <t>MEMBRANA POLIURETANICA</t>
  </si>
  <si>
    <t>Habitacional 30</t>
  </si>
  <si>
    <t>FONDO - ESTRUCTURAL 50X50 2MM</t>
  </si>
  <si>
    <t>PATIN - ESTRUCTURAL 100X100 3,2MM</t>
  </si>
  <si>
    <t>REFUERZO - ESTRUCTURAL 70X50 2MM</t>
  </si>
  <si>
    <t>GUIAS - ESTRUCTURAL 70X30 1,2MM</t>
  </si>
  <si>
    <t>Patín: Armado con perfil U 140 3,2mm y caño estructural 3,2mm, pintado con esmalte sintético 3 en 1 color negro.</t>
  </si>
  <si>
    <t>Inodoro y lavatorio</t>
  </si>
  <si>
    <t>Griferías de baño</t>
  </si>
  <si>
    <t>Modulo oficina 6 mts</t>
  </si>
  <si>
    <t>Modulo oficina c/ baño 6 mts</t>
  </si>
  <si>
    <t>Modulo comedor 6 mts</t>
  </si>
  <si>
    <t>Modulo sanitario mixto 6 mts</t>
  </si>
  <si>
    <t>MES</t>
  </si>
  <si>
    <t>A CONVENIR</t>
  </si>
  <si>
    <t>MODULO OFICINA 6,10 MTS LARGO X 2,44 MTS ANCHO X 2,50 MTS ALTO</t>
  </si>
  <si>
    <t>CONDICION DE CONTRATACION</t>
  </si>
  <si>
    <t>6 MESES POR ORDEN DE COMPRA</t>
  </si>
  <si>
    <t>MODULO OFICINA CON SANITARIO Y LAVAMANOS  6,10 MTS LARGO X 2,44 MTS ANCHO X 2,50 MTS ALTO</t>
  </si>
  <si>
    <t>ITEM 4</t>
  </si>
  <si>
    <t>MODULO COMEDOR 6,10 MTS LARGO X 2,44 MTS ANCHO X 2,50 MTS ALTO</t>
  </si>
  <si>
    <t>Incluye instalacion electrica con toma corrientes y plafones led, tablero con termica y disyuntor diferencial. 1 Aire acondicionado frio calor de 3000 w. 2 ventanas de 1 mts x 1 mts y 1 puerta de 0,80 mts con antipanico. 1 Bajo mesada con bacha. 1 Termotanque. No incluye equipamiento extra</t>
  </si>
  <si>
    <t>Incluye instalacion electrica con toma corrientes y plafones led, tablero con termica y disyuntor diferencial. 1 Aire acondicionado frio calor de 3000 w. 2 ventanas de 1 mts x 1 mts y 1 puerta de 0,80 mts con antipanico. 1 Inodoro y lavamanos. No incluye equipamiento extra</t>
  </si>
  <si>
    <t>Incluye instalacion electrica con toma corrientes y plafones led, tablero con termica y disyuntor diferencial. 1 Aire acondicionado frio calor de 3000 w. 2 ventanas de 1 mts x 1 mts y 1 puerta de 0,80 mts con antipanico. No incluye equipamiento extra</t>
  </si>
  <si>
    <t>MODULO OFICINA CON SANITARIOS MIXTOS 6,10 MTS LARGO X 2,44 MTS ANCHO X 2,50 MTS ALTO</t>
  </si>
  <si>
    <t>Incluye instalacion electrica con toma corrientes y plafones led, tablero con termica y disyuntor diferencial. 2 ventiluz de 0,60 mts x 0,40 mts y 2 puerta de 0,80 mts con antipanico. 4 Inodoros 2 mingitorios y 4 lavamanos. No incluye equipamiento extra</t>
  </si>
  <si>
    <r>
      <rPr>
        <b/>
        <sz val="11"/>
        <color rgb="FF292929"/>
        <rFont val="Arial"/>
        <family val="2"/>
      </rPr>
      <t>ENTREGA</t>
    </r>
    <r>
      <rPr>
        <sz val="11"/>
        <color rgb="FF292929"/>
        <rFont val="Arial"/>
        <family val="2"/>
      </rPr>
      <t xml:space="preserve">
</t>
    </r>
  </si>
  <si>
    <t>OBSERVACIONES</t>
  </si>
  <si>
    <t>Deberan contratar un seguro contra robo, incendio, daños totales y parciales a favor de CONAC S.A.S. 30-71698137-8</t>
  </si>
  <si>
    <t>Los modulos no incluyen mantenimiento de limpieza y/o reparaciones que se dieran por mal uso de los mismos</t>
  </si>
  <si>
    <t>Los modulos no incluyen la vinculacion a servicios (VER OPCIONALES)</t>
  </si>
  <si>
    <t>Los mantenimientos de aire acondicionado estan incluidos (CARGA DE GAS Y LIMPIEZA)</t>
  </si>
  <si>
    <t>30 DIAS FECHA DE FACTURA</t>
  </si>
  <si>
    <t>ALQUILER MENSUAL INDIVISIBLE</t>
  </si>
  <si>
    <t>Los modulos incluyen 2 llaves</t>
  </si>
  <si>
    <t>CIUDAD DE NEUQUEN LOCALIZACION A CONFIRMAR</t>
  </si>
  <si>
    <t>ALMAMOD - PIN OESTE MZA 18 LOTE A1 - NEUQUEN - INFO@ALMAMOD.COM.AR - 2994087106</t>
  </si>
  <si>
    <t>TORNILLO MADERA AGUJA 6X2</t>
  </si>
  <si>
    <t>TORNILLO MADERA AGUJA 6X1 1/2</t>
  </si>
  <si>
    <t>PANEL SMART SIDING</t>
  </si>
  <si>
    <t>ESTRUCTURA PROPANEL</t>
  </si>
  <si>
    <t>TIRANTE FINALIZACION 35X69</t>
  </si>
  <si>
    <t>TIRANTE FINALIZACION 35X70</t>
  </si>
  <si>
    <t>SUB</t>
  </si>
  <si>
    <t>CANT</t>
  </si>
  <si>
    <t>DETALLE</t>
  </si>
  <si>
    <t>TORNILLO HEX MECHA 14X2 1/2</t>
  </si>
  <si>
    <t>BARRERA HIDROFUGA</t>
  </si>
  <si>
    <t>CINTA BARRERA</t>
  </si>
  <si>
    <t>ESTRUCTURA PATIN</t>
  </si>
  <si>
    <t>MARCO - PERFIL U 140X50 3,2MM</t>
  </si>
  <si>
    <t>REFUERZO MARCO - ESTRUCTURAL 50X50 3,2MM</t>
  </si>
  <si>
    <t>FONDO - ESTRUCTURAL 50X50 3,2MM</t>
  </si>
  <si>
    <t>SUBTOTAL</t>
  </si>
  <si>
    <t>REVESTIMIENTO BAÑO PLACAS PVC</t>
  </si>
  <si>
    <t>REVESTIMIENTO COCINA PLCAS PVC</t>
  </si>
  <si>
    <t>PUERTA 0,80 VENTANA 2,00 X 2,05</t>
  </si>
  <si>
    <t>PUERTA 0,40 VENTANA 2,00 X 2,05</t>
  </si>
  <si>
    <t>PUERTA INGRESO VIDRIO</t>
  </si>
  <si>
    <t>VENTANA 2,00 X 0,80</t>
  </si>
  <si>
    <t>VENTANA 2,00 X 0,81</t>
  </si>
  <si>
    <t>VENTANA 2,00 X 0,82</t>
  </si>
  <si>
    <t>VENTANA 1,60 X 0,80</t>
  </si>
  <si>
    <t>VENTANA 1,40 X 0,80</t>
  </si>
  <si>
    <t>VENTANA 1,40 X 0,81</t>
  </si>
  <si>
    <t>VENTANA 1,40 X 0,82</t>
  </si>
  <si>
    <t>VENTANA 0,60 X 1,60</t>
  </si>
  <si>
    <t>VENTANA 0,40 X 1,60</t>
  </si>
  <si>
    <t>VENTILUZ 0,60 X 0,40</t>
  </si>
  <si>
    <t>MESADA Y BACHA</t>
  </si>
  <si>
    <t>GRIFERIA COCINA</t>
  </si>
  <si>
    <t>GRIFERIA BAÑO</t>
  </si>
  <si>
    <t>CUADRO DUCHA</t>
  </si>
  <si>
    <t>ILUMINACION BAÑO</t>
  </si>
  <si>
    <t>ILUMINACION INTERIOR COCINA LIVING</t>
  </si>
  <si>
    <t>EQUIPAMIENTO</t>
  </si>
  <si>
    <t xml:space="preserve">TOTAL </t>
  </si>
  <si>
    <t>TORNILLO TORX MECHA 6X140</t>
  </si>
  <si>
    <t>TORNILLO TORX AGUJA 6X140</t>
  </si>
  <si>
    <t>PERFIL C 140 3,2MM</t>
  </si>
  <si>
    <t>PERFIL U 140 3,2MM</t>
  </si>
  <si>
    <t>PERFIL C 120 2,0MM</t>
  </si>
  <si>
    <t>ESTRUCTURAL 50X50 3,2MM</t>
  </si>
  <si>
    <t>ESTRUCTURAL 50X50 2,0MM</t>
  </si>
  <si>
    <t>PANEL 10</t>
  </si>
  <si>
    <t>PANEL 9,3</t>
  </si>
  <si>
    <t>TORNILLO MADERA AGUJA 6X3</t>
  </si>
  <si>
    <t>TORNILLO MADERA AGUJA 6X1 1/3</t>
  </si>
  <si>
    <t>TORNILLO TORX MECHA 6X141</t>
  </si>
  <si>
    <t>TORNILLO TORX AGUJA 6X141</t>
  </si>
  <si>
    <t>TORNILLO HEX MECHA 14X6</t>
  </si>
  <si>
    <t>TORNILLO HEX MECHA 14X2 1/3</t>
  </si>
  <si>
    <t>TORNILLO HEX AGUJA 14X2 1/3</t>
  </si>
  <si>
    <t>PUERTA 0,80 VENTANA 2,00 X 2,06</t>
  </si>
  <si>
    <t>PUERTA 0,40 VENTANA 2,00 X 2,06</t>
  </si>
  <si>
    <t>VENTANA 1,60 X 0,81</t>
  </si>
  <si>
    <t>VENTANA 0,60 X 1,61</t>
  </si>
  <si>
    <t>VENTANA 0,40 X 1,61</t>
  </si>
  <si>
    <t>VENTILUZ 0,60 X 0,41</t>
  </si>
  <si>
    <t>CABLE 2</t>
  </si>
  <si>
    <t>CABLE 0</t>
  </si>
  <si>
    <t>CABLES 2,6</t>
  </si>
  <si>
    <t>CABLES 1,6</t>
  </si>
  <si>
    <t>REVESTIMIENTO INTERIOR MACHIMBRE</t>
  </si>
  <si>
    <t>REVESTIMIENTO INTERIOR DURLOCK</t>
  </si>
  <si>
    <t>REVESTIMIENTO EXTERIOR CHAPA PREPINTADA</t>
  </si>
  <si>
    <t>REVESTIMIENTO EXTERIOR EIFS</t>
  </si>
  <si>
    <t>PLAFON EXTERIOR</t>
  </si>
  <si>
    <t>PLAFON/LAMPARA HABITACION</t>
  </si>
  <si>
    <t>PLAFON</t>
  </si>
  <si>
    <t>MANGUERA CORRUGADA</t>
  </si>
  <si>
    <t>ALACENA, BAJO MESADA Y VANITORY</t>
  </si>
  <si>
    <t>MANO DE OBRA Y EXTRAS</t>
  </si>
  <si>
    <t>FLETE</t>
  </si>
  <si>
    <t>LOGISTICA</t>
  </si>
  <si>
    <t>ESPUMA POLIURETANO P PISTOLA</t>
  </si>
  <si>
    <t>PANEL 9,4</t>
  </si>
  <si>
    <t>TIRANTE VINCULACION 45X69</t>
  </si>
  <si>
    <t>TORNILLO MADERA AGUJA 6X4</t>
  </si>
  <si>
    <t>TORNILLO MADERA AGUJA 6X1 1/4</t>
  </si>
  <si>
    <t>TORNILLO TORX MECHA 6X142</t>
  </si>
  <si>
    <t>TORNILLO TORX AGUJA 6X142</t>
  </si>
  <si>
    <t>TORNILLO HEX MECHA 14X7</t>
  </si>
  <si>
    <t>TORNILLO HEX MECHA 14X2 1/4</t>
  </si>
  <si>
    <t>TORNILLO HEX AGUJA 14X2 1/4</t>
  </si>
  <si>
    <t>PISO VINILICO M4</t>
  </si>
  <si>
    <t>PUERTA 0,80 VENTANA 2,00 X 2,07</t>
  </si>
  <si>
    <t>PUERTA 0,40 VENTANA 2,00 X 2,07</t>
  </si>
  <si>
    <t>VENTANA 1,60 X 0,82</t>
  </si>
  <si>
    <t>VENTANA 0,60 X 1,62</t>
  </si>
  <si>
    <t>VENTANA 0,40 X 1,62</t>
  </si>
  <si>
    <t>VENTILUZ 0,60 X 0,42</t>
  </si>
  <si>
    <t>CABLES 2,7</t>
  </si>
  <si>
    <t>CABLES 1,7</t>
  </si>
  <si>
    <t>PANEL 12</t>
  </si>
  <si>
    <t>PANEL 9,5</t>
  </si>
  <si>
    <t>TIRANTE VINCULACION 45X70</t>
  </si>
  <si>
    <t>TORNILLO MADERA AGUJA 6X5</t>
  </si>
  <si>
    <t>TORNILLO MADERA AGUJA 6X1 1/5</t>
  </si>
  <si>
    <t>TORNILLO TORX MECHA 6X143</t>
  </si>
  <si>
    <t>TORNILLO TORX AGUJA 6X143</t>
  </si>
  <si>
    <t>TORNILLO HEX MECHA 14X8</t>
  </si>
  <si>
    <t>TORNILLO HEX MECHA 14X2 1/5</t>
  </si>
  <si>
    <t>TORNILLO HEX AGUJA 14X2 1/5</t>
  </si>
  <si>
    <t>PISO VINILICO M5</t>
  </si>
  <si>
    <t>PUERTA 0,80 VENTANA 2,00 X 2,08</t>
  </si>
  <si>
    <t>PUERTA 0,40 VENTANA 2,00 X 2,08</t>
  </si>
  <si>
    <t>VENTANA 2,00 X 0,83</t>
  </si>
  <si>
    <t>VENTANA 1,60 X 0,83</t>
  </si>
  <si>
    <t>VENTANA 1,40 X 0,83</t>
  </si>
  <si>
    <t>VENTANA 0,60 X 1,63</t>
  </si>
  <si>
    <t>VENTANA 0,40 X 1,63</t>
  </si>
  <si>
    <t>VENTILUZ 0,60 X 0,43</t>
  </si>
  <si>
    <t>CABLES 2,8</t>
  </si>
  <si>
    <t>CABLES 1,8</t>
  </si>
  <si>
    <t>ALMA 45</t>
  </si>
  <si>
    <t>ALMA 54</t>
  </si>
  <si>
    <t xml:space="preserve">TOTAL ALMA 18 </t>
  </si>
  <si>
    <t>MANGUERA CORRUGADA 25 MTS</t>
  </si>
  <si>
    <t xml:space="preserve">TOTAL ALMA 27 </t>
  </si>
  <si>
    <t>MI CASITA 12</t>
  </si>
  <si>
    <t>OFICINITA 12</t>
  </si>
  <si>
    <t>ENTREGA FINAL OBRA 10%</t>
  </si>
  <si>
    <t>TIRANTE LAMINADO 3,25MTS</t>
  </si>
  <si>
    <t>ECO 6</t>
  </si>
  <si>
    <t>TERMICA Y DIYUNTOR</t>
  </si>
  <si>
    <t xml:space="preserve">TOTAL ECO 6 </t>
  </si>
  <si>
    <t>DISCOS CORTE</t>
  </si>
  <si>
    <t>DISCOS DESBASTE</t>
  </si>
  <si>
    <t>CENEFAS</t>
  </si>
  <si>
    <t xml:space="preserve">TOTAL ECO 6 BAÑO </t>
  </si>
  <si>
    <t xml:space="preserve">TOTAL FULL 6 </t>
  </si>
  <si>
    <t xml:space="preserve">TOTAL FULL 6 BAÑO </t>
  </si>
  <si>
    <t>GARITA SEGURIDAD 2,44</t>
  </si>
  <si>
    <t>ECO 6 con baño</t>
  </si>
  <si>
    <t>FULL 6</t>
  </si>
  <si>
    <t>FULL 6 con baño</t>
  </si>
  <si>
    <t>PUERTA INGRESO CHAPA</t>
  </si>
  <si>
    <t>PUERTA INGRESO CHAPA DOBLE</t>
  </si>
  <si>
    <t>VENTANA 1,00 X 1,00</t>
  </si>
  <si>
    <t>VENTANA 1,20 X 1,20</t>
  </si>
  <si>
    <t>VENTANA 1,20 X 0,60</t>
  </si>
  <si>
    <t>Laborda Hernan</t>
  </si>
  <si>
    <t>Labordapaz SRL</t>
  </si>
  <si>
    <t>San Patricio del Chañar</t>
  </si>
  <si>
    <t>Modulo Pañol 6 mts</t>
  </si>
  <si>
    <t>ECO 12</t>
  </si>
  <si>
    <t>CENEFA</t>
  </si>
  <si>
    <t>22 dias</t>
  </si>
  <si>
    <t>MODULO CALF 72</t>
  </si>
  <si>
    <t>Carlos Ramasco</t>
  </si>
  <si>
    <t>ICR SA</t>
  </si>
  <si>
    <t>Las Ovejas</t>
  </si>
  <si>
    <t>60 DIAS HABILES</t>
  </si>
  <si>
    <t>MODULO OFICINA 79M2</t>
  </si>
  <si>
    <t>MODULO OFICINA 79 M2</t>
  </si>
  <si>
    <t>Modulacion en 2 estructuras de 12,2 mts de largo y 3,25 mts de ancho.</t>
  </si>
  <si>
    <t>Estructura piso: Panel SIP PROPANEL 15,5 cm, pintado en la cara inferior con pintura asfáltica.</t>
  </si>
  <si>
    <t>Muros: Panel SIP PROPANEL 15,5 cm.</t>
  </si>
  <si>
    <t>Techo: Panel SIP cielorraso PROPANEL 15,5 cm sobre tirantes de pino laminado</t>
  </si>
  <si>
    <t>Revestimiento de muros exterior: Siding pintado con esmalte y chapa prepintada color eleccion</t>
  </si>
  <si>
    <t>Revestimiento de muros interior:  placas color a eleccion</t>
  </si>
  <si>
    <t>Terminación piso interior: Pisos vinilico SPC alto transito alto impacto</t>
  </si>
  <si>
    <t xml:space="preserve">Aberturas: </t>
  </si>
  <si>
    <t>Instalación eléctrica: Cables normalizados desde 6 mm a 1.5 mm.</t>
  </si>
  <si>
    <t>NO INCLUYE</t>
  </si>
  <si>
    <t>2 Aire acondicionado 3000 w</t>
  </si>
  <si>
    <t>1 Termotanque electrico/gas</t>
  </si>
  <si>
    <t>ENTREGA ANTICIPO OBRA 70%</t>
  </si>
  <si>
    <t>ENTREGA AVANCE OBRA 20%</t>
  </si>
  <si>
    <t>TRASLADO A DESTINO. VINCULACION DE MODULOS EN DESTINO. INSTALACION DE PISOS. INSTALACION DE CABLEADO. ABERTURAS. MOBILIARIOS</t>
  </si>
  <si>
    <t>s</t>
  </si>
  <si>
    <t>CATÁLOGO DE COMPONENTES</t>
  </si>
  <si>
    <t>#</t>
  </si>
  <si>
    <t>COMPONENTE</t>
  </si>
  <si>
    <t>PUERTA INGRESO DOBLE CHAPA</t>
  </si>
  <si>
    <t>CANTIDAD</t>
  </si>
  <si>
    <t>MÓDULO</t>
  </si>
  <si>
    <t>MODULO CALF 72 B</t>
  </si>
  <si>
    <t>PRECIO UNIT.</t>
  </si>
  <si>
    <t>PRECIO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</si>
</sst>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[$$-2C0A]\ * #,##0_-;\-[$$-2C0A]\ * #,##0_-;_-[$$-2C0A]\ * &quot;-&quot;??_-;_-@_-"/>
    <numFmt numFmtId="166" formatCode="_-&quot;$&quot;\ * #,##0.0_-;\-&quot;$&quot;\ * #,##0.0_-;_-&quot;$&quot;\ * &quot;-&quot;??_-;_-@_-"/>
    <numFmt numFmtId="167" formatCode="_-&quot;$&quot;\ * #,##0_-;\-&quot;$&quot;\ * #,##0_-;_-&quot;$&quot;\ * &quot;-&quot;??_-;_-@"/>
    <numFmt numFmtId="168" formatCode="&quot;$&quot;#,##0;\(&quot;$&quot;#,##0\);&quot;-&quot;"/>
    <numFmt numFmtId="169" formatCode="#,##0.##"/>
    <numFmt numFmtId="170" formatCode="&quot;$&quot;#,##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20"/>
      <color rgb="FFD8D8D8"/>
      <name val="Arial"/>
      <family val="2"/>
    </font>
    <font>
      <sz val="11"/>
      <name val="Calibri"/>
      <family val="2"/>
    </font>
    <font>
      <b/>
      <sz val="12"/>
      <color theme="4"/>
      <name val="Arial"/>
      <family val="2"/>
    </font>
    <font>
      <sz val="8"/>
      <color theme="1"/>
      <name val="Arial"/>
      <family val="2"/>
    </font>
    <font>
      <sz val="11"/>
      <color rgb="FF292929"/>
      <name val="Arial"/>
      <family val="2"/>
    </font>
    <font>
      <b/>
      <sz val="16"/>
      <color rgb="FF292929"/>
      <name val="Arial"/>
      <family val="2"/>
    </font>
    <font>
      <sz val="10"/>
      <color rgb="FF292929"/>
      <name val="Arial"/>
      <family val="2"/>
    </font>
    <font>
      <b/>
      <sz val="14"/>
      <color rgb="FF292929"/>
      <name val="Arial"/>
      <family val="2"/>
    </font>
    <font>
      <sz val="11"/>
      <color rgb="FF292929"/>
      <name val="Calibri"/>
      <family val="2"/>
      <scheme val="minor"/>
    </font>
    <font>
      <b/>
      <sz val="12"/>
      <color rgb="FF292929"/>
      <name val="Arial"/>
      <family val="2"/>
    </font>
    <font>
      <sz val="9"/>
      <color rgb="FF292929"/>
      <name val="Arial"/>
      <family val="2"/>
    </font>
    <font>
      <b/>
      <sz val="10"/>
      <color rgb="FF292929"/>
      <name val="Arial"/>
      <family val="2"/>
    </font>
    <font>
      <sz val="12"/>
      <color rgb="FF292929"/>
      <name val="Arial"/>
      <family val="2"/>
    </font>
    <font>
      <b/>
      <sz val="11"/>
      <color rgb="FF292929"/>
      <name val="Arial"/>
      <family val="2"/>
    </font>
    <font>
      <b/>
      <sz val="9"/>
      <color rgb="FF292929"/>
      <name val="Arial"/>
      <family val="2"/>
    </font>
    <font>
      <b/>
      <i/>
      <sz val="18"/>
      <color rgb="FF0070C0"/>
      <name val="Arial Unicode MS"/>
      <family val="2"/>
    </font>
    <font>
      <b/>
      <sz val="18"/>
      <color rgb="FF0070C0"/>
      <name val="Arial Unicode MS"/>
      <family val="2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0070C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611">
    <xf numFmtId="0" fontId="0" fillId="0" borderId="0" xfId="0"/>
    <xf numFmtId="0" fontId="0" fillId="0" borderId="1" xfId="0" applyBorder="1"/>
    <xf numFmtId="0" fontId="0" fillId="0" borderId="8" xfId="0" applyBorder="1"/>
    <xf numFmtId="165" fontId="0" fillId="0" borderId="1" xfId="1" applyNumberFormat="1" applyFont="1" applyBorder="1"/>
    <xf numFmtId="165" fontId="0" fillId="0" borderId="6" xfId="1" applyNumberFormat="1" applyFont="1" applyBorder="1"/>
    <xf numFmtId="165" fontId="0" fillId="0" borderId="8" xfId="1" applyNumberFormat="1" applyFont="1" applyBorder="1"/>
    <xf numFmtId="0" fontId="0" fillId="0" borderId="16" xfId="0" applyBorder="1"/>
    <xf numFmtId="165" fontId="0" fillId="0" borderId="16" xfId="1" applyNumberFormat="1" applyFont="1" applyBorder="1"/>
    <xf numFmtId="164" fontId="0" fillId="0" borderId="13" xfId="1" applyNumberFormat="1" applyFont="1" applyBorder="1"/>
    <xf numFmtId="164" fontId="0" fillId="0" borderId="0" xfId="1" applyNumberFormat="1" applyFont="1" applyBorder="1"/>
    <xf numFmtId="164" fontId="0" fillId="0" borderId="21" xfId="1" applyNumberFormat="1" applyFont="1" applyBorder="1"/>
    <xf numFmtId="164" fontId="0" fillId="0" borderId="15" xfId="1" applyNumberFormat="1" applyFont="1" applyBorder="1"/>
    <xf numFmtId="0" fontId="0" fillId="2" borderId="1" xfId="0" applyFill="1" applyBorder="1"/>
    <xf numFmtId="0" fontId="0" fillId="8" borderId="0" xfId="0" applyFill="1"/>
    <xf numFmtId="165" fontId="0" fillId="0" borderId="9" xfId="1" applyNumberFormat="1" applyFont="1" applyBorder="1"/>
    <xf numFmtId="0" fontId="10" fillId="10" borderId="0" xfId="0" applyFont="1" applyFill="1"/>
    <xf numFmtId="0" fontId="10" fillId="10" borderId="0" xfId="0" applyFont="1" applyFill="1" applyAlignment="1">
      <alignment wrapText="1"/>
    </xf>
    <xf numFmtId="0" fontId="9" fillId="10" borderId="38" xfId="0" applyFont="1" applyFill="1" applyBorder="1" applyAlignment="1">
      <alignment horizontal="center" vertical="center"/>
    </xf>
    <xf numFmtId="0" fontId="9" fillId="10" borderId="39" xfId="0" applyFont="1" applyFill="1" applyBorder="1" applyAlignment="1">
      <alignment horizontal="center" vertical="center"/>
    </xf>
    <xf numFmtId="17" fontId="9" fillId="10" borderId="42" xfId="0" applyNumberFormat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7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vertical="center"/>
    </xf>
    <xf numFmtId="44" fontId="17" fillId="8" borderId="0" xfId="0" applyNumberFormat="1" applyFont="1" applyFill="1" applyAlignment="1">
      <alignment vertical="center"/>
    </xf>
    <xf numFmtId="0" fontId="21" fillId="8" borderId="0" xfId="0" applyFont="1" applyFill="1" applyAlignment="1">
      <alignment horizontal="center" vertical="top"/>
    </xf>
    <xf numFmtId="0" fontId="15" fillId="8" borderId="0" xfId="0" applyFont="1" applyFill="1" applyAlignment="1">
      <alignment vertical="top"/>
    </xf>
    <xf numFmtId="164" fontId="17" fillId="8" borderId="0" xfId="1" applyNumberFormat="1" applyFont="1" applyFill="1" applyAlignment="1">
      <alignment vertical="center"/>
    </xf>
    <xf numFmtId="0" fontId="21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vertical="center"/>
    </xf>
    <xf numFmtId="164" fontId="21" fillId="8" borderId="0" xfId="1" applyNumberFormat="1" applyFont="1" applyFill="1" applyAlignment="1">
      <alignment vertical="center"/>
    </xf>
    <xf numFmtId="0" fontId="15" fillId="8" borderId="0" xfId="0" applyFont="1" applyFill="1" applyAlignment="1">
      <alignment horizontal="center" vertical="center"/>
    </xf>
    <xf numFmtId="164" fontId="15" fillId="8" borderId="0" xfId="1" applyNumberFormat="1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17" fillId="8" borderId="0" xfId="0" applyFont="1" applyFill="1" applyAlignment="1">
      <alignment horizontal="right" vertical="center"/>
    </xf>
    <xf numFmtId="0" fontId="15" fillId="8" borderId="0" xfId="0" applyFont="1" applyFill="1" applyAlignment="1">
      <alignment horizontal="right"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4" xfId="0" applyBorder="1" applyAlignment="1">
      <alignment vertical="center"/>
    </xf>
    <xf numFmtId="0" fontId="0" fillId="0" borderId="21" xfId="0" applyBorder="1" applyAlignment="1">
      <alignment vertical="center"/>
    </xf>
    <xf numFmtId="17" fontId="9" fillId="10" borderId="43" xfId="0" applyNumberFormat="1" applyFont="1" applyFill="1" applyBorder="1" applyAlignment="1">
      <alignment horizontal="center" vertical="center"/>
    </xf>
    <xf numFmtId="167" fontId="14" fillId="0" borderId="39" xfId="0" applyNumberFormat="1" applyFont="1" applyBorder="1" applyAlignment="1">
      <alignment horizontal="center" vertical="center"/>
    </xf>
    <xf numFmtId="0" fontId="10" fillId="0" borderId="43" xfId="0" applyFont="1" applyBorder="1"/>
    <xf numFmtId="0" fontId="9" fillId="13" borderId="39" xfId="0" applyFont="1" applyFill="1" applyBorder="1" applyAlignment="1">
      <alignment horizontal="center" vertical="center"/>
    </xf>
    <xf numFmtId="17" fontId="9" fillId="13" borderId="43" xfId="0" applyNumberFormat="1" applyFont="1" applyFill="1" applyBorder="1" applyAlignment="1">
      <alignment horizontal="center" vertical="center"/>
    </xf>
    <xf numFmtId="164" fontId="28" fillId="10" borderId="0" xfId="1" applyNumberFormat="1" applyFont="1" applyFill="1"/>
    <xf numFmtId="164" fontId="29" fillId="0" borderId="0" xfId="1" applyNumberFormat="1" applyFont="1"/>
    <xf numFmtId="0" fontId="22" fillId="8" borderId="0" xfId="0" quotePrefix="1" applyFont="1" applyFill="1" applyAlignment="1">
      <alignment vertical="top" wrapText="1"/>
    </xf>
    <xf numFmtId="0" fontId="0" fillId="6" borderId="17" xfId="0" applyFill="1" applyBorder="1" applyAlignment="1">
      <alignment horizontal="left"/>
    </xf>
    <xf numFmtId="0" fontId="0" fillId="6" borderId="18" xfId="0" applyFill="1" applyBorder="1" applyAlignment="1">
      <alignment horizontal="left"/>
    </xf>
    <xf numFmtId="0" fontId="0" fillId="6" borderId="19" xfId="0" applyFill="1" applyBorder="1" applyAlignment="1">
      <alignment horizontal="left"/>
    </xf>
    <xf numFmtId="0" fontId="0" fillId="5" borderId="17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0" fontId="0" fillId="5" borderId="19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4" borderId="19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164" fontId="33" fillId="0" borderId="12" xfId="1" applyNumberFormat="1" applyFont="1" applyBorder="1" applyAlignment="1">
      <alignment horizontal="center" vertical="center"/>
    </xf>
    <xf numFmtId="164" fontId="33" fillId="0" borderId="0" xfId="1" applyNumberFormat="1" applyFont="1" applyBorder="1" applyAlignment="1">
      <alignment horizontal="center" vertical="center"/>
    </xf>
    <xf numFmtId="0" fontId="0" fillId="0" borderId="54" xfId="0" applyBorder="1"/>
    <xf numFmtId="165" fontId="0" fillId="0" borderId="54" xfId="1" applyNumberFormat="1" applyFont="1" applyBorder="1"/>
    <xf numFmtId="165" fontId="0" fillId="0" borderId="55" xfId="1" applyNumberFormat="1" applyFont="1" applyBorder="1"/>
    <xf numFmtId="165" fontId="0" fillId="0" borderId="52" xfId="1" applyNumberFormat="1" applyFont="1" applyBorder="1"/>
    <xf numFmtId="0" fontId="0" fillId="2" borderId="16" xfId="0" applyFill="1" applyBorder="1"/>
    <xf numFmtId="0" fontId="2" fillId="2" borderId="57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0" fontId="0" fillId="2" borderId="59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2" fillId="5" borderId="57" xfId="0" applyFont="1" applyFill="1" applyBorder="1"/>
    <xf numFmtId="0" fontId="2" fillId="5" borderId="58" xfId="0" applyFont="1" applyFill="1" applyBorder="1"/>
    <xf numFmtId="164" fontId="0" fillId="0" borderId="11" xfId="1" applyNumberFormat="1" applyFont="1" applyBorder="1"/>
    <xf numFmtId="0" fontId="0" fillId="0" borderId="60" xfId="0" applyBorder="1"/>
    <xf numFmtId="165" fontId="0" fillId="0" borderId="60" xfId="1" applyNumberFormat="1" applyFont="1" applyBorder="1"/>
    <xf numFmtId="0" fontId="0" fillId="0" borderId="3" xfId="0" applyBorder="1"/>
    <xf numFmtId="165" fontId="0" fillId="0" borderId="3" xfId="1" applyNumberFormat="1" applyFont="1" applyBorder="1"/>
    <xf numFmtId="165" fontId="0" fillId="0" borderId="4" xfId="1" applyNumberFormat="1" applyFont="1" applyBorder="1"/>
    <xf numFmtId="0" fontId="2" fillId="4" borderId="57" xfId="0" applyFont="1" applyFill="1" applyBorder="1" applyAlignment="1">
      <alignment horizontal="center"/>
    </xf>
    <xf numFmtId="165" fontId="2" fillId="4" borderId="57" xfId="1" applyNumberFormat="1" applyFont="1" applyFill="1" applyBorder="1" applyAlignment="1">
      <alignment horizontal="center"/>
    </xf>
    <xf numFmtId="165" fontId="2" fillId="4" borderId="58" xfId="1" applyNumberFormat="1" applyFont="1" applyFill="1" applyBorder="1" applyAlignment="1">
      <alignment horizontal="center"/>
    </xf>
    <xf numFmtId="0" fontId="2" fillId="6" borderId="57" xfId="0" applyFont="1" applyFill="1" applyBorder="1" applyAlignment="1">
      <alignment horizontal="center"/>
    </xf>
    <xf numFmtId="0" fontId="2" fillId="6" borderId="58" xfId="0" applyFont="1" applyFill="1" applyBorder="1" applyAlignment="1">
      <alignment horizontal="center"/>
    </xf>
    <xf numFmtId="0" fontId="2" fillId="7" borderId="57" xfId="0" applyFont="1" applyFill="1" applyBorder="1" applyAlignment="1">
      <alignment horizontal="center"/>
    </xf>
    <xf numFmtId="0" fontId="2" fillId="7" borderId="58" xfId="0" applyFont="1" applyFill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8" fillId="0" borderId="0" xfId="0" applyFont="1"/>
    <xf numFmtId="164" fontId="8" fillId="0" borderId="11" xfId="1" applyNumberFormat="1" applyFont="1" applyBorder="1"/>
    <xf numFmtId="164" fontId="8" fillId="0" borderId="13" xfId="1" applyNumberFormat="1" applyFont="1" applyBorder="1"/>
    <xf numFmtId="164" fontId="8" fillId="0" borderId="15" xfId="1" applyNumberFormat="1" applyFont="1" applyBorder="1"/>
    <xf numFmtId="0" fontId="35" fillId="2" borderId="58" xfId="0" applyFont="1" applyFill="1" applyBorder="1" applyAlignment="1">
      <alignment horizontal="center" vertical="center"/>
    </xf>
    <xf numFmtId="165" fontId="8" fillId="0" borderId="52" xfId="1" applyNumberFormat="1" applyFont="1" applyBorder="1"/>
    <xf numFmtId="165" fontId="8" fillId="0" borderId="6" xfId="1" applyNumberFormat="1" applyFont="1" applyBorder="1"/>
    <xf numFmtId="165" fontId="8" fillId="0" borderId="55" xfId="1" applyNumberFormat="1" applyFont="1" applyBorder="1"/>
    <xf numFmtId="165" fontId="35" fillId="4" borderId="58" xfId="1" applyNumberFormat="1" applyFont="1" applyFill="1" applyBorder="1" applyAlignment="1">
      <alignment horizontal="center"/>
    </xf>
    <xf numFmtId="0" fontId="35" fillId="5" borderId="58" xfId="0" applyFont="1" applyFill="1" applyBorder="1"/>
    <xf numFmtId="0" fontId="35" fillId="6" borderId="58" xfId="0" applyFont="1" applyFill="1" applyBorder="1" applyAlignment="1">
      <alignment horizontal="center"/>
    </xf>
    <xf numFmtId="165" fontId="8" fillId="0" borderId="4" xfId="1" applyNumberFormat="1" applyFont="1" applyBorder="1"/>
    <xf numFmtId="0" fontId="35" fillId="7" borderId="58" xfId="0" applyFont="1" applyFill="1" applyBorder="1" applyAlignment="1">
      <alignment horizontal="center"/>
    </xf>
    <xf numFmtId="0" fontId="35" fillId="0" borderId="58" xfId="0" applyFont="1" applyBorder="1" applyAlignment="1">
      <alignment horizontal="center"/>
    </xf>
    <xf numFmtId="165" fontId="8" fillId="0" borderId="9" xfId="1" applyNumberFormat="1" applyFont="1" applyBorder="1"/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1" applyNumberFormat="1" applyFont="1" applyBorder="1"/>
    <xf numFmtId="0" fontId="8" fillId="0" borderId="14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164" fontId="8" fillId="0" borderId="21" xfId="1" applyNumberFormat="1" applyFont="1" applyBorder="1"/>
    <xf numFmtId="0" fontId="35" fillId="2" borderId="57" xfId="0" applyFont="1" applyFill="1" applyBorder="1" applyAlignment="1">
      <alignment horizontal="center" vertical="center"/>
    </xf>
    <xf numFmtId="0" fontId="8" fillId="2" borderId="16" xfId="0" applyFont="1" applyFill="1" applyBorder="1"/>
    <xf numFmtId="0" fontId="8" fillId="0" borderId="16" xfId="0" applyFont="1" applyBorder="1"/>
    <xf numFmtId="165" fontId="8" fillId="0" borderId="16" xfId="1" applyNumberFormat="1" applyFont="1" applyBorder="1"/>
    <xf numFmtId="0" fontId="8" fillId="2" borderId="17" xfId="0" applyFont="1" applyFill="1" applyBorder="1"/>
    <xf numFmtId="0" fontId="8" fillId="2" borderId="18" xfId="0" applyFont="1" applyFill="1" applyBorder="1"/>
    <xf numFmtId="0" fontId="8" fillId="2" borderId="19" xfId="0" applyFont="1" applyFill="1" applyBorder="1"/>
    <xf numFmtId="0" fontId="8" fillId="2" borderId="1" xfId="0" applyFont="1" applyFill="1" applyBorder="1"/>
    <xf numFmtId="0" fontId="8" fillId="0" borderId="1" xfId="0" applyFont="1" applyBorder="1"/>
    <xf numFmtId="165" fontId="8" fillId="0" borderId="1" xfId="1" applyNumberFormat="1" applyFont="1" applyBorder="1"/>
    <xf numFmtId="0" fontId="8" fillId="0" borderId="54" xfId="0" applyFont="1" applyBorder="1"/>
    <xf numFmtId="165" fontId="8" fillId="0" borderId="54" xfId="1" applyNumberFormat="1" applyFont="1" applyBorder="1"/>
    <xf numFmtId="0" fontId="8" fillId="2" borderId="17" xfId="0" applyFont="1" applyFill="1" applyBorder="1" applyAlignment="1">
      <alignment horizontal="left"/>
    </xf>
    <xf numFmtId="0" fontId="8" fillId="2" borderId="18" xfId="0" applyFont="1" applyFill="1" applyBorder="1" applyAlignment="1">
      <alignment horizontal="left"/>
    </xf>
    <xf numFmtId="0" fontId="8" fillId="2" borderId="19" xfId="0" applyFont="1" applyFill="1" applyBorder="1" applyAlignment="1">
      <alignment horizontal="left"/>
    </xf>
    <xf numFmtId="0" fontId="8" fillId="2" borderId="59" xfId="0" applyFont="1" applyFill="1" applyBorder="1" applyAlignment="1">
      <alignment horizontal="left"/>
    </xf>
    <xf numFmtId="0" fontId="8" fillId="2" borderId="28" xfId="0" applyFont="1" applyFill="1" applyBorder="1" applyAlignment="1">
      <alignment horizontal="left"/>
    </xf>
    <xf numFmtId="0" fontId="8" fillId="2" borderId="23" xfId="0" applyFont="1" applyFill="1" applyBorder="1" applyAlignment="1">
      <alignment horizontal="left"/>
    </xf>
    <xf numFmtId="164" fontId="35" fillId="0" borderId="0" xfId="1" applyNumberFormat="1" applyFont="1" applyBorder="1" applyAlignment="1">
      <alignment horizontal="center" vertical="center"/>
    </xf>
    <xf numFmtId="0" fontId="35" fillId="4" borderId="57" xfId="0" applyFont="1" applyFill="1" applyBorder="1" applyAlignment="1">
      <alignment horizontal="center"/>
    </xf>
    <xf numFmtId="165" fontId="35" fillId="4" borderId="57" xfId="1" applyNumberFormat="1" applyFont="1" applyFill="1" applyBorder="1" applyAlignment="1">
      <alignment horizontal="center"/>
    </xf>
    <xf numFmtId="0" fontId="8" fillId="4" borderId="17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left"/>
    </xf>
    <xf numFmtId="0" fontId="8" fillId="4" borderId="19" xfId="0" applyFont="1" applyFill="1" applyBorder="1" applyAlignment="1">
      <alignment horizontal="left"/>
    </xf>
    <xf numFmtId="0" fontId="35" fillId="5" borderId="57" xfId="0" applyFont="1" applyFill="1" applyBorder="1"/>
    <xf numFmtId="0" fontId="8" fillId="5" borderId="17" xfId="0" applyFont="1" applyFill="1" applyBorder="1" applyAlignment="1">
      <alignment horizontal="left"/>
    </xf>
    <xf numFmtId="0" fontId="8" fillId="5" borderId="18" xfId="0" applyFont="1" applyFill="1" applyBorder="1" applyAlignment="1">
      <alignment horizontal="left"/>
    </xf>
    <xf numFmtId="0" fontId="8" fillId="5" borderId="19" xfId="0" applyFont="1" applyFill="1" applyBorder="1" applyAlignment="1">
      <alignment horizontal="left"/>
    </xf>
    <xf numFmtId="0" fontId="35" fillId="6" borderId="57" xfId="0" applyFont="1" applyFill="1" applyBorder="1" applyAlignment="1">
      <alignment horizontal="center"/>
    </xf>
    <xf numFmtId="0" fontId="8" fillId="0" borderId="3" xfId="0" applyFont="1" applyBorder="1"/>
    <xf numFmtId="165" fontId="8" fillId="0" borderId="3" xfId="1" applyNumberFormat="1" applyFont="1" applyBorder="1"/>
    <xf numFmtId="0" fontId="8" fillId="6" borderId="17" xfId="0" applyFont="1" applyFill="1" applyBorder="1" applyAlignment="1">
      <alignment horizontal="left"/>
    </xf>
    <xf numFmtId="0" fontId="8" fillId="6" borderId="18" xfId="0" applyFont="1" applyFill="1" applyBorder="1" applyAlignment="1">
      <alignment horizontal="left"/>
    </xf>
    <xf numFmtId="0" fontId="8" fillId="6" borderId="19" xfId="0" applyFont="1" applyFill="1" applyBorder="1" applyAlignment="1">
      <alignment horizontal="left"/>
    </xf>
    <xf numFmtId="0" fontId="35" fillId="7" borderId="57" xfId="0" applyFont="1" applyFill="1" applyBorder="1" applyAlignment="1">
      <alignment horizontal="center"/>
    </xf>
    <xf numFmtId="0" fontId="8" fillId="0" borderId="60" xfId="0" applyFont="1" applyBorder="1"/>
    <xf numFmtId="165" fontId="8" fillId="0" borderId="60" xfId="1" applyNumberFormat="1" applyFont="1" applyBorder="1"/>
    <xf numFmtId="164" fontId="35" fillId="0" borderId="12" xfId="1" applyNumberFormat="1" applyFont="1" applyBorder="1" applyAlignment="1">
      <alignment horizontal="center" vertical="center"/>
    </xf>
    <xf numFmtId="0" fontId="35" fillId="0" borderId="57" xfId="0" applyFont="1" applyBorder="1" applyAlignment="1">
      <alignment horizontal="center"/>
    </xf>
    <xf numFmtId="0" fontId="8" fillId="0" borderId="8" xfId="0" applyFont="1" applyBorder="1"/>
    <xf numFmtId="165" fontId="8" fillId="0" borderId="8" xfId="1" applyNumberFormat="1" applyFont="1" applyBorder="1"/>
    <xf numFmtId="0" fontId="2" fillId="16" borderId="0" xfId="0" applyFont="1" applyFill="1" applyAlignment="1">
      <alignment horizontal="center"/>
    </xf>
    <xf numFmtId="0" fontId="2" fillId="16" borderId="61" xfId="0" applyFont="1" applyFill="1" applyBorder="1" applyAlignment="1">
      <alignment horizontal="center"/>
    </xf>
    <xf numFmtId="0" fontId="2" fillId="16" borderId="62" xfId="0" applyFont="1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2" xfId="0" applyBorder="1"/>
    <xf numFmtId="168" fontId="0" fillId="0" borderId="62" xfId="0" applyNumberFormat="1" applyBorder="1"/>
    <xf numFmtId="168" fontId="0" fillId="0" borderId="62" xfId="0" applyNumberFormat="1" applyBorder="1" applyAlignment="1">
      <alignment horizontal="center"/>
    </xf>
    <xf numFmtId="168" fontId="0" fillId="0" borderId="61" xfId="0" applyNumberFormat="1" applyBorder="1"/>
    <xf numFmtId="169" fontId="0" fillId="0" borderId="0" xfId="0" applyNumberFormat="1"/>
    <xf numFmtId="170" fontId="0" fillId="0" borderId="0" xfId="0" applyNumberFormat="1"/>
    <xf numFmtId="170" fontId="0" fillId="0" borderId="63" xfId="0" applyNumberFormat="1" applyBorder="1"/>
    <xf numFmtId="0" fontId="17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center" vertical="center"/>
    </xf>
    <xf numFmtId="0" fontId="32" fillId="14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left" vertical="top" wrapText="1"/>
    </xf>
    <xf numFmtId="0" fontId="17" fillId="8" borderId="0" xfId="0" applyFont="1" applyFill="1" applyAlignment="1">
      <alignment horizontal="left" vertical="top" wrapText="1"/>
    </xf>
    <xf numFmtId="0" fontId="24" fillId="8" borderId="0" xfId="0" applyFont="1" applyFill="1" applyAlignment="1">
      <alignment horizontal="center" vertical="top" wrapText="1"/>
    </xf>
    <xf numFmtId="0" fontId="21" fillId="8" borderId="0" xfId="0" applyFont="1" applyFill="1" applyAlignment="1">
      <alignment vertical="top" wrapText="1"/>
    </xf>
    <xf numFmtId="0" fontId="15" fillId="8" borderId="0" xfId="0" applyFont="1" applyFill="1" applyAlignment="1">
      <alignment horizontal="center" vertical="top" wrapText="1"/>
    </xf>
    <xf numFmtId="0" fontId="15" fillId="8" borderId="0" xfId="0" applyFont="1" applyFill="1" applyAlignment="1">
      <alignment horizontal="center" vertical="center" wrapText="1"/>
    </xf>
    <xf numFmtId="0" fontId="23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vertical="top" wrapText="1"/>
    </xf>
    <xf numFmtId="0" fontId="17" fillId="8" borderId="0" xfId="0" applyFont="1" applyFill="1" applyAlignment="1">
      <alignment vertical="center"/>
    </xf>
    <xf numFmtId="0" fontId="30" fillId="14" borderId="0" xfId="0" applyFont="1" applyFill="1" applyAlignment="1">
      <alignment horizontal="center" vertical="center"/>
    </xf>
    <xf numFmtId="0" fontId="22" fillId="8" borderId="0" xfId="0" applyFont="1" applyFill="1" applyAlignment="1">
      <alignment vertical="center"/>
    </xf>
    <xf numFmtId="0" fontId="22" fillId="8" borderId="0" xfId="0" quotePrefix="1" applyFont="1" applyFill="1" applyAlignment="1">
      <alignment horizontal="left" vertical="top" wrapText="1"/>
    </xf>
    <xf numFmtId="0" fontId="21" fillId="8" borderId="0" xfId="0" applyFont="1" applyFill="1" applyAlignment="1">
      <alignment vertical="center"/>
    </xf>
    <xf numFmtId="164" fontId="21" fillId="8" borderId="0" xfId="1" applyNumberFormat="1" applyFont="1" applyFill="1" applyAlignment="1">
      <alignment horizontal="center" vertical="top"/>
    </xf>
    <xf numFmtId="0" fontId="31" fillId="14" borderId="0" xfId="0" applyFont="1" applyFill="1" applyAlignment="1">
      <alignment horizontal="right" vertical="center"/>
    </xf>
    <xf numFmtId="164" fontId="31" fillId="14" borderId="0" xfId="1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14" fontId="17" fillId="8" borderId="0" xfId="0" quotePrefix="1" applyNumberFormat="1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center" vertical="top"/>
    </xf>
    <xf numFmtId="0" fontId="19" fillId="0" borderId="0" xfId="0" applyFont="1" applyAlignment="1">
      <alignment vertical="center"/>
    </xf>
    <xf numFmtId="0" fontId="18" fillId="8" borderId="0" xfId="0" applyFont="1" applyFill="1" applyAlignment="1">
      <alignment horizontal="left" vertical="center"/>
    </xf>
    <xf numFmtId="0" fontId="16" fillId="8" borderId="0" xfId="0" applyFont="1" applyFill="1" applyAlignment="1">
      <alignment horizontal="left"/>
    </xf>
    <xf numFmtId="0" fontId="17" fillId="8" borderId="0" xfId="0" applyFont="1" applyFill="1" applyAlignment="1">
      <alignment horizontal="right" vertical="center"/>
    </xf>
    <xf numFmtId="14" fontId="17" fillId="8" borderId="0" xfId="0" applyNumberFormat="1" applyFont="1" applyFill="1" applyAlignment="1">
      <alignment horizontal="right" vertical="center"/>
    </xf>
    <xf numFmtId="0" fontId="17" fillId="8" borderId="0" xfId="0" quotePrefix="1" applyFont="1" applyFill="1" applyAlignment="1">
      <alignment horizontal="right" vertical="center"/>
    </xf>
    <xf numFmtId="0" fontId="26" fillId="8" borderId="0" xfId="0" applyFont="1" applyFill="1" applyAlignment="1">
      <alignment horizontal="left" vertical="top"/>
    </xf>
    <xf numFmtId="0" fontId="27" fillId="8" borderId="0" xfId="0" applyFont="1" applyFill="1" applyAlignment="1">
      <alignment horizontal="left" vertical="top"/>
    </xf>
    <xf numFmtId="0" fontId="20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right" vertical="center"/>
    </xf>
    <xf numFmtId="164" fontId="18" fillId="14" borderId="0" xfId="1" applyNumberFormat="1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top" wrapText="1"/>
    </xf>
    <xf numFmtId="167" fontId="14" fillId="0" borderId="38" xfId="0" applyNumberFormat="1" applyFont="1" applyBorder="1" applyAlignment="1">
      <alignment horizontal="center" vertical="center"/>
    </xf>
    <xf numFmtId="0" fontId="12" fillId="0" borderId="46" xfId="0" applyFont="1" applyBorder="1"/>
    <xf numFmtId="167" fontId="14" fillId="13" borderId="39" xfId="0" applyNumberFormat="1" applyFont="1" applyFill="1" applyBorder="1" applyAlignment="1">
      <alignment horizontal="center" vertical="center"/>
    </xf>
    <xf numFmtId="0" fontId="12" fillId="0" borderId="47" xfId="0" applyFont="1" applyBorder="1"/>
    <xf numFmtId="0" fontId="13" fillId="12" borderId="30" xfId="0" applyFont="1" applyFill="1" applyBorder="1" applyAlignment="1">
      <alignment horizontal="left" vertical="center"/>
    </xf>
    <xf numFmtId="0" fontId="13" fillId="12" borderId="31" xfId="0" applyFont="1" applyFill="1" applyBorder="1" applyAlignment="1">
      <alignment horizontal="left" vertical="center"/>
    </xf>
    <xf numFmtId="0" fontId="13" fillId="12" borderId="32" xfId="0" applyFont="1" applyFill="1" applyBorder="1" applyAlignment="1">
      <alignment horizontal="left" vertical="center"/>
    </xf>
    <xf numFmtId="0" fontId="13" fillId="12" borderId="33" xfId="0" applyFont="1" applyFill="1" applyBorder="1" applyAlignment="1">
      <alignment horizontal="left" vertical="center"/>
    </xf>
    <xf numFmtId="0" fontId="13" fillId="12" borderId="34" xfId="0" applyFont="1" applyFill="1" applyBorder="1" applyAlignment="1">
      <alignment horizontal="left" vertical="center"/>
    </xf>
    <xf numFmtId="0" fontId="13" fillId="12" borderId="35" xfId="0" applyFont="1" applyFill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12" fillId="0" borderId="36" xfId="0" applyFont="1" applyBorder="1"/>
    <xf numFmtId="0" fontId="12" fillId="0" borderId="14" xfId="0" applyFont="1" applyBorder="1"/>
    <xf numFmtId="0" fontId="12" fillId="0" borderId="44" xfId="0" applyFont="1" applyBorder="1"/>
    <xf numFmtId="0" fontId="9" fillId="0" borderId="37" xfId="0" applyFont="1" applyBorder="1" applyAlignment="1">
      <alignment horizontal="center" vertical="center" wrapText="1"/>
    </xf>
    <xf numFmtId="0" fontId="12" fillId="0" borderId="45" xfId="0" applyFont="1" applyBorder="1"/>
    <xf numFmtId="0" fontId="14" fillId="0" borderId="37" xfId="0" applyFont="1" applyBorder="1" applyAlignment="1">
      <alignment horizontal="left" vertical="center" wrapText="1"/>
    </xf>
    <xf numFmtId="0" fontId="12" fillId="0" borderId="31" xfId="0" applyFont="1" applyBorder="1"/>
    <xf numFmtId="0" fontId="12" fillId="0" borderId="21" xfId="0" applyFont="1" applyBorder="1"/>
    <xf numFmtId="0" fontId="12" fillId="0" borderId="33" xfId="0" applyFont="1" applyBorder="1"/>
    <xf numFmtId="0" fontId="12" fillId="0" borderId="40" xfId="0" applyFont="1" applyBorder="1"/>
    <xf numFmtId="0" fontId="12" fillId="0" borderId="41" xfId="0" applyFont="1" applyBorder="1"/>
    <xf numFmtId="0" fontId="12" fillId="0" borderId="34" xfId="0" applyFont="1" applyBorder="1"/>
    <xf numFmtId="0" fontId="12" fillId="0" borderId="42" xfId="0" applyFont="1" applyBorder="1"/>
    <xf numFmtId="0" fontId="12" fillId="0" borderId="43" xfId="0" applyFont="1" applyBorder="1"/>
    <xf numFmtId="167" fontId="14" fillId="13" borderId="43" xfId="0" applyNumberFormat="1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left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41" xfId="0" applyFont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 wrapText="1"/>
    </xf>
    <xf numFmtId="167" fontId="14" fillId="0" borderId="42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12" fillId="0" borderId="36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12" fillId="0" borderId="40" xfId="0" applyFont="1" applyBorder="1" applyAlignment="1">
      <alignment wrapText="1"/>
    </xf>
    <xf numFmtId="0" fontId="9" fillId="0" borderId="37" xfId="0" applyFont="1" applyBorder="1" applyAlignment="1">
      <alignment horizontal="center" vertical="center"/>
    </xf>
    <xf numFmtId="164" fontId="14" fillId="0" borderId="38" xfId="1" applyNumberFormat="1" applyFont="1" applyBorder="1" applyAlignment="1">
      <alignment horizontal="center" vertical="center"/>
    </xf>
    <xf numFmtId="164" fontId="12" fillId="0" borderId="42" xfId="1" applyNumberFormat="1" applyFont="1" applyBorder="1"/>
    <xf numFmtId="166" fontId="14" fillId="0" borderId="38" xfId="1" applyNumberFormat="1" applyFont="1" applyBorder="1" applyAlignment="1">
      <alignment horizontal="center" vertical="center"/>
    </xf>
    <xf numFmtId="166" fontId="12" fillId="0" borderId="42" xfId="1" applyNumberFormat="1" applyFont="1" applyBorder="1"/>
    <xf numFmtId="0" fontId="11" fillId="11" borderId="10" xfId="0" applyFont="1" applyFill="1" applyBorder="1" applyAlignment="1">
      <alignment horizontal="center" vertical="center"/>
    </xf>
    <xf numFmtId="0" fontId="12" fillId="0" borderId="20" xfId="0" applyFont="1" applyBorder="1"/>
    <xf numFmtId="0" fontId="12" fillId="0" borderId="11" xfId="0" applyFont="1" applyBorder="1"/>
    <xf numFmtId="0" fontId="12" fillId="0" borderId="12" xfId="0" applyFont="1" applyBorder="1"/>
    <xf numFmtId="0" fontId="0" fillId="0" borderId="0" xfId="0"/>
    <xf numFmtId="0" fontId="0" fillId="0" borderId="13" xfId="0" applyBorder="1"/>
    <xf numFmtId="0" fontId="12" fillId="0" borderId="0" xfId="0" applyFont="1"/>
    <xf numFmtId="0" fontId="12" fillId="0" borderId="13" xfId="0" applyFont="1" applyBorder="1"/>
    <xf numFmtId="164" fontId="33" fillId="0" borderId="12" xfId="1" applyNumberFormat="1" applyFont="1" applyBorder="1" applyAlignment="1">
      <alignment horizontal="center" vertical="center"/>
    </xf>
    <xf numFmtId="164" fontId="33" fillId="0" borderId="0" xfId="1" applyNumberFormat="1" applyFont="1" applyBorder="1" applyAlignment="1">
      <alignment horizontal="center" vertical="center"/>
    </xf>
    <xf numFmtId="164" fontId="33" fillId="0" borderId="13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0" borderId="21" xfId="1" applyNumberFormat="1" applyFont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0" fontId="0" fillId="5" borderId="19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6" borderId="17" xfId="0" applyFill="1" applyBorder="1" applyAlignment="1">
      <alignment horizontal="left"/>
    </xf>
    <xf numFmtId="0" fontId="0" fillId="6" borderId="18" xfId="0" applyFill="1" applyBorder="1" applyAlignment="1">
      <alignment horizontal="left"/>
    </xf>
    <xf numFmtId="0" fontId="0" fillId="6" borderId="19" xfId="0" applyFill="1" applyBorder="1" applyAlignment="1">
      <alignment horizontal="left"/>
    </xf>
    <xf numFmtId="0" fontId="0" fillId="7" borderId="17" xfId="0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0" fillId="7" borderId="19" xfId="0" applyFill="1" applyBorder="1" applyAlignment="1">
      <alignment horizontal="left"/>
    </xf>
    <xf numFmtId="0" fontId="0" fillId="6" borderId="59" xfId="0" applyFill="1" applyBorder="1" applyAlignment="1">
      <alignment horizontal="left"/>
    </xf>
    <xf numFmtId="0" fontId="0" fillId="6" borderId="28" xfId="0" applyFill="1" applyBorder="1" applyAlignment="1">
      <alignment horizontal="left"/>
    </xf>
    <xf numFmtId="0" fontId="0" fillId="6" borderId="23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4" borderId="19" xfId="0" applyFill="1" applyBorder="1" applyAlignment="1">
      <alignment horizontal="left"/>
    </xf>
    <xf numFmtId="0" fontId="0" fillId="2" borderId="17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53" xfId="0" applyFill="1" applyBorder="1" applyAlignment="1">
      <alignment vertical="center"/>
    </xf>
    <xf numFmtId="0" fontId="0" fillId="2" borderId="54" xfId="0" applyFill="1" applyBorder="1" applyAlignment="1">
      <alignment vertical="center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7" fillId="9" borderId="10" xfId="0" applyFont="1" applyFill="1" applyBorder="1" applyAlignment="1">
      <alignment horizontal="center" vertical="center"/>
    </xf>
    <xf numFmtId="0" fontId="7" fillId="9" borderId="2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4" fillId="0" borderId="10" xfId="0" applyFont="1" applyBorder="1" applyAlignment="1">
      <alignment horizontal="right" vertical="center"/>
    </xf>
    <xf numFmtId="0" fontId="34" fillId="0" borderId="20" xfId="0" applyFont="1" applyBorder="1" applyAlignment="1">
      <alignment horizontal="right" vertical="center"/>
    </xf>
    <xf numFmtId="0" fontId="34" fillId="0" borderId="11" xfId="0" applyFont="1" applyBorder="1" applyAlignment="1">
      <alignment horizontal="right" vertical="center"/>
    </xf>
    <xf numFmtId="0" fontId="34" fillId="0" borderId="12" xfId="0" applyFont="1" applyBorder="1" applyAlignment="1">
      <alignment horizontal="right" vertical="center"/>
    </xf>
    <xf numFmtId="0" fontId="34" fillId="0" borderId="0" xfId="0" applyFont="1" applyAlignment="1">
      <alignment horizontal="right" vertical="center"/>
    </xf>
    <xf numFmtId="0" fontId="34" fillId="0" borderId="13" xfId="0" applyFont="1" applyBorder="1" applyAlignment="1">
      <alignment horizontal="right" vertical="center"/>
    </xf>
    <xf numFmtId="0" fontId="34" fillId="0" borderId="14" xfId="0" applyFont="1" applyBorder="1" applyAlignment="1">
      <alignment horizontal="right" vertical="center"/>
    </xf>
    <xf numFmtId="0" fontId="34" fillId="0" borderId="21" xfId="0" applyFont="1" applyBorder="1" applyAlignment="1">
      <alignment horizontal="right" vertical="center"/>
    </xf>
    <xf numFmtId="0" fontId="34" fillId="0" borderId="15" xfId="0" applyFont="1" applyBorder="1" applyAlignment="1">
      <alignment horizontal="right" vertical="center"/>
    </xf>
    <xf numFmtId="0" fontId="33" fillId="0" borderId="10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0" fillId="2" borderId="51" xfId="0" applyFill="1" applyBorder="1" applyAlignment="1">
      <alignment horizontal="left"/>
    </xf>
    <xf numFmtId="0" fontId="0" fillId="2" borderId="29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2" fillId="7" borderId="56" xfId="0" applyFont="1" applyFill="1" applyBorder="1" applyAlignment="1">
      <alignment horizontal="center"/>
    </xf>
    <xf numFmtId="0" fontId="2" fillId="7" borderId="57" xfId="0" applyFont="1" applyFill="1" applyBorder="1" applyAlignment="1">
      <alignment horizontal="center"/>
    </xf>
    <xf numFmtId="0" fontId="2" fillId="7" borderId="58" xfId="0" applyFont="1" applyFill="1" applyBorder="1" applyAlignment="1">
      <alignment horizontal="center"/>
    </xf>
    <xf numFmtId="0" fontId="0" fillId="7" borderId="51" xfId="0" applyFill="1" applyBorder="1" applyAlignment="1">
      <alignment horizontal="left"/>
    </xf>
    <xf numFmtId="0" fontId="0" fillId="7" borderId="29" xfId="0" applyFill="1" applyBorder="1" applyAlignment="1">
      <alignment horizontal="left"/>
    </xf>
    <xf numFmtId="0" fontId="0" fillId="7" borderId="25" xfId="0" applyFill="1" applyBorder="1" applyAlignment="1">
      <alignment horizontal="left"/>
    </xf>
    <xf numFmtId="0" fontId="7" fillId="2" borderId="1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21" xfId="0" applyBorder="1" applyAlignment="1">
      <alignment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2" fillId="6" borderId="56" xfId="0" applyFont="1" applyFill="1" applyBorder="1" applyAlignment="1">
      <alignment horizontal="center"/>
    </xf>
    <xf numFmtId="0" fontId="2" fillId="6" borderId="57" xfId="0" applyFont="1" applyFill="1" applyBorder="1" applyAlignment="1">
      <alignment horizontal="center"/>
    </xf>
    <xf numFmtId="0" fontId="2" fillId="6" borderId="58" xfId="0" applyFont="1" applyFill="1" applyBorder="1" applyAlignment="1">
      <alignment horizontal="center"/>
    </xf>
    <xf numFmtId="0" fontId="0" fillId="2" borderId="51" xfId="0" applyFill="1" applyBorder="1"/>
    <xf numFmtId="0" fontId="0" fillId="2" borderId="29" xfId="0" applyFill="1" applyBorder="1"/>
    <xf numFmtId="0" fontId="0" fillId="2" borderId="25" xfId="0" applyFill="1" applyBorder="1"/>
    <xf numFmtId="0" fontId="0" fillId="5" borderId="51" xfId="0" applyFill="1" applyBorder="1" applyAlignment="1">
      <alignment horizontal="left"/>
    </xf>
    <xf numFmtId="0" fontId="0" fillId="5" borderId="29" xfId="0" applyFill="1" applyBorder="1" applyAlignment="1">
      <alignment horizontal="left"/>
    </xf>
    <xf numFmtId="0" fontId="0" fillId="5" borderId="25" xfId="0" applyFill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4" fontId="2" fillId="0" borderId="10" xfId="0" applyNumberFormat="1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4" borderId="10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0" fillId="4" borderId="48" xfId="0" applyFill="1" applyBorder="1" applyAlignment="1">
      <alignment horizontal="left"/>
    </xf>
    <xf numFmtId="0" fontId="0" fillId="4" borderId="49" xfId="0" applyFill="1" applyBorder="1" applyAlignment="1">
      <alignment horizontal="left"/>
    </xf>
    <xf numFmtId="0" fontId="0" fillId="4" borderId="50" xfId="0" applyFill="1" applyBorder="1" applyAlignment="1">
      <alignment horizontal="left"/>
    </xf>
    <xf numFmtId="0" fontId="2" fillId="4" borderId="56" xfId="0" applyFont="1" applyFill="1" applyBorder="1" applyAlignment="1">
      <alignment horizontal="center"/>
    </xf>
    <xf numFmtId="0" fontId="2" fillId="4" borderId="57" xfId="0" applyFont="1" applyFill="1" applyBorder="1" applyAlignment="1">
      <alignment horizontal="center"/>
    </xf>
    <xf numFmtId="0" fontId="2" fillId="5" borderId="56" xfId="0" applyFont="1" applyFill="1" applyBorder="1" applyAlignment="1">
      <alignment horizontal="center"/>
    </xf>
    <xf numFmtId="0" fontId="2" fillId="5" borderId="57" xfId="0" applyFont="1" applyFill="1" applyBorder="1" applyAlignment="1">
      <alignment horizontal="center"/>
    </xf>
    <xf numFmtId="0" fontId="2" fillId="5" borderId="58" xfId="0" applyFont="1" applyFill="1" applyBorder="1" applyAlignment="1">
      <alignment horizontal="center"/>
    </xf>
    <xf numFmtId="0" fontId="0" fillId="5" borderId="59" xfId="0" applyFill="1" applyBorder="1" applyAlignment="1">
      <alignment horizontal="left"/>
    </xf>
    <xf numFmtId="0" fontId="0" fillId="5" borderId="28" xfId="0" applyFill="1" applyBorder="1" applyAlignment="1">
      <alignment horizontal="left"/>
    </xf>
    <xf numFmtId="0" fontId="0" fillId="5" borderId="23" xfId="0" applyFill="1" applyBorder="1" applyAlignment="1">
      <alignment horizontal="left"/>
    </xf>
    <xf numFmtId="0" fontId="0" fillId="6" borderId="48" xfId="0" applyFill="1" applyBorder="1" applyAlignment="1">
      <alignment horizontal="left"/>
    </xf>
    <xf numFmtId="0" fontId="0" fillId="6" borderId="49" xfId="0" applyFill="1" applyBorder="1" applyAlignment="1">
      <alignment horizontal="left"/>
    </xf>
    <xf numFmtId="0" fontId="0" fillId="6" borderId="50" xfId="0" applyFill="1" applyBorder="1" applyAlignment="1">
      <alignment horizontal="left"/>
    </xf>
    <xf numFmtId="0" fontId="2" fillId="2" borderId="58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59" xfId="0" applyFill="1" applyBorder="1" applyAlignment="1">
      <alignment horizontal="left"/>
    </xf>
    <xf numFmtId="0" fontId="0" fillId="7" borderId="28" xfId="0" applyFill="1" applyBorder="1" applyAlignment="1">
      <alignment horizontal="left"/>
    </xf>
    <xf numFmtId="0" fontId="0" fillId="7" borderId="23" xfId="0" applyFill="1" applyBorder="1" applyAlignment="1">
      <alignment horizontal="left"/>
    </xf>
    <xf numFmtId="0" fontId="2" fillId="2" borderId="56" xfId="0" applyFont="1" applyFill="1" applyBorder="1" applyAlignment="1">
      <alignment horizontal="center"/>
    </xf>
    <xf numFmtId="0" fontId="2" fillId="2" borderId="57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35" fillId="2" borderId="10" xfId="0" applyFont="1" applyFill="1" applyBorder="1" applyAlignment="1">
      <alignment horizontal="center" vertical="center"/>
    </xf>
    <xf numFmtId="0" fontId="35" fillId="2" borderId="20" xfId="0" applyFont="1" applyFill="1" applyBorder="1" applyAlignment="1">
      <alignment horizontal="center" vertical="center"/>
    </xf>
    <xf numFmtId="0" fontId="35" fillId="2" borderId="11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35" fillId="2" borderId="21" xfId="0" applyFont="1" applyFill="1" applyBorder="1" applyAlignment="1">
      <alignment horizontal="center" vertical="center"/>
    </xf>
    <xf numFmtId="0" fontId="35" fillId="2" borderId="15" xfId="0" applyFont="1" applyFill="1" applyBorder="1" applyAlignment="1">
      <alignment horizontal="center" vertical="center"/>
    </xf>
    <xf numFmtId="0" fontId="35" fillId="4" borderId="10" xfId="0" applyFont="1" applyFill="1" applyBorder="1" applyAlignment="1">
      <alignment horizontal="center" vertical="center"/>
    </xf>
    <xf numFmtId="0" fontId="35" fillId="4" borderId="20" xfId="0" applyFont="1" applyFill="1" applyBorder="1" applyAlignment="1">
      <alignment horizontal="center" vertical="center"/>
    </xf>
    <xf numFmtId="0" fontId="35" fillId="4" borderId="11" xfId="0" applyFont="1" applyFill="1" applyBorder="1" applyAlignment="1">
      <alignment horizontal="center" vertical="center"/>
    </xf>
    <xf numFmtId="0" fontId="35" fillId="4" borderId="14" xfId="0" applyFont="1" applyFill="1" applyBorder="1" applyAlignment="1">
      <alignment horizontal="center" vertical="center"/>
    </xf>
    <xf numFmtId="0" fontId="35" fillId="4" borderId="21" xfId="0" applyFont="1" applyFill="1" applyBorder="1" applyAlignment="1">
      <alignment horizontal="center" vertical="center"/>
    </xf>
    <xf numFmtId="0" fontId="35" fillId="4" borderId="15" xfId="0" applyFont="1" applyFill="1" applyBorder="1" applyAlignment="1">
      <alignment horizontal="center" vertical="center"/>
    </xf>
    <xf numFmtId="0" fontId="35" fillId="5" borderId="10" xfId="0" applyFont="1" applyFill="1" applyBorder="1" applyAlignment="1">
      <alignment horizontal="center" vertical="center"/>
    </xf>
    <xf numFmtId="0" fontId="35" fillId="5" borderId="20" xfId="0" applyFont="1" applyFill="1" applyBorder="1" applyAlignment="1">
      <alignment horizontal="center" vertical="center"/>
    </xf>
    <xf numFmtId="0" fontId="35" fillId="5" borderId="11" xfId="0" applyFont="1" applyFill="1" applyBorder="1" applyAlignment="1">
      <alignment horizontal="center" vertical="center"/>
    </xf>
    <xf numFmtId="0" fontId="35" fillId="5" borderId="14" xfId="0" applyFont="1" applyFill="1" applyBorder="1" applyAlignment="1">
      <alignment horizontal="center" vertical="center"/>
    </xf>
    <xf numFmtId="0" fontId="35" fillId="5" borderId="21" xfId="0" applyFont="1" applyFill="1" applyBorder="1" applyAlignment="1">
      <alignment horizontal="center" vertical="center"/>
    </xf>
    <xf numFmtId="0" fontId="35" fillId="5" borderId="15" xfId="0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1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4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35" fillId="6" borderId="10" xfId="0" applyFont="1" applyFill="1" applyBorder="1" applyAlignment="1">
      <alignment horizontal="center" vertical="center"/>
    </xf>
    <xf numFmtId="0" fontId="35" fillId="6" borderId="20" xfId="0" applyFont="1" applyFill="1" applyBorder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0" fontId="35" fillId="6" borderId="14" xfId="0" applyFont="1" applyFill="1" applyBorder="1" applyAlignment="1">
      <alignment horizontal="center" vertical="center"/>
    </xf>
    <xf numFmtId="0" fontId="35" fillId="6" borderId="21" xfId="0" applyFont="1" applyFill="1" applyBorder="1" applyAlignment="1">
      <alignment horizontal="center" vertical="center"/>
    </xf>
    <xf numFmtId="0" fontId="35" fillId="6" borderId="15" xfId="0" applyFont="1" applyFill="1" applyBorder="1" applyAlignment="1">
      <alignment horizontal="center" vertical="center"/>
    </xf>
    <xf numFmtId="0" fontId="35" fillId="7" borderId="10" xfId="0" applyFont="1" applyFill="1" applyBorder="1" applyAlignment="1">
      <alignment horizontal="center" vertical="center"/>
    </xf>
    <xf numFmtId="0" fontId="35" fillId="7" borderId="20" xfId="0" applyFont="1" applyFill="1" applyBorder="1" applyAlignment="1">
      <alignment horizontal="center" vertical="center"/>
    </xf>
    <xf numFmtId="0" fontId="35" fillId="7" borderId="11" xfId="0" applyFont="1" applyFill="1" applyBorder="1" applyAlignment="1">
      <alignment horizontal="center" vertical="center"/>
    </xf>
    <xf numFmtId="0" fontId="35" fillId="7" borderId="14" xfId="0" applyFont="1" applyFill="1" applyBorder="1" applyAlignment="1">
      <alignment horizontal="center" vertical="center"/>
    </xf>
    <xf numFmtId="0" fontId="35" fillId="7" borderId="21" xfId="0" applyFont="1" applyFill="1" applyBorder="1" applyAlignment="1">
      <alignment horizontal="center" vertical="center"/>
    </xf>
    <xf numFmtId="0" fontId="35" fillId="7" borderId="15" xfId="0" applyFont="1" applyFill="1" applyBorder="1" applyAlignment="1">
      <alignment horizontal="center" vertical="center"/>
    </xf>
    <xf numFmtId="0" fontId="35" fillId="9" borderId="10" xfId="0" applyFont="1" applyFill="1" applyBorder="1" applyAlignment="1">
      <alignment horizontal="center" vertical="center"/>
    </xf>
    <xf numFmtId="0" fontId="35" fillId="9" borderId="20" xfId="0" applyFont="1" applyFill="1" applyBorder="1" applyAlignment="1">
      <alignment horizontal="center" vertical="center"/>
    </xf>
    <xf numFmtId="0" fontId="35" fillId="9" borderId="11" xfId="0" applyFont="1" applyFill="1" applyBorder="1" applyAlignment="1">
      <alignment horizontal="center" vertical="center"/>
    </xf>
    <xf numFmtId="0" fontId="35" fillId="9" borderId="14" xfId="0" applyFont="1" applyFill="1" applyBorder="1" applyAlignment="1">
      <alignment horizontal="center" vertical="center"/>
    </xf>
    <xf numFmtId="0" fontId="35" fillId="9" borderId="21" xfId="0" applyFont="1" applyFill="1" applyBorder="1" applyAlignment="1">
      <alignment horizontal="center" vertical="center"/>
    </xf>
    <xf numFmtId="0" fontId="35" fillId="9" borderId="15" xfId="0" applyFont="1" applyFill="1" applyBorder="1" applyAlignment="1">
      <alignment horizontal="center" vertical="center"/>
    </xf>
    <xf numFmtId="0" fontId="35" fillId="2" borderId="56" xfId="0" applyFont="1" applyFill="1" applyBorder="1" applyAlignment="1">
      <alignment horizontal="center" vertical="center"/>
    </xf>
    <xf numFmtId="0" fontId="35" fillId="2" borderId="57" xfId="0" applyFont="1" applyFill="1" applyBorder="1" applyAlignment="1">
      <alignment horizontal="center" vertical="center"/>
    </xf>
    <xf numFmtId="0" fontId="8" fillId="2" borderId="51" xfId="0" applyFont="1" applyFill="1" applyBorder="1"/>
    <xf numFmtId="0" fontId="8" fillId="2" borderId="29" xfId="0" applyFont="1" applyFill="1" applyBorder="1"/>
    <xf numFmtId="0" fontId="8" fillId="2" borderId="25" xfId="0" applyFont="1" applyFill="1" applyBorder="1"/>
    <xf numFmtId="0" fontId="8" fillId="2" borderId="17" xfId="0" applyFont="1" applyFill="1" applyBorder="1"/>
    <xf numFmtId="0" fontId="8" fillId="2" borderId="18" xfId="0" applyFont="1" applyFill="1" applyBorder="1"/>
    <xf numFmtId="0" fontId="8" fillId="2" borderId="19" xfId="0" applyFont="1" applyFill="1" applyBorder="1"/>
    <xf numFmtId="0" fontId="35" fillId="3" borderId="2" xfId="0" applyFont="1" applyFill="1" applyBorder="1" applyAlignment="1">
      <alignment horizontal="center" vertical="center"/>
    </xf>
    <xf numFmtId="0" fontId="35" fillId="3" borderId="3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35" fillId="3" borderId="5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 vertical="center"/>
    </xf>
    <xf numFmtId="0" fontId="35" fillId="3" borderId="7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0" fontId="35" fillId="3" borderId="9" xfId="0" applyFont="1" applyFill="1" applyBorder="1" applyAlignment="1">
      <alignment horizontal="center" vertical="center"/>
    </xf>
    <xf numFmtId="0" fontId="35" fillId="2" borderId="58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left"/>
    </xf>
    <xf numFmtId="0" fontId="8" fillId="2" borderId="18" xfId="0" applyFont="1" applyFill="1" applyBorder="1" applyAlignment="1">
      <alignment horizontal="left"/>
    </xf>
    <xf numFmtId="0" fontId="8" fillId="2" borderId="19" xfId="0" applyFont="1" applyFill="1" applyBorder="1" applyAlignment="1">
      <alignment horizontal="left"/>
    </xf>
    <xf numFmtId="0" fontId="8" fillId="2" borderId="17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164" fontId="35" fillId="0" borderId="12" xfId="1" applyNumberFormat="1" applyFont="1" applyBorder="1" applyAlignment="1">
      <alignment horizontal="center" vertical="center"/>
    </xf>
    <xf numFmtId="164" fontId="35" fillId="0" borderId="0" xfId="1" applyNumberFormat="1" applyFont="1" applyBorder="1" applyAlignment="1">
      <alignment horizontal="center" vertical="center"/>
    </xf>
    <xf numFmtId="164" fontId="35" fillId="0" borderId="13" xfId="1" applyNumberFormat="1" applyFont="1" applyBorder="1" applyAlignment="1">
      <alignment horizontal="center" vertical="center"/>
    </xf>
    <xf numFmtId="164" fontId="35" fillId="0" borderId="14" xfId="1" applyNumberFormat="1" applyFont="1" applyBorder="1" applyAlignment="1">
      <alignment horizontal="center" vertical="center"/>
    </xf>
    <xf numFmtId="164" fontId="35" fillId="0" borderId="21" xfId="1" applyNumberFormat="1" applyFont="1" applyBorder="1" applyAlignment="1">
      <alignment horizontal="center" vertical="center"/>
    </xf>
    <xf numFmtId="164" fontId="35" fillId="0" borderId="15" xfId="1" applyNumberFormat="1" applyFont="1" applyBorder="1" applyAlignment="1">
      <alignment horizontal="center" vertical="center"/>
    </xf>
    <xf numFmtId="0" fontId="8" fillId="2" borderId="53" xfId="0" applyFont="1" applyFill="1" applyBorder="1" applyAlignment="1">
      <alignment vertical="center"/>
    </xf>
    <xf numFmtId="0" fontId="8" fillId="2" borderId="54" xfId="0" applyFont="1" applyFill="1" applyBorder="1" applyAlignment="1">
      <alignment vertical="center"/>
    </xf>
    <xf numFmtId="0" fontId="35" fillId="0" borderId="10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2" borderId="56" xfId="0" applyFont="1" applyFill="1" applyBorder="1" applyAlignment="1">
      <alignment horizontal="center"/>
    </xf>
    <xf numFmtId="0" fontId="35" fillId="2" borderId="57" xfId="0" applyFont="1" applyFill="1" applyBorder="1" applyAlignment="1">
      <alignment horizontal="center"/>
    </xf>
    <xf numFmtId="0" fontId="35" fillId="2" borderId="58" xfId="0" applyFont="1" applyFill="1" applyBorder="1" applyAlignment="1">
      <alignment horizontal="center"/>
    </xf>
    <xf numFmtId="0" fontId="8" fillId="2" borderId="51" xfId="0" applyFont="1" applyFill="1" applyBorder="1" applyAlignment="1">
      <alignment horizontal="left"/>
    </xf>
    <xf numFmtId="0" fontId="8" fillId="2" borderId="29" xfId="0" applyFont="1" applyFill="1" applyBorder="1" applyAlignment="1">
      <alignment horizontal="left"/>
    </xf>
    <xf numFmtId="0" fontId="8" fillId="2" borderId="25" xfId="0" applyFont="1" applyFill="1" applyBorder="1" applyAlignment="1">
      <alignment horizontal="left"/>
    </xf>
    <xf numFmtId="0" fontId="35" fillId="4" borderId="10" xfId="0" applyFont="1" applyFill="1" applyBorder="1" applyAlignment="1">
      <alignment horizontal="center"/>
    </xf>
    <xf numFmtId="0" fontId="35" fillId="4" borderId="20" xfId="0" applyFont="1" applyFill="1" applyBorder="1" applyAlignment="1">
      <alignment horizontal="center"/>
    </xf>
    <xf numFmtId="0" fontId="35" fillId="4" borderId="11" xfId="0" applyFont="1" applyFill="1" applyBorder="1" applyAlignment="1">
      <alignment horizontal="center"/>
    </xf>
    <xf numFmtId="0" fontId="35" fillId="4" borderId="56" xfId="0" applyFont="1" applyFill="1" applyBorder="1" applyAlignment="1">
      <alignment horizontal="center"/>
    </xf>
    <xf numFmtId="0" fontId="35" fillId="4" borderId="57" xfId="0" applyFont="1" applyFill="1" applyBorder="1" applyAlignment="1">
      <alignment horizontal="center"/>
    </xf>
    <xf numFmtId="0" fontId="8" fillId="4" borderId="48" xfId="0" applyFont="1" applyFill="1" applyBorder="1" applyAlignment="1">
      <alignment horizontal="left"/>
    </xf>
    <xf numFmtId="0" fontId="8" fillId="4" borderId="49" xfId="0" applyFont="1" applyFill="1" applyBorder="1" applyAlignment="1">
      <alignment horizontal="left"/>
    </xf>
    <xf numFmtId="0" fontId="8" fillId="4" borderId="50" xfId="0" applyFont="1" applyFill="1" applyBorder="1" applyAlignment="1">
      <alignment horizontal="left"/>
    </xf>
    <xf numFmtId="0" fontId="8" fillId="4" borderId="17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left"/>
    </xf>
    <xf numFmtId="0" fontId="8" fillId="4" borderId="19" xfId="0" applyFont="1" applyFill="1" applyBorder="1" applyAlignment="1">
      <alignment horizontal="left"/>
    </xf>
    <xf numFmtId="0" fontId="35" fillId="5" borderId="56" xfId="0" applyFont="1" applyFill="1" applyBorder="1" applyAlignment="1">
      <alignment horizontal="center"/>
    </xf>
    <xf numFmtId="0" fontId="35" fillId="5" borderId="57" xfId="0" applyFont="1" applyFill="1" applyBorder="1" applyAlignment="1">
      <alignment horizontal="center"/>
    </xf>
    <xf numFmtId="0" fontId="35" fillId="5" borderId="58" xfId="0" applyFont="1" applyFill="1" applyBorder="1" applyAlignment="1">
      <alignment horizontal="center"/>
    </xf>
    <xf numFmtId="0" fontId="8" fillId="5" borderId="51" xfId="0" applyFont="1" applyFill="1" applyBorder="1" applyAlignment="1">
      <alignment horizontal="left"/>
    </xf>
    <xf numFmtId="0" fontId="8" fillId="5" borderId="29" xfId="0" applyFont="1" applyFill="1" applyBorder="1" applyAlignment="1">
      <alignment horizontal="left"/>
    </xf>
    <xf numFmtId="0" fontId="8" fillId="5" borderId="25" xfId="0" applyFont="1" applyFill="1" applyBorder="1" applyAlignment="1">
      <alignment horizontal="left"/>
    </xf>
    <xf numFmtId="0" fontId="8" fillId="5" borderId="17" xfId="0" applyFont="1" applyFill="1" applyBorder="1" applyAlignment="1">
      <alignment horizontal="left"/>
    </xf>
    <xf numFmtId="0" fontId="8" fillId="5" borderId="18" xfId="0" applyFont="1" applyFill="1" applyBorder="1" applyAlignment="1">
      <alignment horizontal="left"/>
    </xf>
    <xf numFmtId="0" fontId="8" fillId="5" borderId="19" xfId="0" applyFont="1" applyFill="1" applyBorder="1" applyAlignment="1">
      <alignment horizontal="left"/>
    </xf>
    <xf numFmtId="0" fontId="35" fillId="6" borderId="56" xfId="0" applyFont="1" applyFill="1" applyBorder="1" applyAlignment="1">
      <alignment horizontal="center"/>
    </xf>
    <xf numFmtId="0" fontId="35" fillId="6" borderId="57" xfId="0" applyFont="1" applyFill="1" applyBorder="1" applyAlignment="1">
      <alignment horizontal="center"/>
    </xf>
    <xf numFmtId="0" fontId="35" fillId="6" borderId="58" xfId="0" applyFont="1" applyFill="1" applyBorder="1" applyAlignment="1">
      <alignment horizontal="center"/>
    </xf>
    <xf numFmtId="0" fontId="8" fillId="6" borderId="48" xfId="0" applyFont="1" applyFill="1" applyBorder="1" applyAlignment="1">
      <alignment horizontal="left"/>
    </xf>
    <xf numFmtId="0" fontId="8" fillId="6" borderId="49" xfId="0" applyFont="1" applyFill="1" applyBorder="1" applyAlignment="1">
      <alignment horizontal="left"/>
    </xf>
    <xf numFmtId="0" fontId="8" fillId="6" borderId="50" xfId="0" applyFont="1" applyFill="1" applyBorder="1" applyAlignment="1">
      <alignment horizontal="left"/>
    </xf>
    <xf numFmtId="0" fontId="8" fillId="5" borderId="59" xfId="0" applyFont="1" applyFill="1" applyBorder="1" applyAlignment="1">
      <alignment horizontal="left"/>
    </xf>
    <xf numFmtId="0" fontId="8" fillId="5" borderId="28" xfId="0" applyFont="1" applyFill="1" applyBorder="1" applyAlignment="1">
      <alignment horizontal="left"/>
    </xf>
    <xf numFmtId="0" fontId="8" fillId="5" borderId="23" xfId="0" applyFont="1" applyFill="1" applyBorder="1" applyAlignment="1">
      <alignment horizontal="left"/>
    </xf>
    <xf numFmtId="0" fontId="8" fillId="6" borderId="17" xfId="0" applyFont="1" applyFill="1" applyBorder="1" applyAlignment="1">
      <alignment horizontal="left"/>
    </xf>
    <xf numFmtId="0" fontId="8" fillId="6" borderId="18" xfId="0" applyFont="1" applyFill="1" applyBorder="1" applyAlignment="1">
      <alignment horizontal="left"/>
    </xf>
    <xf numFmtId="0" fontId="8" fillId="6" borderId="19" xfId="0" applyFont="1" applyFill="1" applyBorder="1" applyAlignment="1">
      <alignment horizontal="left"/>
    </xf>
    <xf numFmtId="0" fontId="8" fillId="6" borderId="59" xfId="0" applyFont="1" applyFill="1" applyBorder="1" applyAlignment="1">
      <alignment horizontal="left"/>
    </xf>
    <xf numFmtId="0" fontId="8" fillId="6" borderId="28" xfId="0" applyFont="1" applyFill="1" applyBorder="1" applyAlignment="1">
      <alignment horizontal="left"/>
    </xf>
    <xf numFmtId="0" fontId="8" fillId="6" borderId="23" xfId="0" applyFont="1" applyFill="1" applyBorder="1" applyAlignment="1">
      <alignment horizontal="left"/>
    </xf>
    <xf numFmtId="0" fontId="35" fillId="7" borderId="56" xfId="0" applyFont="1" applyFill="1" applyBorder="1" applyAlignment="1">
      <alignment horizontal="center"/>
    </xf>
    <xf numFmtId="0" fontId="35" fillId="7" borderId="57" xfId="0" applyFont="1" applyFill="1" applyBorder="1" applyAlignment="1">
      <alignment horizontal="center"/>
    </xf>
    <xf numFmtId="0" fontId="35" fillId="7" borderId="58" xfId="0" applyFont="1" applyFill="1" applyBorder="1" applyAlignment="1">
      <alignment horizontal="center"/>
    </xf>
    <xf numFmtId="0" fontId="8" fillId="7" borderId="51" xfId="0" applyFont="1" applyFill="1" applyBorder="1" applyAlignment="1">
      <alignment horizontal="left"/>
    </xf>
    <xf numFmtId="0" fontId="8" fillId="7" borderId="29" xfId="0" applyFont="1" applyFill="1" applyBorder="1" applyAlignment="1">
      <alignment horizontal="left"/>
    </xf>
    <xf numFmtId="0" fontId="8" fillId="7" borderId="25" xfId="0" applyFont="1" applyFill="1" applyBorder="1" applyAlignment="1">
      <alignment horizontal="left"/>
    </xf>
    <xf numFmtId="0" fontId="8" fillId="7" borderId="17" xfId="0" applyFont="1" applyFill="1" applyBorder="1" applyAlignment="1">
      <alignment horizontal="left"/>
    </xf>
    <xf numFmtId="0" fontId="8" fillId="7" borderId="18" xfId="0" applyFont="1" applyFill="1" applyBorder="1" applyAlignment="1">
      <alignment horizontal="left"/>
    </xf>
    <xf numFmtId="0" fontId="8" fillId="7" borderId="19" xfId="0" applyFont="1" applyFill="1" applyBorder="1" applyAlignment="1">
      <alignment horizontal="left"/>
    </xf>
    <xf numFmtId="0" fontId="8" fillId="7" borderId="5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8" fillId="7" borderId="59" xfId="0" applyFont="1" applyFill="1" applyBorder="1" applyAlignment="1">
      <alignment horizontal="left"/>
    </xf>
    <xf numFmtId="0" fontId="8" fillId="7" borderId="28" xfId="0" applyFont="1" applyFill="1" applyBorder="1" applyAlignment="1">
      <alignment horizontal="left"/>
    </xf>
    <xf numFmtId="0" fontId="8" fillId="7" borderId="23" xfId="0" applyFont="1" applyFill="1" applyBorder="1" applyAlignment="1">
      <alignment horizontal="left"/>
    </xf>
    <xf numFmtId="0" fontId="35" fillId="0" borderId="56" xfId="0" applyFont="1" applyBorder="1" applyAlignment="1">
      <alignment horizontal="center"/>
    </xf>
    <xf numFmtId="0" fontId="35" fillId="0" borderId="57" xfId="0" applyFont="1" applyBorder="1" applyAlignment="1">
      <alignment horizontal="center"/>
    </xf>
    <xf numFmtId="0" fontId="35" fillId="0" borderId="58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35" fillId="0" borderId="10" xfId="0" applyFont="1" applyBorder="1" applyAlignment="1">
      <alignment horizontal="right" vertical="center"/>
    </xf>
    <xf numFmtId="0" fontId="35" fillId="0" borderId="20" xfId="0" applyFont="1" applyBorder="1" applyAlignment="1">
      <alignment horizontal="right" vertical="center"/>
    </xf>
    <xf numFmtId="0" fontId="35" fillId="0" borderId="11" xfId="0" applyFont="1" applyBorder="1" applyAlignment="1">
      <alignment horizontal="right" vertical="center"/>
    </xf>
    <xf numFmtId="0" fontId="35" fillId="0" borderId="12" xfId="0" applyFont="1" applyBorder="1" applyAlignment="1">
      <alignment horizontal="right" vertical="center"/>
    </xf>
    <xf numFmtId="0" fontId="35" fillId="0" borderId="0" xfId="0" applyFont="1" applyAlignment="1">
      <alignment horizontal="right" vertical="center"/>
    </xf>
    <xf numFmtId="0" fontId="35" fillId="0" borderId="13" xfId="0" applyFont="1" applyBorder="1" applyAlignment="1">
      <alignment horizontal="right" vertical="center"/>
    </xf>
    <xf numFmtId="0" fontId="35" fillId="0" borderId="14" xfId="0" applyFont="1" applyBorder="1" applyAlignment="1">
      <alignment horizontal="right" vertical="center"/>
    </xf>
    <xf numFmtId="0" fontId="35" fillId="0" borderId="21" xfId="0" applyFont="1" applyBorder="1" applyAlignment="1">
      <alignment horizontal="right" vertical="center"/>
    </xf>
    <xf numFmtId="0" fontId="35" fillId="0" borderId="15" xfId="0" applyFont="1" applyBorder="1" applyAlignment="1">
      <alignment horizontal="right" vertical="center"/>
    </xf>
    <xf numFmtId="164" fontId="35" fillId="0" borderId="10" xfId="0" applyNumberFormat="1" applyFont="1" applyBorder="1" applyAlignment="1">
      <alignment vertical="center"/>
    </xf>
    <xf numFmtId="0" fontId="35" fillId="0" borderId="20" xfId="0" applyFont="1" applyBorder="1" applyAlignment="1">
      <alignment vertical="center"/>
    </xf>
    <xf numFmtId="0" fontId="35" fillId="0" borderId="11" xfId="0" applyFont="1" applyBorder="1" applyAlignment="1">
      <alignment vertical="center"/>
    </xf>
    <xf numFmtId="0" fontId="35" fillId="0" borderId="12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5" fillId="0" borderId="13" xfId="0" applyFont="1" applyBorder="1" applyAlignment="1">
      <alignment vertical="center"/>
    </xf>
    <xf numFmtId="0" fontId="35" fillId="0" borderId="14" xfId="0" applyFont="1" applyBorder="1" applyAlignment="1">
      <alignment vertical="center"/>
    </xf>
    <xf numFmtId="0" fontId="35" fillId="0" borderId="21" xfId="0" applyFont="1" applyBorder="1" applyAlignment="1">
      <alignment vertical="center"/>
    </xf>
    <xf numFmtId="0" fontId="35" fillId="0" borderId="15" xfId="0" applyFont="1" applyBorder="1" applyAlignment="1">
      <alignment vertic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0" fillId="8" borderId="0" xfId="0" applyFill="1" applyAlignment="1">
      <alignment horizontal="center"/>
    </xf>
    <xf numFmtId="0" fontId="8" fillId="8" borderId="1" xfId="0" applyFont="1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164" fontId="8" fillId="8" borderId="26" xfId="1" applyNumberFormat="1" applyFont="1" applyFill="1" applyBorder="1" applyAlignment="1">
      <alignment horizontal="center" vertical="center"/>
    </xf>
    <xf numFmtId="164" fontId="8" fillId="8" borderId="27" xfId="1" applyNumberFormat="1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14" fontId="8" fillId="8" borderId="24" xfId="0" applyNumberFormat="1" applyFont="1" applyFill="1" applyBorder="1" applyAlignment="1">
      <alignment horizontal="center" vertical="center"/>
    </xf>
    <xf numFmtId="164" fontId="8" fillId="8" borderId="22" xfId="1" applyNumberFormat="1" applyFont="1" applyFill="1" applyBorder="1" applyAlignment="1">
      <alignment horizontal="center" vertical="center"/>
    </xf>
    <xf numFmtId="164" fontId="8" fillId="8" borderId="23" xfId="1" applyNumberFormat="1" applyFont="1" applyFill="1" applyBorder="1" applyAlignment="1">
      <alignment horizontal="center" vertical="center"/>
    </xf>
    <xf numFmtId="2" fontId="8" fillId="8" borderId="24" xfId="0" applyNumberFormat="1" applyFont="1" applyFill="1" applyBorder="1" applyAlignment="1">
      <alignment horizontal="center" vertical="center"/>
    </xf>
    <xf numFmtId="2" fontId="8" fillId="8" borderId="25" xfId="0" applyNumberFormat="1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164" fontId="8" fillId="8" borderId="24" xfId="1" applyNumberFormat="1" applyFont="1" applyFill="1" applyBorder="1" applyAlignment="1">
      <alignment horizontal="center" vertical="center"/>
    </xf>
    <xf numFmtId="164" fontId="8" fillId="8" borderId="25" xfId="1" applyNumberFormat="1" applyFont="1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36" fillId="15" borderId="0" xfId="0" applyFont="1" applyFill="1" applyAlignment="1">
      <alignment horizontal="center"/>
    </xf>
  </cellXfs>
  <cellStyles count="5">
    <cellStyle name="Moneda" xfId="1" builtinId="4"/>
    <cellStyle name="Moneda 2" xfId="2" xr:uid="{12CDFBFC-85FC-44A0-ACE9-4B2D704BE7D0}"/>
    <cellStyle name="Moneda 3" xfId="4" xr:uid="{C05AB4F6-0BFE-4138-AFD5-FA5AAB198BA3}"/>
    <cellStyle name="Normal" xfId="0" builtinId="0"/>
    <cellStyle name="Normal 3 3" xfId="3" xr:uid="{436773D8-6432-4829-ACB1-560456084700}"/>
  </cellStyles>
  <dxfs count="0"/>
  <tableStyles count="0" defaultTableStyle="TableStyleMedium2" defaultPivotStyle="PivotStyleLight16"/>
  <colors>
    <mruColors>
      <color rgb="FFA2662A"/>
      <color rgb="FF8EA9DB"/>
      <color rgb="FF29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15</xdr:row>
      <xdr:rowOff>95250</xdr:rowOff>
    </xdr:from>
    <xdr:to>
      <xdr:col>6</xdr:col>
      <xdr:colOff>914400</xdr:colOff>
      <xdr:row>41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D98927-4D37-4185-95A3-1F8A90F03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8" t="20834" r="9313" b="23284"/>
        <a:stretch/>
      </xdr:blipFill>
      <xdr:spPr>
        <a:xfrm>
          <a:off x="28575" y="3009900"/>
          <a:ext cx="6343650" cy="4343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134409</xdr:rowOff>
    </xdr:from>
    <xdr:to>
      <xdr:col>3</xdr:col>
      <xdr:colOff>149624</xdr:colOff>
      <xdr:row>8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DEB802-6FA9-4103-A0DC-62925E21D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alphaModFix amt="90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387"/>
                  </a14:imgEffect>
                  <a14:imgEffect>
                    <a14:saturation sat="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15384"/>
          <a:ext cx="3702449" cy="113241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66</xdr:row>
      <xdr:rowOff>38100</xdr:rowOff>
    </xdr:from>
    <xdr:to>
      <xdr:col>6</xdr:col>
      <xdr:colOff>914400</xdr:colOff>
      <xdr:row>89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1D3E6DA-CAA6-4438-AE7C-8BA376C980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8" t="20834" r="9313" b="23284"/>
        <a:stretch/>
      </xdr:blipFill>
      <xdr:spPr>
        <a:xfrm>
          <a:off x="28575" y="11906250"/>
          <a:ext cx="6343650" cy="434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15</xdr:row>
      <xdr:rowOff>95250</xdr:rowOff>
    </xdr:from>
    <xdr:to>
      <xdr:col>6</xdr:col>
      <xdr:colOff>914400</xdr:colOff>
      <xdr:row>41</xdr:row>
      <xdr:rowOff>28575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A1736A1-A732-4D78-AC9B-D7F9A46B27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8" t="20834" r="9313" b="23284"/>
        <a:stretch/>
      </xdr:blipFill>
      <xdr:spPr>
        <a:xfrm>
          <a:off x="28575" y="3009900"/>
          <a:ext cx="6343650" cy="4343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134409</xdr:rowOff>
    </xdr:from>
    <xdr:to>
      <xdr:col>3</xdr:col>
      <xdr:colOff>149624</xdr:colOff>
      <xdr:row>8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C1E69E-73C6-4403-9AC4-0E3FBB234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alphaModFix amt="90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387"/>
                  </a14:imgEffect>
                  <a14:imgEffect>
                    <a14:saturation sat="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15384"/>
          <a:ext cx="3702449" cy="113241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66</xdr:row>
      <xdr:rowOff>38100</xdr:rowOff>
    </xdr:from>
    <xdr:to>
      <xdr:col>6</xdr:col>
      <xdr:colOff>914400</xdr:colOff>
      <xdr:row>89</xdr:row>
      <xdr:rowOff>171450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CA0FA7D-9148-4BFE-8E0F-7D582A57E1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8" t="20834" r="9313" b="23284"/>
        <a:stretch/>
      </xdr:blipFill>
      <xdr:spPr>
        <a:xfrm>
          <a:off x="28575" y="11906250"/>
          <a:ext cx="6343650" cy="434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563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D19A203-9446-4A1B-87F5-B3230ABA4679}">
  <we:reference id="wa200005401" version="1.2.1.0" store="es-ES" storeType="OMEX"/>
  <we:alternateReferences>
    <we:reference id="WA200005401" version="1.2.1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B37E977-9001-41D8-BCA4-64ABAAE7EA8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f17f3dc-4bb6-4807-ab25-6923796ac20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952F-38CD-46A0-B6C9-8A68013606D7}">
  <dimension ref="A2:K108"/>
  <sheetViews>
    <sheetView topLeftCell="A12" zoomScaleNormal="100" workbookViewId="0">
      <selection activeCell="K25" sqref="I25:K26"/>
    </sheetView>
  </sheetViews>
  <sheetFormatPr baseColWidth="10" defaultColWidth="11.44140625" defaultRowHeight="13.8"/>
  <cols>
    <col min="1" max="1" width="4.33203125" style="20" customWidth="1"/>
    <col min="2" max="2" width="30" style="20" customWidth="1"/>
    <col min="3" max="3" width="19" style="20" customWidth="1"/>
    <col min="4" max="4" width="6.109375" style="20" customWidth="1"/>
    <col min="5" max="5" width="7.109375" style="32" customWidth="1"/>
    <col min="6" max="6" width="15.33203125" style="20" customWidth="1"/>
    <col min="7" max="7" width="15" style="20" customWidth="1"/>
    <col min="8" max="16384" width="11.44140625" style="20"/>
  </cols>
  <sheetData>
    <row r="2" spans="1:7">
      <c r="A2" s="185"/>
      <c r="B2" s="185"/>
      <c r="C2" s="185"/>
      <c r="D2" s="185"/>
      <c r="E2" s="191" t="s">
        <v>101</v>
      </c>
      <c r="F2" s="191"/>
      <c r="G2" s="191"/>
    </row>
    <row r="3" spans="1:7">
      <c r="A3" s="185"/>
      <c r="B3" s="185"/>
      <c r="C3" s="185"/>
      <c r="D3" s="185"/>
      <c r="E3" s="191"/>
      <c r="F3" s="191"/>
      <c r="G3" s="191"/>
    </row>
    <row r="4" spans="1:7">
      <c r="A4" s="185"/>
      <c r="B4" s="185"/>
      <c r="C4" s="185"/>
      <c r="D4" s="185"/>
      <c r="E4" s="21" t="s">
        <v>102</v>
      </c>
      <c r="F4" s="192">
        <v>20260376</v>
      </c>
      <c r="G4" s="192"/>
    </row>
    <row r="5" spans="1:7">
      <c r="A5" s="185"/>
      <c r="B5" s="185"/>
      <c r="C5" s="185"/>
      <c r="D5" s="185"/>
      <c r="E5" s="21" t="s">
        <v>103</v>
      </c>
      <c r="F5" s="193">
        <f ca="1">TODAY()</f>
        <v>46168</v>
      </c>
      <c r="G5" s="192"/>
    </row>
    <row r="6" spans="1:7">
      <c r="A6" s="185"/>
      <c r="B6" s="185"/>
      <c r="C6" s="185"/>
      <c r="D6" s="185"/>
      <c r="E6" s="21"/>
      <c r="F6" s="194"/>
      <c r="G6" s="192"/>
    </row>
    <row r="7" spans="1:7">
      <c r="A7" s="185"/>
      <c r="B7" s="185"/>
      <c r="C7" s="185"/>
      <c r="D7" s="185"/>
      <c r="E7" s="22"/>
      <c r="F7" s="22"/>
      <c r="G7" s="22"/>
    </row>
    <row r="8" spans="1:7">
      <c r="A8" s="185"/>
      <c r="B8" s="185"/>
      <c r="C8" s="185"/>
      <c r="D8" s="185"/>
      <c r="E8" s="22"/>
      <c r="F8" s="22"/>
      <c r="G8" s="22"/>
    </row>
    <row r="9" spans="1:7" ht="16.5" customHeight="1">
      <c r="A9" s="195" t="s">
        <v>191</v>
      </c>
      <c r="B9" s="196"/>
      <c r="C9" s="196"/>
      <c r="E9" s="190" t="s">
        <v>104</v>
      </c>
      <c r="F9" s="190"/>
      <c r="G9" s="190"/>
    </row>
    <row r="10" spans="1:7" ht="16.5" customHeight="1">
      <c r="A10" s="196"/>
      <c r="B10" s="196"/>
      <c r="C10" s="196"/>
      <c r="E10" s="166" t="s">
        <v>404</v>
      </c>
      <c r="F10" s="166"/>
      <c r="G10" s="166"/>
    </row>
    <row r="11" spans="1:7" ht="16.5" customHeight="1">
      <c r="A11" s="166" t="s">
        <v>105</v>
      </c>
      <c r="B11" s="166"/>
      <c r="C11" s="166"/>
      <c r="E11" s="166" t="s">
        <v>405</v>
      </c>
      <c r="F11" s="166"/>
      <c r="G11" s="166"/>
    </row>
    <row r="12" spans="1:7" ht="16.5" customHeight="1">
      <c r="A12" s="166" t="s">
        <v>106</v>
      </c>
      <c r="B12" s="166"/>
      <c r="C12" s="166"/>
      <c r="E12" s="166"/>
      <c r="F12" s="166"/>
      <c r="G12" s="166"/>
    </row>
    <row r="13" spans="1:7" ht="16.5" customHeight="1">
      <c r="A13" s="166" t="s">
        <v>107</v>
      </c>
      <c r="B13" s="166"/>
      <c r="C13" s="166"/>
      <c r="E13" s="166"/>
      <c r="F13" s="166"/>
      <c r="G13" s="166"/>
    </row>
    <row r="14" spans="1:7" ht="16.5" customHeight="1">
      <c r="A14" s="189" t="s">
        <v>129</v>
      </c>
      <c r="B14" s="189"/>
      <c r="C14" s="189"/>
      <c r="E14" s="190" t="s">
        <v>108</v>
      </c>
      <c r="F14" s="190"/>
      <c r="G14" s="190"/>
    </row>
    <row r="15" spans="1:7" ht="16.5" customHeight="1">
      <c r="A15" s="166" t="s">
        <v>109</v>
      </c>
      <c r="B15" s="166"/>
      <c r="C15" s="166"/>
      <c r="E15" s="166" t="s">
        <v>406</v>
      </c>
      <c r="F15" s="166"/>
      <c r="G15" s="166"/>
    </row>
    <row r="16" spans="1:7" ht="16.5" customHeight="1">
      <c r="A16" s="21"/>
      <c r="B16" s="21"/>
      <c r="C16" s="21"/>
      <c r="E16" s="21"/>
      <c r="F16" s="21"/>
      <c r="G16" s="21"/>
    </row>
    <row r="17" spans="1:11">
      <c r="A17" s="178" t="s">
        <v>110</v>
      </c>
      <c r="B17" s="178"/>
      <c r="C17" s="178"/>
      <c r="D17" s="178"/>
      <c r="E17" s="178"/>
      <c r="F17" s="178"/>
      <c r="G17" s="178"/>
    </row>
    <row r="18" spans="1:11">
      <c r="A18" s="178"/>
      <c r="B18" s="178"/>
      <c r="C18" s="178"/>
      <c r="D18" s="178"/>
      <c r="E18" s="178"/>
      <c r="F18" s="178"/>
      <c r="G18" s="178"/>
    </row>
    <row r="19" spans="1:11">
      <c r="A19" s="23" t="s">
        <v>111</v>
      </c>
      <c r="B19" s="167" t="s">
        <v>112</v>
      </c>
      <c r="C19" s="167"/>
      <c r="D19" s="23" t="s">
        <v>113</v>
      </c>
      <c r="E19" s="23" t="s">
        <v>114</v>
      </c>
      <c r="F19" s="23" t="s">
        <v>115</v>
      </c>
      <c r="G19" s="23" t="s">
        <v>116</v>
      </c>
      <c r="K19" s="20" t="s">
        <v>433</v>
      </c>
    </row>
    <row r="20" spans="1:11" ht="12" customHeight="1">
      <c r="A20" s="23"/>
      <c r="B20" s="166"/>
      <c r="C20" s="166"/>
      <c r="D20" s="24"/>
      <c r="E20" s="23"/>
      <c r="F20" s="25"/>
      <c r="G20" s="25"/>
    </row>
    <row r="21" spans="1:11" ht="14.25" customHeight="1">
      <c r="A21" s="23">
        <v>1</v>
      </c>
      <c r="B21" s="170" t="s">
        <v>231</v>
      </c>
      <c r="C21" s="170"/>
      <c r="D21" s="26" t="s">
        <v>235</v>
      </c>
      <c r="E21" s="188">
        <v>1</v>
      </c>
      <c r="F21" s="182">
        <v>950000</v>
      </c>
      <c r="G21" s="182">
        <f>F21*E21</f>
        <v>950000</v>
      </c>
    </row>
    <row r="22" spans="1:11" ht="12" customHeight="1">
      <c r="A22" s="24"/>
      <c r="B22" s="170"/>
      <c r="C22" s="170"/>
      <c r="D22" s="26"/>
      <c r="E22" s="188"/>
      <c r="F22" s="182"/>
      <c r="G22" s="182"/>
    </row>
    <row r="23" spans="1:11" ht="14.25" customHeight="1">
      <c r="A23" s="23">
        <v>2</v>
      </c>
      <c r="B23" s="170" t="s">
        <v>232</v>
      </c>
      <c r="C23" s="170"/>
      <c r="D23" s="26" t="s">
        <v>235</v>
      </c>
      <c r="E23" s="188">
        <v>1</v>
      </c>
      <c r="F23" s="182">
        <v>1100000</v>
      </c>
      <c r="G23" s="182">
        <f>F23*E23</f>
        <v>1100000</v>
      </c>
    </row>
    <row r="24" spans="1:11" ht="12" customHeight="1">
      <c r="A24" s="23"/>
      <c r="B24" s="170"/>
      <c r="C24" s="170"/>
      <c r="D24" s="26"/>
      <c r="E24" s="188"/>
      <c r="F24" s="182"/>
      <c r="G24" s="182"/>
    </row>
    <row r="25" spans="1:11" ht="14.25" customHeight="1">
      <c r="A25" s="23">
        <v>3</v>
      </c>
      <c r="B25" s="170" t="s">
        <v>233</v>
      </c>
      <c r="C25" s="170"/>
      <c r="D25" s="26" t="s">
        <v>235</v>
      </c>
      <c r="E25" s="188">
        <v>1</v>
      </c>
      <c r="F25" s="182">
        <v>950000</v>
      </c>
      <c r="G25" s="182">
        <f>F25*E25</f>
        <v>950000</v>
      </c>
    </row>
    <row r="26" spans="1:11" ht="12" customHeight="1">
      <c r="A26" s="23"/>
      <c r="B26" s="170"/>
      <c r="C26" s="170"/>
      <c r="D26" s="26"/>
      <c r="E26" s="188"/>
      <c r="F26" s="182"/>
      <c r="G26" s="182"/>
    </row>
    <row r="27" spans="1:11" ht="14.25" customHeight="1">
      <c r="A27" s="23">
        <v>4</v>
      </c>
      <c r="B27" s="170" t="s">
        <v>234</v>
      </c>
      <c r="C27" s="170"/>
      <c r="D27" s="26" t="s">
        <v>235</v>
      </c>
      <c r="E27" s="188">
        <v>1</v>
      </c>
      <c r="F27" s="182">
        <v>1600000</v>
      </c>
      <c r="G27" s="182">
        <f>F27*E27</f>
        <v>1600000</v>
      </c>
    </row>
    <row r="28" spans="1:11" ht="12" customHeight="1">
      <c r="A28" s="23"/>
      <c r="B28" s="170"/>
      <c r="C28" s="170"/>
      <c r="D28" s="26"/>
      <c r="E28" s="188"/>
      <c r="F28" s="182"/>
      <c r="G28" s="182"/>
    </row>
    <row r="29" spans="1:11" ht="12" customHeight="1">
      <c r="A29" s="23">
        <v>5</v>
      </c>
      <c r="B29" s="170" t="s">
        <v>407</v>
      </c>
      <c r="C29" s="170"/>
      <c r="D29" s="26" t="s">
        <v>235</v>
      </c>
      <c r="E29" s="188">
        <v>1</v>
      </c>
      <c r="F29" s="182">
        <v>550000</v>
      </c>
      <c r="G29" s="182">
        <f>F29*E29</f>
        <v>550000</v>
      </c>
    </row>
    <row r="30" spans="1:11" ht="12" customHeight="1">
      <c r="A30" s="23"/>
      <c r="B30" s="170"/>
      <c r="C30" s="170"/>
      <c r="D30" s="26"/>
      <c r="E30" s="188"/>
      <c r="F30" s="182"/>
      <c r="G30" s="182"/>
    </row>
    <row r="31" spans="1:11" ht="12" customHeight="1">
      <c r="A31" s="23">
        <v>6</v>
      </c>
      <c r="B31" s="170"/>
      <c r="C31" s="170"/>
      <c r="D31" s="26"/>
      <c r="E31" s="188"/>
      <c r="F31" s="182"/>
      <c r="G31" s="182">
        <f>F31*E31</f>
        <v>0</v>
      </c>
    </row>
    <row r="32" spans="1:11" ht="12" customHeight="1">
      <c r="A32" s="23"/>
      <c r="B32" s="170"/>
      <c r="C32" s="170"/>
      <c r="D32" s="26"/>
      <c r="E32" s="188"/>
      <c r="F32" s="182"/>
      <c r="G32" s="182"/>
    </row>
    <row r="33" spans="1:7">
      <c r="A33" s="23"/>
      <c r="B33" s="170"/>
      <c r="C33" s="170"/>
      <c r="D33" s="26"/>
      <c r="E33" s="188"/>
      <c r="F33" s="182"/>
      <c r="G33" s="182"/>
    </row>
    <row r="34" spans="1:7" ht="12" customHeight="1">
      <c r="B34" s="170"/>
      <c r="C34" s="170"/>
      <c r="D34" s="27"/>
      <c r="E34" s="188"/>
      <c r="F34" s="182"/>
      <c r="G34" s="182"/>
    </row>
    <row r="35" spans="1:7" ht="15.6">
      <c r="A35" s="178" t="s">
        <v>117</v>
      </c>
      <c r="B35" s="178"/>
      <c r="C35" s="178"/>
      <c r="D35" s="178"/>
      <c r="E35" s="178"/>
      <c r="F35" s="178"/>
      <c r="G35" s="178"/>
    </row>
    <row r="36" spans="1:7">
      <c r="A36" s="23" t="s">
        <v>111</v>
      </c>
      <c r="B36" s="167" t="s">
        <v>112</v>
      </c>
      <c r="C36" s="167"/>
      <c r="D36" s="23" t="s">
        <v>113</v>
      </c>
      <c r="E36" s="23" t="s">
        <v>114</v>
      </c>
      <c r="F36" s="23" t="s">
        <v>115</v>
      </c>
      <c r="G36" s="23" t="s">
        <v>116</v>
      </c>
    </row>
    <row r="37" spans="1:7" ht="12" customHeight="1">
      <c r="A37" s="23"/>
      <c r="B37" s="166"/>
      <c r="C37" s="166"/>
      <c r="D37" s="24"/>
      <c r="E37" s="23"/>
      <c r="F37" s="28"/>
      <c r="G37" s="28"/>
    </row>
    <row r="38" spans="1:7">
      <c r="A38" s="29">
        <v>1</v>
      </c>
      <c r="B38" s="187"/>
      <c r="C38" s="187"/>
      <c r="D38" s="30"/>
      <c r="E38" s="23"/>
      <c r="F38" s="31"/>
      <c r="G38" s="182">
        <f>E38*F38</f>
        <v>0</v>
      </c>
    </row>
    <row r="39" spans="1:7" ht="12" customHeight="1">
      <c r="A39" s="29"/>
      <c r="B39" s="187"/>
      <c r="C39" s="187"/>
      <c r="D39" s="30"/>
      <c r="E39" s="29"/>
      <c r="F39" s="31"/>
      <c r="G39" s="182"/>
    </row>
    <row r="40" spans="1:7">
      <c r="A40" s="29">
        <v>2</v>
      </c>
      <c r="B40" s="181"/>
      <c r="C40" s="181"/>
      <c r="D40" s="30"/>
      <c r="E40" s="29"/>
      <c r="F40" s="31"/>
      <c r="G40" s="182">
        <f>E40*F40</f>
        <v>0</v>
      </c>
    </row>
    <row r="41" spans="1:7">
      <c r="F41" s="33"/>
      <c r="G41" s="182"/>
    </row>
    <row r="42" spans="1:7">
      <c r="C42" s="183" t="s">
        <v>118</v>
      </c>
      <c r="D42" s="183"/>
      <c r="E42" s="183"/>
      <c r="F42" s="184">
        <f>SUM(G21:G32)</f>
        <v>5150000</v>
      </c>
      <c r="G42" s="184"/>
    </row>
    <row r="43" spans="1:7">
      <c r="C43" s="183"/>
      <c r="D43" s="183"/>
      <c r="E43" s="183"/>
      <c r="F43" s="184"/>
      <c r="G43" s="184"/>
    </row>
    <row r="45" spans="1:7">
      <c r="A45" s="185"/>
      <c r="B45" s="185"/>
      <c r="C45" s="185"/>
      <c r="D45" s="185"/>
      <c r="E45" s="185"/>
      <c r="F45" s="185"/>
      <c r="G45" s="185"/>
    </row>
    <row r="47" spans="1:7">
      <c r="A47" s="177" t="s">
        <v>119</v>
      </c>
      <c r="B47" s="177"/>
      <c r="C47" s="186" t="s">
        <v>236</v>
      </c>
      <c r="D47" s="166"/>
      <c r="E47" s="166"/>
      <c r="F47" s="166"/>
      <c r="G47" s="166"/>
    </row>
    <row r="48" spans="1:7">
      <c r="A48" s="177" t="s">
        <v>120</v>
      </c>
      <c r="B48" s="177"/>
      <c r="C48" s="177" t="s">
        <v>207</v>
      </c>
      <c r="D48" s="177"/>
      <c r="E48" s="177"/>
      <c r="F48" s="177"/>
      <c r="G48" s="177"/>
    </row>
    <row r="49" spans="1:7">
      <c r="A49" s="177" t="s">
        <v>5</v>
      </c>
      <c r="B49" s="177"/>
      <c r="C49" s="179" t="s">
        <v>199</v>
      </c>
      <c r="D49" s="179"/>
      <c r="E49" s="179"/>
      <c r="F49" s="179"/>
      <c r="G49" s="179"/>
    </row>
    <row r="50" spans="1:7">
      <c r="A50" s="177" t="s">
        <v>121</v>
      </c>
      <c r="B50" s="177"/>
      <c r="C50" s="177" t="s">
        <v>122</v>
      </c>
      <c r="D50" s="177"/>
      <c r="E50" s="177"/>
      <c r="F50" s="177"/>
      <c r="G50" s="177"/>
    </row>
    <row r="51" spans="1:7">
      <c r="A51" s="177" t="s">
        <v>123</v>
      </c>
      <c r="B51" s="177"/>
      <c r="C51" s="48" t="s">
        <v>124</v>
      </c>
      <c r="D51" s="48"/>
      <c r="E51" s="48"/>
      <c r="F51" s="48"/>
      <c r="G51" s="48"/>
    </row>
    <row r="52" spans="1:7">
      <c r="A52" s="177" t="s">
        <v>238</v>
      </c>
      <c r="B52" s="177"/>
      <c r="C52" s="180" t="s">
        <v>239</v>
      </c>
      <c r="D52" s="180"/>
      <c r="E52" s="180"/>
      <c r="F52" s="180"/>
      <c r="G52" s="180"/>
    </row>
    <row r="53" spans="1:7" ht="15" customHeight="1">
      <c r="A53" s="168" t="s">
        <v>258</v>
      </c>
      <c r="B53" s="168"/>
      <c r="C53" s="168"/>
      <c r="D53" s="168"/>
      <c r="E53" s="168"/>
      <c r="F53" s="168"/>
      <c r="G53" s="168"/>
    </row>
    <row r="54" spans="1:7">
      <c r="A54" s="168"/>
      <c r="B54" s="168"/>
      <c r="C54" s="168"/>
      <c r="D54" s="168"/>
      <c r="E54" s="168"/>
      <c r="F54" s="168"/>
      <c r="G54" s="168"/>
    </row>
    <row r="55" spans="1:7">
      <c r="A55" s="21"/>
      <c r="B55" s="21"/>
      <c r="C55" s="21"/>
      <c r="D55" s="21"/>
      <c r="E55" s="21"/>
      <c r="F55" s="21"/>
      <c r="G55" s="35" t="s">
        <v>125</v>
      </c>
    </row>
    <row r="56" spans="1:7">
      <c r="A56" s="178" t="s">
        <v>126</v>
      </c>
      <c r="B56" s="178"/>
      <c r="C56" s="178"/>
      <c r="D56" s="178"/>
      <c r="E56" s="178"/>
      <c r="F56" s="178"/>
      <c r="G56" s="178"/>
    </row>
    <row r="57" spans="1:7">
      <c r="A57" s="178"/>
      <c r="B57" s="178"/>
      <c r="C57" s="178"/>
      <c r="D57" s="178"/>
      <c r="E57" s="178"/>
      <c r="F57" s="178"/>
      <c r="G57" s="178"/>
    </row>
    <row r="58" spans="1:7" ht="15">
      <c r="A58" s="175" t="s">
        <v>127</v>
      </c>
      <c r="B58" s="175"/>
      <c r="C58" s="175"/>
      <c r="D58" s="175"/>
      <c r="E58" s="175"/>
      <c r="F58" s="175"/>
      <c r="G58" s="175"/>
    </row>
    <row r="59" spans="1:7" ht="14.25" customHeight="1">
      <c r="A59" s="176" t="s">
        <v>237</v>
      </c>
      <c r="B59" s="176"/>
      <c r="C59" s="176"/>
      <c r="D59" s="176"/>
      <c r="E59" s="176"/>
      <c r="F59" s="176"/>
      <c r="G59" s="176"/>
    </row>
    <row r="60" spans="1:7" ht="14.25" customHeight="1">
      <c r="A60" s="170" t="s">
        <v>245</v>
      </c>
      <c r="B60" s="170"/>
      <c r="C60" s="170"/>
      <c r="D60" s="170"/>
      <c r="E60" s="170"/>
      <c r="F60" s="170"/>
      <c r="G60" s="170"/>
    </row>
    <row r="61" spans="1:7" ht="14.25" customHeight="1">
      <c r="A61" s="170"/>
      <c r="B61" s="170"/>
      <c r="C61" s="170"/>
      <c r="D61" s="170"/>
      <c r="E61" s="170"/>
      <c r="F61" s="170"/>
      <c r="G61" s="170"/>
    </row>
    <row r="62" spans="1:7" ht="14.25" customHeight="1">
      <c r="A62" s="170"/>
      <c r="B62" s="170"/>
      <c r="C62" s="170"/>
      <c r="D62" s="170"/>
      <c r="E62" s="170"/>
      <c r="F62" s="170"/>
      <c r="G62" s="170"/>
    </row>
    <row r="63" spans="1:7" ht="14.25" customHeight="1">
      <c r="A63" s="170"/>
      <c r="B63" s="170"/>
      <c r="C63" s="170"/>
      <c r="D63" s="170"/>
      <c r="E63" s="170"/>
      <c r="F63" s="170"/>
      <c r="G63" s="170"/>
    </row>
    <row r="64" spans="1:7" ht="14.25" customHeight="1">
      <c r="A64" s="175" t="s">
        <v>194</v>
      </c>
      <c r="B64" s="175"/>
      <c r="C64" s="175"/>
      <c r="D64" s="175"/>
      <c r="E64" s="175"/>
      <c r="F64" s="175"/>
      <c r="G64" s="175"/>
    </row>
    <row r="65" spans="1:7" ht="14.25" customHeight="1">
      <c r="A65" s="176" t="s">
        <v>240</v>
      </c>
      <c r="B65" s="176"/>
      <c r="C65" s="176"/>
      <c r="D65" s="176"/>
      <c r="E65" s="176"/>
      <c r="F65" s="176"/>
      <c r="G65" s="176"/>
    </row>
    <row r="66" spans="1:7" ht="14.25" customHeight="1">
      <c r="A66" s="170" t="s">
        <v>244</v>
      </c>
      <c r="B66" s="170"/>
      <c r="C66" s="170"/>
      <c r="D66" s="170"/>
      <c r="E66" s="170"/>
      <c r="F66" s="170"/>
      <c r="G66" s="170"/>
    </row>
    <row r="67" spans="1:7" ht="14.25" customHeight="1">
      <c r="A67" s="170"/>
      <c r="B67" s="170"/>
      <c r="C67" s="170"/>
      <c r="D67" s="170"/>
      <c r="E67" s="170"/>
      <c r="F67" s="170"/>
      <c r="G67" s="170"/>
    </row>
    <row r="68" spans="1:7" ht="14.25" customHeight="1">
      <c r="A68" s="170"/>
      <c r="B68" s="170"/>
      <c r="C68" s="170"/>
      <c r="D68" s="170"/>
      <c r="E68" s="170"/>
      <c r="F68" s="170"/>
      <c r="G68" s="170"/>
    </row>
    <row r="69" spans="1:7" ht="14.25" customHeight="1">
      <c r="A69" s="170"/>
      <c r="B69" s="170"/>
      <c r="C69" s="170"/>
      <c r="D69" s="170"/>
      <c r="E69" s="170"/>
      <c r="F69" s="170"/>
      <c r="G69" s="170"/>
    </row>
    <row r="70" spans="1:7" ht="14.25" customHeight="1">
      <c r="A70" s="175" t="s">
        <v>210</v>
      </c>
      <c r="B70" s="175"/>
      <c r="C70" s="175"/>
      <c r="D70" s="175"/>
      <c r="E70" s="175"/>
      <c r="F70" s="175"/>
      <c r="G70" s="175"/>
    </row>
    <row r="71" spans="1:7" ht="14.25" customHeight="1">
      <c r="A71" s="176" t="s">
        <v>242</v>
      </c>
      <c r="B71" s="176"/>
      <c r="C71" s="176"/>
      <c r="D71" s="176"/>
      <c r="E71" s="176"/>
      <c r="F71" s="176"/>
      <c r="G71" s="176"/>
    </row>
    <row r="72" spans="1:7" ht="14.25" customHeight="1">
      <c r="A72" s="170" t="s">
        <v>243</v>
      </c>
      <c r="B72" s="170"/>
      <c r="C72" s="170"/>
      <c r="D72" s="170"/>
      <c r="E72" s="170"/>
      <c r="F72" s="170"/>
      <c r="G72" s="170"/>
    </row>
    <row r="73" spans="1:7" ht="14.25" customHeight="1">
      <c r="A73" s="170"/>
      <c r="B73" s="170"/>
      <c r="C73" s="170"/>
      <c r="D73" s="170"/>
      <c r="E73" s="170"/>
      <c r="F73" s="170"/>
      <c r="G73" s="170"/>
    </row>
    <row r="74" spans="1:7" ht="14.25" customHeight="1">
      <c r="A74" s="170"/>
      <c r="B74" s="170"/>
      <c r="C74" s="170"/>
      <c r="D74" s="170"/>
      <c r="E74" s="170"/>
      <c r="F74" s="170"/>
      <c r="G74" s="170"/>
    </row>
    <row r="75" spans="1:7" ht="14.25" customHeight="1">
      <c r="A75" s="170"/>
      <c r="B75" s="170"/>
      <c r="C75" s="170"/>
      <c r="D75" s="170"/>
      <c r="E75" s="170"/>
      <c r="F75" s="170"/>
      <c r="G75" s="170"/>
    </row>
    <row r="76" spans="1:7" ht="15" customHeight="1">
      <c r="A76" s="175" t="s">
        <v>241</v>
      </c>
      <c r="B76" s="175"/>
      <c r="C76" s="175"/>
      <c r="D76" s="175"/>
      <c r="E76" s="175"/>
      <c r="F76" s="175"/>
      <c r="G76" s="175"/>
    </row>
    <row r="77" spans="1:7" ht="14.25" customHeight="1">
      <c r="A77" s="176" t="s">
        <v>246</v>
      </c>
      <c r="B77" s="176"/>
      <c r="C77" s="176"/>
      <c r="D77" s="176"/>
      <c r="E77" s="176"/>
      <c r="F77" s="176"/>
      <c r="G77" s="176"/>
    </row>
    <row r="78" spans="1:7" ht="14.25" customHeight="1">
      <c r="A78" s="170" t="s">
        <v>247</v>
      </c>
      <c r="B78" s="170"/>
      <c r="C78" s="170"/>
      <c r="D78" s="170"/>
      <c r="E78" s="170"/>
      <c r="F78" s="170"/>
      <c r="G78" s="170"/>
    </row>
    <row r="79" spans="1:7" ht="14.25" customHeight="1">
      <c r="A79" s="170"/>
      <c r="B79" s="170"/>
      <c r="C79" s="170"/>
      <c r="D79" s="170"/>
      <c r="E79" s="170"/>
      <c r="F79" s="170"/>
      <c r="G79" s="170"/>
    </row>
    <row r="80" spans="1:7" ht="15" customHeight="1">
      <c r="A80" s="170"/>
      <c r="B80" s="170"/>
      <c r="C80" s="170"/>
      <c r="D80" s="170"/>
      <c r="E80" s="170"/>
      <c r="F80" s="170"/>
      <c r="G80" s="170"/>
    </row>
    <row r="81" spans="1:7" ht="14.25" customHeight="1">
      <c r="A81" s="170"/>
      <c r="B81" s="170"/>
      <c r="C81" s="170"/>
      <c r="D81" s="170"/>
      <c r="E81" s="170"/>
      <c r="F81" s="170"/>
      <c r="G81" s="170"/>
    </row>
    <row r="82" spans="1:7">
      <c r="A82" s="174" t="s">
        <v>249</v>
      </c>
      <c r="B82" s="174"/>
      <c r="C82" s="174"/>
      <c r="D82" s="174"/>
      <c r="E82" s="174"/>
      <c r="F82" s="174"/>
      <c r="G82" s="174"/>
    </row>
    <row r="83" spans="1:7">
      <c r="A83" s="172" t="s">
        <v>250</v>
      </c>
      <c r="B83" s="172"/>
      <c r="C83" s="172"/>
      <c r="D83" s="172"/>
      <c r="E83" s="172"/>
      <c r="F83" s="172"/>
      <c r="G83" s="172"/>
    </row>
    <row r="84" spans="1:7" ht="15.75" customHeight="1">
      <c r="A84" s="172" t="s">
        <v>251</v>
      </c>
      <c r="B84" s="172"/>
      <c r="C84" s="172"/>
      <c r="D84" s="172"/>
      <c r="E84" s="172"/>
      <c r="F84" s="172"/>
      <c r="G84" s="172"/>
    </row>
    <row r="85" spans="1:7">
      <c r="A85" s="172" t="s">
        <v>252</v>
      </c>
      <c r="B85" s="172"/>
      <c r="C85" s="172"/>
      <c r="D85" s="172"/>
      <c r="E85" s="172"/>
      <c r="F85" s="172"/>
      <c r="G85" s="172"/>
    </row>
    <row r="86" spans="1:7" ht="15" customHeight="1">
      <c r="A86" s="172" t="s">
        <v>253</v>
      </c>
      <c r="B86" s="172"/>
      <c r="C86" s="172"/>
      <c r="D86" s="172"/>
      <c r="E86" s="172"/>
      <c r="F86" s="172"/>
      <c r="G86" s="172"/>
    </row>
    <row r="87" spans="1:7">
      <c r="A87" s="172" t="s">
        <v>256</v>
      </c>
      <c r="B87" s="172"/>
      <c r="C87" s="172"/>
      <c r="D87" s="172"/>
      <c r="E87" s="172"/>
      <c r="F87" s="172"/>
      <c r="G87" s="172"/>
    </row>
    <row r="88" spans="1:7">
      <c r="A88" s="172"/>
      <c r="B88" s="172"/>
      <c r="C88" s="172"/>
      <c r="D88" s="172"/>
      <c r="E88" s="172"/>
      <c r="F88" s="172"/>
      <c r="G88" s="172"/>
    </row>
    <row r="89" spans="1:7">
      <c r="A89" s="172"/>
      <c r="B89" s="172"/>
      <c r="C89" s="172"/>
      <c r="D89" s="172"/>
      <c r="E89" s="172"/>
      <c r="F89" s="172"/>
      <c r="G89" s="172"/>
    </row>
    <row r="90" spans="1:7" ht="14.25" customHeight="1">
      <c r="A90" s="172"/>
      <c r="B90" s="172"/>
      <c r="C90" s="172"/>
      <c r="D90" s="172"/>
      <c r="E90" s="172"/>
      <c r="F90" s="172"/>
      <c r="G90" s="172"/>
    </row>
    <row r="91" spans="1:7" ht="14.25" customHeight="1">
      <c r="A91" s="172"/>
      <c r="B91" s="172"/>
      <c r="C91" s="172"/>
      <c r="D91" s="172"/>
      <c r="E91" s="172"/>
      <c r="F91" s="172"/>
      <c r="G91" s="172"/>
    </row>
    <row r="92" spans="1:7" ht="14.25" customHeight="1"/>
    <row r="93" spans="1:7" ht="15" customHeight="1"/>
    <row r="94" spans="1:7" ht="15" customHeight="1">
      <c r="A94" s="169"/>
      <c r="B94" s="169"/>
      <c r="C94" s="169"/>
      <c r="D94" s="169"/>
      <c r="E94" s="169"/>
      <c r="F94" s="169"/>
      <c r="G94" s="169"/>
    </row>
    <row r="95" spans="1:7">
      <c r="A95" s="169"/>
      <c r="B95" s="169"/>
      <c r="C95" s="169"/>
      <c r="D95" s="169"/>
      <c r="E95" s="169"/>
      <c r="F95" s="169"/>
      <c r="G95" s="169"/>
    </row>
    <row r="96" spans="1:7">
      <c r="A96" s="169"/>
      <c r="B96" s="169"/>
      <c r="C96" s="169"/>
      <c r="D96" s="169"/>
      <c r="E96" s="169"/>
      <c r="F96" s="169"/>
      <c r="G96" s="169"/>
    </row>
    <row r="97" spans="1:7">
      <c r="A97" s="169"/>
      <c r="B97" s="169"/>
      <c r="C97" s="169"/>
      <c r="D97" s="169"/>
      <c r="E97" s="169"/>
      <c r="F97" s="169"/>
      <c r="G97" s="169"/>
    </row>
    <row r="98" spans="1:7">
      <c r="A98" s="173" t="s">
        <v>248</v>
      </c>
      <c r="B98" s="173"/>
      <c r="C98" s="173"/>
      <c r="D98" s="173"/>
      <c r="E98" s="173"/>
      <c r="F98" s="173"/>
      <c r="G98" s="173"/>
    </row>
    <row r="99" spans="1:7">
      <c r="A99" s="170" t="s">
        <v>257</v>
      </c>
      <c r="B99" s="170"/>
      <c r="C99" s="170"/>
      <c r="D99" s="170"/>
      <c r="E99" s="170"/>
      <c r="F99" s="170"/>
      <c r="G99" s="170"/>
    </row>
    <row r="100" spans="1:7" ht="14.25" customHeight="1">
      <c r="A100" s="170"/>
      <c r="B100" s="170"/>
      <c r="C100" s="170"/>
      <c r="D100" s="170"/>
      <c r="E100" s="170"/>
      <c r="F100" s="170"/>
      <c r="G100" s="170"/>
    </row>
    <row r="101" spans="1:7">
      <c r="A101" s="171" t="s">
        <v>124</v>
      </c>
      <c r="B101" s="171"/>
      <c r="C101" s="171"/>
      <c r="D101" s="171"/>
      <c r="E101" s="171"/>
      <c r="F101" s="171"/>
      <c r="G101" s="171"/>
    </row>
    <row r="102" spans="1:7">
      <c r="A102" s="166" t="s">
        <v>254</v>
      </c>
      <c r="B102" s="166"/>
      <c r="C102" s="166"/>
      <c r="D102" s="166"/>
      <c r="E102" s="166"/>
      <c r="F102" s="166"/>
      <c r="G102" s="166"/>
    </row>
    <row r="103" spans="1:7">
      <c r="A103" s="166" t="s">
        <v>255</v>
      </c>
      <c r="B103" s="166"/>
      <c r="C103" s="166"/>
      <c r="D103" s="166"/>
      <c r="E103" s="166"/>
      <c r="F103" s="166"/>
      <c r="G103" s="166"/>
    </row>
    <row r="104" spans="1:7" ht="15" customHeight="1">
      <c r="A104" s="166"/>
      <c r="B104" s="166"/>
      <c r="C104" s="166"/>
      <c r="D104" s="166"/>
      <c r="E104" s="166"/>
      <c r="F104" s="166"/>
      <c r="G104" s="166"/>
    </row>
    <row r="105" spans="1:7" ht="15" customHeight="1">
      <c r="A105" s="167"/>
      <c r="B105" s="167"/>
      <c r="C105" s="167"/>
      <c r="D105" s="167"/>
      <c r="E105" s="167"/>
      <c r="F105" s="167"/>
      <c r="G105" s="167"/>
    </row>
    <row r="106" spans="1:7" ht="15" customHeight="1">
      <c r="A106" s="168" t="s">
        <v>258</v>
      </c>
      <c r="B106" s="168"/>
      <c r="C106" s="168"/>
      <c r="D106" s="168"/>
      <c r="E106" s="168"/>
      <c r="F106" s="168"/>
      <c r="G106" s="168"/>
    </row>
    <row r="107" spans="1:7">
      <c r="A107" s="168"/>
      <c r="B107" s="168"/>
      <c r="C107" s="168"/>
      <c r="D107" s="168"/>
      <c r="E107" s="168"/>
      <c r="F107" s="168"/>
      <c r="G107" s="168"/>
    </row>
    <row r="108" spans="1:7">
      <c r="G108" s="36" t="s">
        <v>128</v>
      </c>
    </row>
  </sheetData>
  <mergeCells count="108">
    <mergeCell ref="A11:C11"/>
    <mergeCell ref="E11:G11"/>
    <mergeCell ref="A12:C12"/>
    <mergeCell ref="E12:G12"/>
    <mergeCell ref="A13:C13"/>
    <mergeCell ref="A14:C14"/>
    <mergeCell ref="E14:G14"/>
    <mergeCell ref="A2:D8"/>
    <mergeCell ref="E2:G3"/>
    <mergeCell ref="F4:G4"/>
    <mergeCell ref="F5:G5"/>
    <mergeCell ref="F6:G6"/>
    <mergeCell ref="A9:C10"/>
    <mergeCell ref="E9:G9"/>
    <mergeCell ref="E10:G10"/>
    <mergeCell ref="B23:C24"/>
    <mergeCell ref="E23:E24"/>
    <mergeCell ref="F23:F24"/>
    <mergeCell ref="G23:G24"/>
    <mergeCell ref="B25:C26"/>
    <mergeCell ref="E25:E26"/>
    <mergeCell ref="F25:F26"/>
    <mergeCell ref="G25:G26"/>
    <mergeCell ref="A15:C15"/>
    <mergeCell ref="E15:G15"/>
    <mergeCell ref="A17:G18"/>
    <mergeCell ref="B19:C19"/>
    <mergeCell ref="B20:C20"/>
    <mergeCell ref="B21:C22"/>
    <mergeCell ref="E21:E22"/>
    <mergeCell ref="F21:F22"/>
    <mergeCell ref="G21:G22"/>
    <mergeCell ref="B31:C32"/>
    <mergeCell ref="E31:E32"/>
    <mergeCell ref="F31:F32"/>
    <mergeCell ref="G31:G32"/>
    <mergeCell ref="B33:C34"/>
    <mergeCell ref="E33:E34"/>
    <mergeCell ref="F33:F34"/>
    <mergeCell ref="G33:G34"/>
    <mergeCell ref="B27:C28"/>
    <mergeCell ref="E27:E28"/>
    <mergeCell ref="F27:F28"/>
    <mergeCell ref="G27:G28"/>
    <mergeCell ref="B29:C30"/>
    <mergeCell ref="E29:E30"/>
    <mergeCell ref="F29:F30"/>
    <mergeCell ref="G29:G30"/>
    <mergeCell ref="B40:C40"/>
    <mergeCell ref="G40:G41"/>
    <mergeCell ref="C42:E43"/>
    <mergeCell ref="F42:G43"/>
    <mergeCell ref="A45:G45"/>
    <mergeCell ref="A47:B47"/>
    <mergeCell ref="C47:G47"/>
    <mergeCell ref="A35:G35"/>
    <mergeCell ref="B36:C36"/>
    <mergeCell ref="B37:C37"/>
    <mergeCell ref="B38:C38"/>
    <mergeCell ref="G38:G39"/>
    <mergeCell ref="B39:C39"/>
    <mergeCell ref="A51:B51"/>
    <mergeCell ref="A53:G54"/>
    <mergeCell ref="A56:G57"/>
    <mergeCell ref="A58:G58"/>
    <mergeCell ref="A59:G59"/>
    <mergeCell ref="A48:B48"/>
    <mergeCell ref="C48:G48"/>
    <mergeCell ref="A49:B49"/>
    <mergeCell ref="C49:G49"/>
    <mergeCell ref="A50:B50"/>
    <mergeCell ref="C50:G50"/>
    <mergeCell ref="A52:B52"/>
    <mergeCell ref="C52:G52"/>
    <mergeCell ref="A76:G76"/>
    <mergeCell ref="A77:G77"/>
    <mergeCell ref="A72:G75"/>
    <mergeCell ref="A78:G81"/>
    <mergeCell ref="A70:G70"/>
    <mergeCell ref="A71:G71"/>
    <mergeCell ref="A64:G64"/>
    <mergeCell ref="A65:G65"/>
    <mergeCell ref="A60:G63"/>
    <mergeCell ref="A66:G69"/>
    <mergeCell ref="A102:G102"/>
    <mergeCell ref="A103:G103"/>
    <mergeCell ref="A104:G104"/>
    <mergeCell ref="A105:G105"/>
    <mergeCell ref="A106:G107"/>
    <mergeCell ref="E13:G13"/>
    <mergeCell ref="A96:G96"/>
    <mergeCell ref="A97:G97"/>
    <mergeCell ref="A100:G100"/>
    <mergeCell ref="A101:G101"/>
    <mergeCell ref="A90:G90"/>
    <mergeCell ref="A91:G91"/>
    <mergeCell ref="A98:G98"/>
    <mergeCell ref="A99:G99"/>
    <mergeCell ref="A94:G94"/>
    <mergeCell ref="A95:G95"/>
    <mergeCell ref="A84:G84"/>
    <mergeCell ref="A85:G85"/>
    <mergeCell ref="A86:G86"/>
    <mergeCell ref="A87:G87"/>
    <mergeCell ref="A88:G88"/>
    <mergeCell ref="A89:G89"/>
    <mergeCell ref="A82:G82"/>
    <mergeCell ref="A83:G83"/>
  </mergeCells>
  <phoneticPr fontId="4" type="noConversion"/>
  <printOptions horizontalCentered="1"/>
  <pageMargins left="0.23622047244094491" right="0.23622047244094491" top="0.35433070866141736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CDEF-19F0-42FC-AA3D-FD8B94D9DE96}">
  <sheetPr codeName="Hoja1"/>
  <dimension ref="A2:G108"/>
  <sheetViews>
    <sheetView topLeftCell="A4" zoomScaleNormal="100" workbookViewId="0">
      <selection activeCell="A62" sqref="A62:G63"/>
    </sheetView>
  </sheetViews>
  <sheetFormatPr baseColWidth="10" defaultColWidth="11.44140625" defaultRowHeight="13.8"/>
  <cols>
    <col min="1" max="1" width="4.33203125" style="20" customWidth="1"/>
    <col min="2" max="2" width="30" style="20" customWidth="1"/>
    <col min="3" max="3" width="19" style="20" customWidth="1"/>
    <col min="4" max="4" width="6.109375" style="20" customWidth="1"/>
    <col min="5" max="5" width="7.109375" style="32" customWidth="1"/>
    <col min="6" max="6" width="15.33203125" style="20" customWidth="1"/>
    <col min="7" max="7" width="15" style="20" customWidth="1"/>
    <col min="8" max="16384" width="11.44140625" style="20"/>
  </cols>
  <sheetData>
    <row r="2" spans="1:7">
      <c r="A2" s="185"/>
      <c r="B2" s="185"/>
      <c r="C2" s="185"/>
      <c r="D2" s="185"/>
      <c r="E2" s="191" t="s">
        <v>101</v>
      </c>
      <c r="F2" s="191"/>
      <c r="G2" s="191"/>
    </row>
    <row r="3" spans="1:7">
      <c r="A3" s="185"/>
      <c r="B3" s="185"/>
      <c r="C3" s="185"/>
      <c r="D3" s="185"/>
      <c r="E3" s="191"/>
      <c r="F3" s="191"/>
      <c r="G3" s="191"/>
    </row>
    <row r="4" spans="1:7">
      <c r="A4" s="185"/>
      <c r="B4" s="185"/>
      <c r="C4" s="185"/>
      <c r="D4" s="185"/>
      <c r="E4" s="21" t="s">
        <v>102</v>
      </c>
      <c r="F4" s="192">
        <v>20260378</v>
      </c>
      <c r="G4" s="192"/>
    </row>
    <row r="5" spans="1:7">
      <c r="A5" s="185"/>
      <c r="B5" s="185"/>
      <c r="C5" s="185"/>
      <c r="D5" s="185"/>
      <c r="E5" s="21" t="s">
        <v>103</v>
      </c>
      <c r="F5" s="193">
        <f ca="1">TODAY()</f>
        <v>46168</v>
      </c>
      <c r="G5" s="192"/>
    </row>
    <row r="6" spans="1:7">
      <c r="A6" s="185"/>
      <c r="B6" s="185"/>
      <c r="C6" s="185"/>
      <c r="D6" s="185"/>
      <c r="E6" s="21"/>
      <c r="F6" s="194"/>
      <c r="G6" s="192"/>
    </row>
    <row r="7" spans="1:7">
      <c r="A7" s="185"/>
      <c r="B7" s="185"/>
      <c r="C7" s="185"/>
      <c r="D7" s="185"/>
      <c r="E7" s="22"/>
      <c r="F7" s="22"/>
      <c r="G7" s="22"/>
    </row>
    <row r="8" spans="1:7">
      <c r="A8" s="185"/>
      <c r="B8" s="185"/>
      <c r="C8" s="185"/>
      <c r="D8" s="185"/>
      <c r="E8" s="22"/>
      <c r="F8" s="22"/>
      <c r="G8" s="22"/>
    </row>
    <row r="9" spans="1:7" ht="16.5" customHeight="1">
      <c r="A9" s="195" t="s">
        <v>191</v>
      </c>
      <c r="B9" s="196"/>
      <c r="C9" s="196"/>
      <c r="E9" s="190" t="s">
        <v>104</v>
      </c>
      <c r="F9" s="190"/>
      <c r="G9" s="190"/>
    </row>
    <row r="10" spans="1:7" ht="16.5" customHeight="1">
      <c r="A10" s="196"/>
      <c r="B10" s="196"/>
      <c r="C10" s="196"/>
      <c r="E10" s="166" t="s">
        <v>412</v>
      </c>
      <c r="F10" s="166"/>
      <c r="G10" s="166"/>
    </row>
    <row r="11" spans="1:7" ht="16.5" customHeight="1">
      <c r="A11" s="166" t="s">
        <v>105</v>
      </c>
      <c r="B11" s="166"/>
      <c r="C11" s="166"/>
      <c r="E11" s="166" t="s">
        <v>413</v>
      </c>
      <c r="F11" s="166"/>
      <c r="G11" s="166"/>
    </row>
    <row r="12" spans="1:7" ht="16.5" customHeight="1">
      <c r="A12" s="166" t="s">
        <v>106</v>
      </c>
      <c r="B12" s="166"/>
      <c r="C12" s="166"/>
      <c r="E12" s="166">
        <v>30714801992</v>
      </c>
      <c r="F12" s="166"/>
      <c r="G12" s="166"/>
    </row>
    <row r="13" spans="1:7" ht="16.5" customHeight="1">
      <c r="A13" s="166" t="s">
        <v>107</v>
      </c>
      <c r="B13" s="166"/>
      <c r="C13" s="166"/>
      <c r="E13" s="21"/>
      <c r="F13" s="21"/>
      <c r="G13" s="21"/>
    </row>
    <row r="14" spans="1:7" ht="16.5" customHeight="1">
      <c r="A14" s="189" t="s">
        <v>129</v>
      </c>
      <c r="B14" s="189"/>
      <c r="C14" s="189"/>
      <c r="E14" s="190" t="s">
        <v>108</v>
      </c>
      <c r="F14" s="190"/>
      <c r="G14" s="190"/>
    </row>
    <row r="15" spans="1:7" ht="16.5" customHeight="1">
      <c r="A15" s="166" t="s">
        <v>109</v>
      </c>
      <c r="B15" s="166"/>
      <c r="C15" s="166"/>
      <c r="E15" s="166" t="s">
        <v>414</v>
      </c>
      <c r="F15" s="166"/>
      <c r="G15" s="166"/>
    </row>
    <row r="16" spans="1:7" ht="16.5" customHeight="1">
      <c r="A16" s="21"/>
      <c r="B16" s="21"/>
      <c r="C16" s="21"/>
      <c r="E16" s="21"/>
      <c r="F16" s="21"/>
      <c r="G16" s="21"/>
    </row>
    <row r="17" spans="1:7">
      <c r="A17" s="197" t="s">
        <v>110</v>
      </c>
      <c r="B17" s="197"/>
      <c r="C17" s="197"/>
      <c r="D17" s="197"/>
      <c r="E17" s="197"/>
      <c r="F17" s="197"/>
      <c r="G17" s="197"/>
    </row>
    <row r="18" spans="1:7">
      <c r="A18" s="197"/>
      <c r="B18" s="197"/>
      <c r="C18" s="197"/>
      <c r="D18" s="197"/>
      <c r="E18" s="197"/>
      <c r="F18" s="197"/>
      <c r="G18" s="197"/>
    </row>
    <row r="19" spans="1:7">
      <c r="A19" s="23" t="s">
        <v>111</v>
      </c>
      <c r="B19" s="167" t="s">
        <v>112</v>
      </c>
      <c r="C19" s="167"/>
      <c r="D19" s="23" t="s">
        <v>113</v>
      </c>
      <c r="E19" s="23" t="s">
        <v>114</v>
      </c>
      <c r="F19" s="23" t="s">
        <v>115</v>
      </c>
      <c r="G19" s="23" t="s">
        <v>116</v>
      </c>
    </row>
    <row r="20" spans="1:7" ht="12" customHeight="1">
      <c r="A20" s="23"/>
      <c r="B20" s="166"/>
      <c r="C20" s="166"/>
      <c r="D20" s="24"/>
      <c r="E20" s="23"/>
      <c r="F20" s="25"/>
      <c r="G20" s="25"/>
    </row>
    <row r="21" spans="1:7" ht="14.25" customHeight="1">
      <c r="A21" s="23">
        <v>1</v>
      </c>
      <c r="B21" s="170" t="s">
        <v>416</v>
      </c>
      <c r="C21" s="170"/>
      <c r="D21" s="26" t="s">
        <v>113</v>
      </c>
      <c r="E21" s="188">
        <v>1</v>
      </c>
      <c r="F21" s="182">
        <v>130350000</v>
      </c>
      <c r="G21" s="182">
        <f>F21*E21</f>
        <v>130350000</v>
      </c>
    </row>
    <row r="22" spans="1:7" ht="12" customHeight="1">
      <c r="A22" s="24"/>
      <c r="B22" s="170"/>
      <c r="C22" s="170"/>
      <c r="D22" s="26"/>
      <c r="E22" s="188"/>
      <c r="F22" s="182"/>
      <c r="G22" s="182"/>
    </row>
    <row r="23" spans="1:7" ht="14.25" customHeight="1">
      <c r="A23" s="23"/>
      <c r="B23" s="170"/>
      <c r="C23" s="170"/>
      <c r="D23" s="26"/>
      <c r="E23" s="188"/>
      <c r="F23" s="182"/>
      <c r="G23" s="182"/>
    </row>
    <row r="24" spans="1:7" ht="12" customHeight="1">
      <c r="A24" s="23"/>
      <c r="B24" s="170"/>
      <c r="C24" s="170"/>
      <c r="D24" s="26"/>
      <c r="E24" s="188"/>
      <c r="F24" s="182"/>
      <c r="G24" s="182"/>
    </row>
    <row r="25" spans="1:7" ht="14.25" customHeight="1">
      <c r="A25" s="23"/>
      <c r="B25" s="170"/>
      <c r="C25" s="170"/>
      <c r="D25" s="26"/>
      <c r="E25" s="188"/>
      <c r="F25" s="182"/>
      <c r="G25" s="182"/>
    </row>
    <row r="26" spans="1:7" ht="12" customHeight="1">
      <c r="A26" s="23"/>
      <c r="B26" s="170"/>
      <c r="C26" s="170"/>
      <c r="D26" s="26"/>
      <c r="E26" s="188"/>
      <c r="F26" s="182"/>
      <c r="G26" s="182"/>
    </row>
    <row r="27" spans="1:7" ht="14.25" customHeight="1">
      <c r="A27" s="23"/>
      <c r="B27" s="170"/>
      <c r="C27" s="170"/>
      <c r="D27" s="26"/>
      <c r="E27" s="188"/>
      <c r="F27" s="182"/>
      <c r="G27" s="182"/>
    </row>
    <row r="28" spans="1:7" ht="12" customHeight="1">
      <c r="A28" s="23"/>
      <c r="B28" s="170"/>
      <c r="C28" s="170"/>
      <c r="D28" s="26"/>
      <c r="E28" s="188"/>
      <c r="F28" s="182"/>
      <c r="G28" s="182"/>
    </row>
    <row r="29" spans="1:7" ht="12" customHeight="1">
      <c r="A29" s="23"/>
      <c r="B29" s="170"/>
      <c r="C29" s="170"/>
      <c r="D29" s="26"/>
      <c r="E29" s="188"/>
      <c r="F29" s="182"/>
      <c r="G29" s="182"/>
    </row>
    <row r="30" spans="1:7" ht="12" customHeight="1">
      <c r="A30" s="23"/>
      <c r="B30" s="170"/>
      <c r="C30" s="170"/>
      <c r="D30" s="26"/>
      <c r="E30" s="188"/>
      <c r="F30" s="182"/>
      <c r="G30" s="182"/>
    </row>
    <row r="31" spans="1:7" ht="12" customHeight="1">
      <c r="A31" s="23"/>
      <c r="B31" s="170"/>
      <c r="C31" s="170"/>
      <c r="D31" s="26"/>
      <c r="E31" s="188"/>
      <c r="F31" s="182"/>
      <c r="G31" s="182"/>
    </row>
    <row r="32" spans="1:7" ht="12" customHeight="1">
      <c r="A32" s="23"/>
      <c r="B32" s="170"/>
      <c r="C32" s="170"/>
      <c r="D32" s="26"/>
      <c r="E32" s="188"/>
      <c r="F32" s="182"/>
      <c r="G32" s="182"/>
    </row>
    <row r="33" spans="1:7">
      <c r="A33" s="23"/>
      <c r="B33" s="170"/>
      <c r="C33" s="170"/>
      <c r="D33" s="26"/>
      <c r="E33" s="188"/>
      <c r="F33" s="182"/>
      <c r="G33" s="182"/>
    </row>
    <row r="34" spans="1:7" ht="12" customHeight="1">
      <c r="B34" s="170"/>
      <c r="C34" s="170"/>
      <c r="D34" s="27"/>
      <c r="E34" s="188"/>
      <c r="F34" s="182"/>
      <c r="G34" s="182"/>
    </row>
    <row r="35" spans="1:7" ht="15.6">
      <c r="A35" s="197" t="s">
        <v>117</v>
      </c>
      <c r="B35" s="197"/>
      <c r="C35" s="197"/>
      <c r="D35" s="197"/>
      <c r="E35" s="197"/>
      <c r="F35" s="197"/>
      <c r="G35" s="197"/>
    </row>
    <row r="36" spans="1:7">
      <c r="A36" s="23" t="s">
        <v>111</v>
      </c>
      <c r="B36" s="167" t="s">
        <v>112</v>
      </c>
      <c r="C36" s="167"/>
      <c r="D36" s="23" t="s">
        <v>113</v>
      </c>
      <c r="E36" s="23" t="s">
        <v>114</v>
      </c>
      <c r="F36" s="23" t="s">
        <v>115</v>
      </c>
      <c r="G36" s="23" t="s">
        <v>116</v>
      </c>
    </row>
    <row r="37" spans="1:7" ht="12" customHeight="1">
      <c r="A37" s="23"/>
      <c r="B37" s="166"/>
      <c r="C37" s="166"/>
      <c r="D37" s="24"/>
      <c r="E37" s="23"/>
      <c r="F37" s="28"/>
      <c r="G37" s="28"/>
    </row>
    <row r="38" spans="1:7">
      <c r="A38" s="29">
        <v>1</v>
      </c>
      <c r="B38" s="187"/>
      <c r="C38" s="187"/>
      <c r="D38" s="30"/>
      <c r="E38" s="23"/>
      <c r="F38" s="31"/>
      <c r="G38" s="182">
        <f>E38*F38</f>
        <v>0</v>
      </c>
    </row>
    <row r="39" spans="1:7" ht="12" customHeight="1">
      <c r="A39" s="29"/>
      <c r="B39" s="187"/>
      <c r="C39" s="187"/>
      <c r="D39" s="30"/>
      <c r="E39" s="29"/>
      <c r="F39" s="31"/>
      <c r="G39" s="182"/>
    </row>
    <row r="40" spans="1:7">
      <c r="A40" s="29">
        <v>2</v>
      </c>
      <c r="B40" s="181"/>
      <c r="C40" s="181"/>
      <c r="D40" s="30"/>
      <c r="E40" s="29"/>
      <c r="F40" s="31"/>
      <c r="G40" s="182">
        <f>E40*F40</f>
        <v>0</v>
      </c>
    </row>
    <row r="41" spans="1:7">
      <c r="F41" s="33"/>
      <c r="G41" s="182"/>
    </row>
    <row r="42" spans="1:7">
      <c r="C42" s="198" t="s">
        <v>118</v>
      </c>
      <c r="D42" s="198"/>
      <c r="E42" s="198"/>
      <c r="F42" s="199">
        <f>SUM(G21:G28,G38:G41)</f>
        <v>130350000</v>
      </c>
      <c r="G42" s="199"/>
    </row>
    <row r="43" spans="1:7">
      <c r="C43" s="198"/>
      <c r="D43" s="198"/>
      <c r="E43" s="198"/>
      <c r="F43" s="199"/>
      <c r="G43" s="199"/>
    </row>
    <row r="45" spans="1:7">
      <c r="A45" s="185"/>
      <c r="B45" s="185"/>
      <c r="C45" s="185"/>
      <c r="D45" s="185"/>
      <c r="E45" s="185"/>
      <c r="F45" s="185"/>
      <c r="G45" s="185"/>
    </row>
    <row r="47" spans="1:7">
      <c r="A47" s="177" t="s">
        <v>119</v>
      </c>
      <c r="B47" s="177"/>
      <c r="C47" s="186" t="s">
        <v>415</v>
      </c>
      <c r="D47" s="166"/>
      <c r="E47" s="166"/>
      <c r="F47" s="166"/>
      <c r="G47" s="166"/>
    </row>
    <row r="48" spans="1:7">
      <c r="A48" s="177" t="s">
        <v>120</v>
      </c>
      <c r="B48" s="177"/>
      <c r="C48" s="177" t="s">
        <v>207</v>
      </c>
      <c r="D48" s="177"/>
      <c r="E48" s="177"/>
      <c r="F48" s="177"/>
      <c r="G48" s="177"/>
    </row>
    <row r="49" spans="1:7">
      <c r="A49" s="177" t="s">
        <v>5</v>
      </c>
      <c r="B49" s="177"/>
      <c r="C49" s="179" t="s">
        <v>199</v>
      </c>
      <c r="D49" s="179"/>
      <c r="E49" s="179"/>
      <c r="F49" s="179"/>
      <c r="G49" s="179"/>
    </row>
    <row r="50" spans="1:7">
      <c r="A50" s="177" t="s">
        <v>121</v>
      </c>
      <c r="B50" s="177"/>
      <c r="C50" s="177" t="s">
        <v>122</v>
      </c>
      <c r="D50" s="177"/>
      <c r="E50" s="177"/>
      <c r="F50" s="177"/>
      <c r="G50" s="177"/>
    </row>
    <row r="51" spans="1:7">
      <c r="A51" s="177" t="s">
        <v>123</v>
      </c>
      <c r="B51" s="177"/>
      <c r="C51" s="180" t="s">
        <v>124</v>
      </c>
      <c r="D51" s="180"/>
      <c r="E51" s="180"/>
      <c r="F51" s="180"/>
      <c r="G51" s="180"/>
    </row>
    <row r="52" spans="1:7">
      <c r="A52" s="34"/>
      <c r="B52" s="34"/>
      <c r="C52" s="180"/>
      <c r="D52" s="180"/>
      <c r="E52" s="180"/>
      <c r="F52" s="180"/>
      <c r="G52" s="180"/>
    </row>
    <row r="53" spans="1:7" ht="15" customHeight="1">
      <c r="A53" s="200" t="s">
        <v>130</v>
      </c>
      <c r="B53" s="200"/>
      <c r="C53" s="200"/>
      <c r="D53" s="200"/>
      <c r="E53" s="200"/>
      <c r="F53" s="200"/>
      <c r="G53" s="200"/>
    </row>
    <row r="54" spans="1:7">
      <c r="A54" s="200"/>
      <c r="B54" s="200"/>
      <c r="C54" s="200"/>
      <c r="D54" s="200"/>
      <c r="E54" s="200"/>
      <c r="F54" s="200"/>
      <c r="G54" s="200"/>
    </row>
    <row r="55" spans="1:7">
      <c r="A55" s="21"/>
      <c r="B55" s="21"/>
      <c r="C55" s="21"/>
      <c r="D55" s="21"/>
      <c r="E55" s="21"/>
      <c r="F55" s="21"/>
      <c r="G55" s="35" t="s">
        <v>125</v>
      </c>
    </row>
    <row r="56" spans="1:7">
      <c r="A56" s="197" t="s">
        <v>126</v>
      </c>
      <c r="B56" s="197"/>
      <c r="C56" s="197"/>
      <c r="D56" s="197"/>
      <c r="E56" s="197"/>
      <c r="F56" s="197"/>
      <c r="G56" s="197"/>
    </row>
    <row r="57" spans="1:7">
      <c r="A57" s="197"/>
      <c r="B57" s="197"/>
      <c r="C57" s="197"/>
      <c r="D57" s="197"/>
      <c r="E57" s="197"/>
      <c r="F57" s="197"/>
      <c r="G57" s="197"/>
    </row>
    <row r="58" spans="1:7" ht="15">
      <c r="A58" s="175" t="s">
        <v>127</v>
      </c>
      <c r="B58" s="175"/>
      <c r="C58" s="175"/>
      <c r="D58" s="175"/>
      <c r="E58" s="175"/>
      <c r="F58" s="175"/>
      <c r="G58" s="175"/>
    </row>
    <row r="59" spans="1:7" ht="14.25" customHeight="1">
      <c r="A59" s="176" t="s">
        <v>417</v>
      </c>
      <c r="B59" s="176"/>
      <c r="C59" s="176"/>
      <c r="D59" s="176"/>
      <c r="E59" s="176"/>
      <c r="F59" s="176"/>
      <c r="G59" s="176"/>
    </row>
    <row r="60" spans="1:7" ht="14.25" customHeight="1">
      <c r="A60" s="176" t="s">
        <v>418</v>
      </c>
      <c r="B60" s="176"/>
      <c r="C60" s="176"/>
      <c r="D60" s="176"/>
      <c r="E60" s="176"/>
      <c r="F60" s="176"/>
      <c r="G60" s="176"/>
    </row>
    <row r="61" spans="1:7" ht="14.25" customHeight="1">
      <c r="A61" s="176" t="s">
        <v>427</v>
      </c>
      <c r="B61" s="176"/>
      <c r="C61" s="176"/>
      <c r="D61" s="176"/>
      <c r="E61" s="176"/>
      <c r="F61" s="176"/>
      <c r="G61" s="176"/>
    </row>
    <row r="62" spans="1:7" ht="14.25" customHeight="1">
      <c r="A62" s="170" t="s">
        <v>432</v>
      </c>
      <c r="B62" s="170"/>
      <c r="C62" s="170"/>
      <c r="D62" s="170"/>
      <c r="E62" s="170"/>
      <c r="F62" s="170"/>
      <c r="G62" s="170"/>
    </row>
    <row r="63" spans="1:7" ht="14.25" customHeight="1">
      <c r="A63" s="170"/>
      <c r="B63" s="170"/>
      <c r="C63" s="170"/>
      <c r="D63" s="170"/>
      <c r="E63" s="170"/>
      <c r="F63" s="170"/>
      <c r="G63" s="170"/>
    </row>
    <row r="64" spans="1:7" ht="14.25" customHeight="1">
      <c r="A64" s="176"/>
      <c r="B64" s="176"/>
      <c r="C64" s="176"/>
      <c r="D64" s="176"/>
      <c r="E64" s="176"/>
      <c r="F64" s="176"/>
      <c r="G64" s="176"/>
    </row>
    <row r="65" spans="1:7" ht="14.25" customHeight="1">
      <c r="A65" s="166"/>
      <c r="B65" s="166"/>
      <c r="C65" s="166"/>
      <c r="D65" s="166"/>
      <c r="E65" s="166"/>
      <c r="F65" s="166"/>
      <c r="G65" s="166"/>
    </row>
    <row r="66" spans="1:7" ht="14.25" customHeight="1">
      <c r="A66" s="166"/>
      <c r="B66" s="166"/>
      <c r="C66" s="166"/>
      <c r="D66" s="166"/>
      <c r="E66" s="166"/>
      <c r="F66" s="166"/>
      <c r="G66" s="166"/>
    </row>
    <row r="67" spans="1:7" ht="14.25" customHeight="1">
      <c r="A67" s="166"/>
      <c r="B67" s="166"/>
      <c r="C67" s="166"/>
      <c r="D67" s="166"/>
      <c r="E67" s="166"/>
      <c r="F67" s="166"/>
      <c r="G67" s="166"/>
    </row>
    <row r="68" spans="1:7" ht="14.25" customHeight="1">
      <c r="A68" s="166"/>
      <c r="B68" s="166"/>
      <c r="C68" s="166"/>
      <c r="D68" s="166"/>
      <c r="E68" s="166"/>
      <c r="F68" s="166"/>
      <c r="G68" s="166"/>
    </row>
    <row r="69" spans="1:7" ht="14.25" customHeight="1">
      <c r="A69" s="175"/>
      <c r="B69" s="175"/>
      <c r="C69" s="175"/>
      <c r="D69" s="175"/>
      <c r="E69" s="175"/>
      <c r="F69" s="175"/>
      <c r="G69" s="175"/>
    </row>
    <row r="70" spans="1:7" ht="14.25" customHeight="1">
      <c r="A70" s="176"/>
      <c r="B70" s="176"/>
      <c r="C70" s="176"/>
      <c r="D70" s="176"/>
      <c r="E70" s="176"/>
      <c r="F70" s="176"/>
      <c r="G70" s="176"/>
    </row>
    <row r="71" spans="1:7" ht="14.25" customHeight="1">
      <c r="A71" s="172"/>
      <c r="B71" s="172"/>
      <c r="C71" s="172"/>
      <c r="D71" s="172"/>
      <c r="E71" s="172"/>
      <c r="F71" s="172"/>
      <c r="G71" s="172"/>
    </row>
    <row r="72" spans="1:7" ht="14.25" customHeight="1">
      <c r="A72" s="172" t="s">
        <v>228</v>
      </c>
      <c r="B72" s="172"/>
      <c r="C72" s="172"/>
      <c r="D72" s="172"/>
      <c r="E72" s="172"/>
      <c r="F72" s="172"/>
      <c r="G72" s="172"/>
    </row>
    <row r="73" spans="1:7" ht="14.25" customHeight="1">
      <c r="A73" s="172" t="s">
        <v>419</v>
      </c>
      <c r="B73" s="172"/>
      <c r="C73" s="172"/>
      <c r="D73" s="172"/>
      <c r="E73" s="172"/>
      <c r="F73" s="172"/>
      <c r="G73" s="172"/>
    </row>
    <row r="74" spans="1:7" ht="14.25" customHeight="1">
      <c r="A74" s="172" t="s">
        <v>420</v>
      </c>
      <c r="B74" s="172"/>
      <c r="C74" s="172"/>
      <c r="D74" s="172"/>
      <c r="E74" s="172"/>
      <c r="F74" s="172"/>
      <c r="G74" s="172"/>
    </row>
    <row r="75" spans="1:7">
      <c r="A75" s="172" t="s">
        <v>421</v>
      </c>
      <c r="B75" s="172"/>
      <c r="C75" s="172"/>
      <c r="D75" s="172"/>
      <c r="E75" s="172"/>
      <c r="F75" s="172"/>
      <c r="G75" s="172"/>
    </row>
    <row r="76" spans="1:7" ht="15" customHeight="1">
      <c r="A76" s="172" t="s">
        <v>422</v>
      </c>
      <c r="B76" s="172"/>
      <c r="C76" s="172"/>
      <c r="D76" s="172"/>
      <c r="E76" s="172"/>
      <c r="F76" s="172"/>
      <c r="G76" s="172"/>
    </row>
    <row r="77" spans="1:7" ht="14.25" customHeight="1">
      <c r="A77" s="172" t="s">
        <v>423</v>
      </c>
      <c r="B77" s="172"/>
      <c r="C77" s="172"/>
      <c r="D77" s="172"/>
      <c r="E77" s="172"/>
      <c r="F77" s="172"/>
      <c r="G77" s="172"/>
    </row>
    <row r="78" spans="1:7">
      <c r="A78" s="172" t="s">
        <v>424</v>
      </c>
      <c r="B78" s="172"/>
      <c r="C78" s="172"/>
      <c r="D78" s="172"/>
      <c r="E78" s="172"/>
      <c r="F78" s="172"/>
      <c r="G78" s="172"/>
    </row>
    <row r="79" spans="1:7">
      <c r="A79" s="172" t="s">
        <v>425</v>
      </c>
      <c r="B79" s="172"/>
      <c r="C79" s="172"/>
      <c r="D79" s="172"/>
      <c r="E79" s="172"/>
      <c r="F79" s="172"/>
      <c r="G79" s="172"/>
    </row>
    <row r="80" spans="1:7" ht="15" customHeight="1">
      <c r="A80" s="172" t="s">
        <v>196</v>
      </c>
      <c r="B80" s="172"/>
      <c r="C80" s="172"/>
      <c r="D80" s="172"/>
      <c r="E80" s="172"/>
      <c r="F80" s="172"/>
      <c r="G80" s="172"/>
    </row>
    <row r="81" spans="1:7" ht="14.25" customHeight="1">
      <c r="A81" s="172" t="s">
        <v>209</v>
      </c>
      <c r="B81" s="172"/>
      <c r="C81" s="172"/>
      <c r="D81" s="172"/>
      <c r="E81" s="172"/>
      <c r="F81" s="172"/>
      <c r="G81" s="172"/>
    </row>
    <row r="82" spans="1:7">
      <c r="A82" s="172" t="s">
        <v>426</v>
      </c>
      <c r="B82" s="172"/>
      <c r="C82" s="172"/>
      <c r="D82" s="172"/>
      <c r="E82" s="172"/>
      <c r="F82" s="172"/>
      <c r="G82" s="172"/>
    </row>
    <row r="83" spans="1:7">
      <c r="A83" s="172" t="s">
        <v>197</v>
      </c>
      <c r="B83" s="172"/>
      <c r="C83" s="172"/>
      <c r="D83" s="172"/>
      <c r="E83" s="172"/>
      <c r="F83" s="172"/>
      <c r="G83" s="172"/>
    </row>
    <row r="84" spans="1:7" ht="15.75" customHeight="1">
      <c r="A84" s="172" t="s">
        <v>198</v>
      </c>
      <c r="B84" s="172"/>
      <c r="C84" s="172"/>
      <c r="D84" s="172"/>
      <c r="E84" s="172"/>
      <c r="F84" s="172"/>
      <c r="G84" s="172"/>
    </row>
    <row r="85" spans="1:7">
      <c r="A85" s="172" t="s">
        <v>229</v>
      </c>
      <c r="B85" s="172"/>
      <c r="C85" s="172"/>
      <c r="D85" s="172"/>
      <c r="E85" s="172"/>
      <c r="F85" s="172"/>
      <c r="G85" s="172"/>
    </row>
    <row r="86" spans="1:7" ht="15" customHeight="1">
      <c r="A86" s="172" t="s">
        <v>230</v>
      </c>
      <c r="B86" s="172"/>
      <c r="C86" s="172"/>
      <c r="D86" s="172"/>
      <c r="E86" s="172"/>
      <c r="F86" s="172"/>
      <c r="G86" s="172"/>
    </row>
    <row r="87" spans="1:7">
      <c r="A87" s="172"/>
      <c r="B87" s="172"/>
      <c r="C87" s="172"/>
      <c r="D87" s="172"/>
      <c r="E87" s="172"/>
      <c r="F87" s="172"/>
      <c r="G87" s="172"/>
    </row>
    <row r="88" spans="1:7">
      <c r="A88" s="172"/>
      <c r="B88" s="172"/>
      <c r="C88" s="172"/>
      <c r="D88" s="172"/>
      <c r="E88" s="172"/>
      <c r="F88" s="172"/>
      <c r="G88" s="172"/>
    </row>
    <row r="89" spans="1:7">
      <c r="A89" s="172"/>
      <c r="B89" s="172"/>
      <c r="C89" s="172"/>
      <c r="D89" s="172"/>
      <c r="E89" s="172"/>
      <c r="F89" s="172"/>
      <c r="G89" s="172"/>
    </row>
    <row r="90" spans="1:7" ht="14.25" customHeight="1">
      <c r="A90" s="172"/>
      <c r="B90" s="172"/>
      <c r="C90" s="172"/>
      <c r="D90" s="172"/>
      <c r="E90" s="172"/>
      <c r="F90" s="172"/>
      <c r="G90" s="172"/>
    </row>
    <row r="91" spans="1:7" ht="14.25" customHeight="1">
      <c r="A91" s="172"/>
      <c r="B91" s="172"/>
      <c r="C91" s="172"/>
      <c r="D91" s="172"/>
      <c r="E91" s="172"/>
      <c r="F91" s="172"/>
      <c r="G91" s="172"/>
    </row>
    <row r="92" spans="1:7" ht="14.25" customHeight="1">
      <c r="A92" s="169" t="s">
        <v>195</v>
      </c>
      <c r="B92" s="169"/>
      <c r="C92" s="169"/>
      <c r="D92" s="169"/>
      <c r="E92" s="169"/>
      <c r="F92" s="169"/>
      <c r="G92" s="169"/>
    </row>
    <row r="93" spans="1:7" ht="15" customHeight="1">
      <c r="A93" s="169" t="s">
        <v>428</v>
      </c>
      <c r="B93" s="169"/>
      <c r="C93" s="169"/>
      <c r="D93" s="169"/>
      <c r="E93" s="169"/>
      <c r="F93" s="169"/>
      <c r="G93" s="169"/>
    </row>
    <row r="94" spans="1:7" ht="15" customHeight="1">
      <c r="A94" s="169" t="s">
        <v>429</v>
      </c>
      <c r="B94" s="169"/>
      <c r="C94" s="169"/>
      <c r="D94" s="169"/>
      <c r="E94" s="169"/>
      <c r="F94" s="169"/>
      <c r="G94" s="169"/>
    </row>
    <row r="95" spans="1:7">
      <c r="A95" s="169" t="s">
        <v>208</v>
      </c>
      <c r="B95" s="169"/>
      <c r="C95" s="169"/>
      <c r="D95" s="169"/>
      <c r="E95" s="169"/>
      <c r="F95" s="169"/>
      <c r="G95" s="169"/>
    </row>
    <row r="96" spans="1:7">
      <c r="A96" s="169"/>
      <c r="B96" s="169"/>
      <c r="C96" s="169"/>
      <c r="D96" s="169"/>
      <c r="E96" s="169"/>
      <c r="F96" s="169"/>
      <c r="G96" s="169"/>
    </row>
    <row r="97" spans="1:7">
      <c r="A97" s="169"/>
      <c r="B97" s="169"/>
      <c r="C97" s="169"/>
      <c r="D97" s="169"/>
      <c r="E97" s="169"/>
      <c r="F97" s="169"/>
      <c r="G97" s="169"/>
    </row>
    <row r="98" spans="1:7">
      <c r="A98" s="169"/>
      <c r="B98" s="169"/>
      <c r="C98" s="169"/>
      <c r="D98" s="169"/>
      <c r="E98" s="169"/>
      <c r="F98" s="169"/>
      <c r="G98" s="169"/>
    </row>
    <row r="99" spans="1:7">
      <c r="A99" s="169"/>
      <c r="B99" s="169"/>
      <c r="C99" s="169"/>
      <c r="D99" s="169"/>
      <c r="E99" s="169"/>
      <c r="F99" s="169"/>
      <c r="G99" s="169"/>
    </row>
    <row r="100" spans="1:7" ht="14.25" customHeight="1">
      <c r="A100" s="169"/>
      <c r="B100" s="169"/>
      <c r="C100" s="169"/>
      <c r="D100" s="169"/>
      <c r="E100" s="169"/>
      <c r="F100" s="169"/>
      <c r="G100" s="169"/>
    </row>
    <row r="101" spans="1:7">
      <c r="A101" s="201" t="s">
        <v>124</v>
      </c>
      <c r="B101" s="201"/>
      <c r="C101" s="201"/>
      <c r="D101" s="201"/>
      <c r="E101" s="201"/>
      <c r="F101" s="201"/>
      <c r="G101" s="201"/>
    </row>
    <row r="102" spans="1:7">
      <c r="A102" s="166" t="s">
        <v>430</v>
      </c>
      <c r="B102" s="166"/>
      <c r="C102" s="166"/>
      <c r="D102" s="166"/>
      <c r="E102" s="166"/>
      <c r="F102" s="166"/>
      <c r="G102" s="166"/>
    </row>
    <row r="103" spans="1:7">
      <c r="A103" s="166" t="s">
        <v>431</v>
      </c>
      <c r="B103" s="166"/>
      <c r="C103" s="166"/>
      <c r="D103" s="166"/>
      <c r="E103" s="166"/>
      <c r="F103" s="166"/>
      <c r="G103" s="166"/>
    </row>
    <row r="104" spans="1:7" ht="15" customHeight="1">
      <c r="A104" s="166" t="s">
        <v>384</v>
      </c>
      <c r="B104" s="166"/>
      <c r="C104" s="166"/>
      <c r="D104" s="166"/>
      <c r="E104" s="166"/>
      <c r="F104" s="166"/>
      <c r="G104" s="166"/>
    </row>
    <row r="105" spans="1:7" ht="15" customHeight="1">
      <c r="A105" s="167"/>
      <c r="B105" s="167"/>
      <c r="C105" s="167"/>
      <c r="D105" s="167"/>
      <c r="E105" s="167"/>
      <c r="F105" s="167"/>
      <c r="G105" s="167"/>
    </row>
    <row r="106" spans="1:7" ht="15" customHeight="1">
      <c r="A106" s="200" t="s">
        <v>130</v>
      </c>
      <c r="B106" s="200"/>
      <c r="C106" s="200"/>
      <c r="D106" s="200"/>
      <c r="E106" s="200"/>
      <c r="F106" s="200"/>
      <c r="G106" s="200"/>
    </row>
    <row r="107" spans="1:7">
      <c r="A107" s="200"/>
      <c r="B107" s="200"/>
      <c r="C107" s="200"/>
      <c r="D107" s="200"/>
      <c r="E107" s="200"/>
      <c r="F107" s="200"/>
      <c r="G107" s="200"/>
    </row>
    <row r="108" spans="1:7">
      <c r="G108" s="36" t="s">
        <v>128</v>
      </c>
    </row>
  </sheetData>
  <mergeCells count="119">
    <mergeCell ref="A75:G75"/>
    <mergeCell ref="A76:G76"/>
    <mergeCell ref="A77:G77"/>
    <mergeCell ref="A78:G78"/>
    <mergeCell ref="A79:G79"/>
    <mergeCell ref="A99:G99"/>
    <mergeCell ref="A100:G100"/>
    <mergeCell ref="A94:G94"/>
    <mergeCell ref="A95:G95"/>
    <mergeCell ref="A96:G96"/>
    <mergeCell ref="A97:G97"/>
    <mergeCell ref="A98:G98"/>
    <mergeCell ref="A90:G90"/>
    <mergeCell ref="A91:G91"/>
    <mergeCell ref="A92:G92"/>
    <mergeCell ref="A93:G93"/>
    <mergeCell ref="A85:G85"/>
    <mergeCell ref="A86:G86"/>
    <mergeCell ref="A87:G87"/>
    <mergeCell ref="A88:G88"/>
    <mergeCell ref="A89:G89"/>
    <mergeCell ref="A80:G80"/>
    <mergeCell ref="A81:G81"/>
    <mergeCell ref="A82:G82"/>
    <mergeCell ref="A83:G83"/>
    <mergeCell ref="A84:G84"/>
    <mergeCell ref="A106:G107"/>
    <mergeCell ref="A101:G101"/>
    <mergeCell ref="A102:G102"/>
    <mergeCell ref="A53:G54"/>
    <mergeCell ref="A56:G57"/>
    <mergeCell ref="A58:G58"/>
    <mergeCell ref="A66:G66"/>
    <mergeCell ref="A67:G67"/>
    <mergeCell ref="A68:G68"/>
    <mergeCell ref="A69:G69"/>
    <mergeCell ref="A103:G103"/>
    <mergeCell ref="A104:G104"/>
    <mergeCell ref="A105:G105"/>
    <mergeCell ref="A64:G64"/>
    <mergeCell ref="A71:G71"/>
    <mergeCell ref="A72:G72"/>
    <mergeCell ref="A73:G73"/>
    <mergeCell ref="A74:G74"/>
    <mergeCell ref="A59:G59"/>
    <mergeCell ref="A60:G60"/>
    <mergeCell ref="A61:G61"/>
    <mergeCell ref="A70:G70"/>
    <mergeCell ref="A49:B49"/>
    <mergeCell ref="C49:G49"/>
    <mergeCell ref="A50:B50"/>
    <mergeCell ref="C50:G50"/>
    <mergeCell ref="A51:B51"/>
    <mergeCell ref="C51:G52"/>
    <mergeCell ref="A48:B48"/>
    <mergeCell ref="C48:G48"/>
    <mergeCell ref="A65:G65"/>
    <mergeCell ref="A62:G63"/>
    <mergeCell ref="A47:B47"/>
    <mergeCell ref="C47:G47"/>
    <mergeCell ref="G38:G39"/>
    <mergeCell ref="G40:G41"/>
    <mergeCell ref="B31:C32"/>
    <mergeCell ref="E31:E32"/>
    <mergeCell ref="F31:F32"/>
    <mergeCell ref="G31:G32"/>
    <mergeCell ref="B33:C34"/>
    <mergeCell ref="E33:E34"/>
    <mergeCell ref="F33:F34"/>
    <mergeCell ref="G33:G34"/>
    <mergeCell ref="A35:G35"/>
    <mergeCell ref="B36:C36"/>
    <mergeCell ref="B37:C37"/>
    <mergeCell ref="B38:C38"/>
    <mergeCell ref="B39:C39"/>
    <mergeCell ref="B40:C40"/>
    <mergeCell ref="C42:E43"/>
    <mergeCell ref="F42:G43"/>
    <mergeCell ref="A45:G45"/>
    <mergeCell ref="B27:C28"/>
    <mergeCell ref="E27:E28"/>
    <mergeCell ref="F27:F28"/>
    <mergeCell ref="G27:G28"/>
    <mergeCell ref="E29:E30"/>
    <mergeCell ref="F29:F30"/>
    <mergeCell ref="G29:G30"/>
    <mergeCell ref="B29:C30"/>
    <mergeCell ref="F25:F26"/>
    <mergeCell ref="G25:G26"/>
    <mergeCell ref="A2:D8"/>
    <mergeCell ref="E2:G3"/>
    <mergeCell ref="F4:G4"/>
    <mergeCell ref="F5:G5"/>
    <mergeCell ref="F6:G6"/>
    <mergeCell ref="A11:C11"/>
    <mergeCell ref="E11:G11"/>
    <mergeCell ref="A12:C12"/>
    <mergeCell ref="E12:G12"/>
    <mergeCell ref="B23:C24"/>
    <mergeCell ref="E23:E24"/>
    <mergeCell ref="F23:F24"/>
    <mergeCell ref="G23:G24"/>
    <mergeCell ref="B25:C26"/>
    <mergeCell ref="E25:E26"/>
    <mergeCell ref="A9:C10"/>
    <mergeCell ref="E9:G9"/>
    <mergeCell ref="E10:G10"/>
    <mergeCell ref="B20:C20"/>
    <mergeCell ref="B21:C22"/>
    <mergeCell ref="E21:E22"/>
    <mergeCell ref="F21:F22"/>
    <mergeCell ref="G21:G22"/>
    <mergeCell ref="A13:C13"/>
    <mergeCell ref="A14:C14"/>
    <mergeCell ref="E14:G14"/>
    <mergeCell ref="A15:C15"/>
    <mergeCell ref="E15:G15"/>
    <mergeCell ref="A17:G18"/>
    <mergeCell ref="B19:C19"/>
  </mergeCells>
  <printOptions horizontalCentered="1"/>
  <pageMargins left="0.23622047244094491" right="0.23622047244094491" top="0.35433070866141736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6306-C491-4398-BD8E-6455914739E7}">
  <sheetPr codeName="Hoja2"/>
  <dimension ref="A1:AB1012"/>
  <sheetViews>
    <sheetView zoomScaleNormal="100" workbookViewId="0">
      <selection activeCell="I9" sqref="I9:I10"/>
    </sheetView>
  </sheetViews>
  <sheetFormatPr baseColWidth="10" defaultColWidth="14.44140625" defaultRowHeight="14.4"/>
  <cols>
    <col min="1" max="1" width="4.44140625" customWidth="1"/>
    <col min="2" max="3" width="7.109375" customWidth="1"/>
    <col min="4" max="5" width="6.44140625" customWidth="1"/>
    <col min="6" max="8" width="11.44140625" customWidth="1"/>
    <col min="9" max="13" width="12.33203125" customWidth="1"/>
    <col min="14" max="14" width="10.6640625" style="47" customWidth="1"/>
    <col min="15" max="28" width="10.6640625" customWidth="1"/>
  </cols>
  <sheetData>
    <row r="1" spans="1:28" ht="15" thickBot="1">
      <c r="A1" s="15"/>
      <c r="B1" s="15"/>
      <c r="C1" s="15"/>
      <c r="D1" s="16"/>
      <c r="E1" s="16"/>
      <c r="F1" s="15"/>
      <c r="G1" s="15"/>
      <c r="H1" s="15"/>
      <c r="I1" s="15"/>
      <c r="J1" s="15"/>
      <c r="K1" s="15"/>
      <c r="L1" s="15"/>
      <c r="M1" s="15"/>
      <c r="N1" s="46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>
      <c r="A2" s="15"/>
      <c r="B2" s="249" t="s">
        <v>131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1"/>
      <c r="N2" s="46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>
      <c r="A3" s="15"/>
      <c r="B3" s="252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4"/>
      <c r="N3" s="46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>
      <c r="A4" s="15"/>
      <c r="B4" s="252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6"/>
      <c r="N4" s="46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24" customHeight="1">
      <c r="A5" s="15"/>
      <c r="B5" s="206" t="s">
        <v>132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8"/>
      <c r="N5" s="46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ht="24" customHeight="1">
      <c r="A6" s="15"/>
      <c r="B6" s="209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1"/>
      <c r="N6" s="46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ht="24" customHeight="1">
      <c r="A7" s="15"/>
      <c r="B7" s="212" t="s">
        <v>133</v>
      </c>
      <c r="C7" s="213"/>
      <c r="D7" s="216" t="s">
        <v>134</v>
      </c>
      <c r="E7" s="213"/>
      <c r="F7" s="244" t="s">
        <v>135</v>
      </c>
      <c r="G7" s="219"/>
      <c r="H7" s="213"/>
      <c r="I7" s="17" t="s">
        <v>136</v>
      </c>
      <c r="J7" s="17" t="s">
        <v>164</v>
      </c>
      <c r="K7" s="17" t="s">
        <v>137</v>
      </c>
      <c r="L7" s="17" t="s">
        <v>138</v>
      </c>
      <c r="M7" s="18" t="s">
        <v>138</v>
      </c>
      <c r="N7" s="46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24" customHeight="1">
      <c r="A8" s="15"/>
      <c r="B8" s="221"/>
      <c r="C8" s="222"/>
      <c r="D8" s="223"/>
      <c r="E8" s="222"/>
      <c r="F8" s="223"/>
      <c r="G8" s="224"/>
      <c r="H8" s="222"/>
      <c r="I8" s="19" t="s">
        <v>139</v>
      </c>
      <c r="J8" s="19" t="s">
        <v>165</v>
      </c>
      <c r="K8" s="19" t="s">
        <v>140</v>
      </c>
      <c r="L8" s="19" t="s">
        <v>141</v>
      </c>
      <c r="M8" s="41" t="s">
        <v>142</v>
      </c>
      <c r="N8" s="46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ht="24" customHeight="1">
      <c r="A9" s="15"/>
      <c r="B9" s="240" t="s">
        <v>143</v>
      </c>
      <c r="C9" s="213"/>
      <c r="D9" s="216" t="s">
        <v>144</v>
      </c>
      <c r="E9" s="213"/>
      <c r="F9" s="218" t="s">
        <v>145</v>
      </c>
      <c r="G9" s="219"/>
      <c r="H9" s="213"/>
      <c r="I9" s="245" t="e">
        <f>#REF!</f>
        <v>#REF!</v>
      </c>
      <c r="J9" s="247"/>
      <c r="K9" s="202">
        <v>4000000</v>
      </c>
      <c r="L9" s="202" t="e">
        <f>I9+J9+K9</f>
        <v>#REF!</v>
      </c>
      <c r="M9" s="42"/>
      <c r="N9" s="46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24" customHeight="1">
      <c r="A10" s="15"/>
      <c r="B10" s="221"/>
      <c r="C10" s="222"/>
      <c r="D10" s="223"/>
      <c r="E10" s="222"/>
      <c r="F10" s="223"/>
      <c r="G10" s="224"/>
      <c r="H10" s="222"/>
      <c r="I10" s="246"/>
      <c r="J10" s="248"/>
      <c r="K10" s="225"/>
      <c r="L10" s="225"/>
      <c r="M10" s="43"/>
      <c r="N10" s="46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ht="24" customHeight="1">
      <c r="A11" s="15"/>
      <c r="B11" s="240" t="s">
        <v>146</v>
      </c>
      <c r="C11" s="213"/>
      <c r="D11" s="216" t="s">
        <v>144</v>
      </c>
      <c r="E11" s="213"/>
      <c r="F11" s="218" t="s">
        <v>147</v>
      </c>
      <c r="G11" s="219"/>
      <c r="H11" s="213"/>
      <c r="I11" s="245" t="e">
        <f>#REF!</f>
        <v>#REF!</v>
      </c>
      <c r="J11" s="247"/>
      <c r="K11" s="202">
        <v>4000000</v>
      </c>
      <c r="L11" s="202" t="e">
        <f>I11+J11+K11</f>
        <v>#REF!</v>
      </c>
      <c r="M11" s="42"/>
      <c r="N11" s="46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ht="24" customHeight="1">
      <c r="A12" s="15"/>
      <c r="B12" s="221"/>
      <c r="C12" s="222"/>
      <c r="D12" s="223"/>
      <c r="E12" s="222"/>
      <c r="F12" s="223"/>
      <c r="G12" s="224"/>
      <c r="H12" s="222"/>
      <c r="I12" s="246"/>
      <c r="J12" s="248"/>
      <c r="K12" s="225"/>
      <c r="L12" s="225"/>
      <c r="M12" s="43"/>
      <c r="N12" s="46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24" customHeight="1">
      <c r="A13" s="15"/>
      <c r="B13" s="240" t="s">
        <v>148</v>
      </c>
      <c r="C13" s="213"/>
      <c r="D13" s="216" t="s">
        <v>144</v>
      </c>
      <c r="E13" s="213"/>
      <c r="F13" s="218" t="s">
        <v>149</v>
      </c>
      <c r="G13" s="219"/>
      <c r="H13" s="213"/>
      <c r="I13" s="245" t="e">
        <f>#REF!</f>
        <v>#REF!</v>
      </c>
      <c r="J13" s="247"/>
      <c r="K13" s="202">
        <v>4000000</v>
      </c>
      <c r="L13" s="202" t="e">
        <f>I13+J13+K13</f>
        <v>#REF!</v>
      </c>
      <c r="M13" s="42"/>
      <c r="N13" s="46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24" customHeight="1">
      <c r="A14" s="15"/>
      <c r="B14" s="221"/>
      <c r="C14" s="222"/>
      <c r="D14" s="223"/>
      <c r="E14" s="222"/>
      <c r="F14" s="223"/>
      <c r="G14" s="224"/>
      <c r="H14" s="222"/>
      <c r="I14" s="246"/>
      <c r="J14" s="248"/>
      <c r="K14" s="225"/>
      <c r="L14" s="225"/>
      <c r="M14" s="43"/>
      <c r="N14" s="46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ht="24" customHeight="1">
      <c r="A15" s="15"/>
      <c r="B15" s="240" t="s">
        <v>150</v>
      </c>
      <c r="C15" s="213"/>
      <c r="D15" s="216" t="s">
        <v>144</v>
      </c>
      <c r="E15" s="213"/>
      <c r="F15" s="218" t="s">
        <v>151</v>
      </c>
      <c r="G15" s="219"/>
      <c r="H15" s="213"/>
      <c r="I15" s="245" t="e">
        <f>#REF!</f>
        <v>#REF!</v>
      </c>
      <c r="J15" s="247"/>
      <c r="K15" s="202">
        <v>4000000</v>
      </c>
      <c r="L15" s="202" t="e">
        <f>I15+J15+K15</f>
        <v>#REF!</v>
      </c>
      <c r="M15" s="42"/>
      <c r="N15" s="46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ht="24" customHeight="1">
      <c r="A16" s="15"/>
      <c r="B16" s="221"/>
      <c r="C16" s="222"/>
      <c r="D16" s="223"/>
      <c r="E16" s="222"/>
      <c r="F16" s="223"/>
      <c r="G16" s="224"/>
      <c r="H16" s="222"/>
      <c r="I16" s="246"/>
      <c r="J16" s="248"/>
      <c r="K16" s="225"/>
      <c r="L16" s="225"/>
      <c r="M16" s="43"/>
      <c r="N16" s="46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24" customHeight="1">
      <c r="A17" s="15"/>
      <c r="B17" s="240" t="s">
        <v>152</v>
      </c>
      <c r="C17" s="213"/>
      <c r="D17" s="216" t="s">
        <v>153</v>
      </c>
      <c r="E17" s="213"/>
      <c r="F17" s="218" t="s">
        <v>149</v>
      </c>
      <c r="G17" s="219"/>
      <c r="H17" s="213"/>
      <c r="I17" s="245">
        <v>24440000</v>
      </c>
      <c r="J17" s="247"/>
      <c r="K17" s="202">
        <v>8000000</v>
      </c>
      <c r="L17" s="202">
        <f>I17+J17+K17</f>
        <v>32440000</v>
      </c>
      <c r="M17" s="42"/>
      <c r="N17" s="46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ht="24" customHeight="1">
      <c r="A18" s="15"/>
      <c r="B18" s="221"/>
      <c r="C18" s="222"/>
      <c r="D18" s="223"/>
      <c r="E18" s="222"/>
      <c r="F18" s="223"/>
      <c r="G18" s="224"/>
      <c r="H18" s="222"/>
      <c r="I18" s="246"/>
      <c r="J18" s="248"/>
      <c r="K18" s="225"/>
      <c r="L18" s="225"/>
      <c r="M18" s="43"/>
      <c r="N18" s="46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ht="24" customHeight="1">
      <c r="A19" s="15"/>
      <c r="B19" s="240" t="s">
        <v>154</v>
      </c>
      <c r="C19" s="213"/>
      <c r="D19" s="216" t="s">
        <v>153</v>
      </c>
      <c r="E19" s="213"/>
      <c r="F19" s="218" t="s">
        <v>151</v>
      </c>
      <c r="G19" s="219"/>
      <c r="H19" s="213"/>
      <c r="I19" s="245" t="e">
        <f>#REF!</f>
        <v>#REF!</v>
      </c>
      <c r="J19" s="247"/>
      <c r="K19" s="202">
        <v>8000000</v>
      </c>
      <c r="L19" s="202" t="e">
        <f>I19+J19+K19</f>
        <v>#REF!</v>
      </c>
      <c r="M19" s="42"/>
      <c r="N19" s="46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ht="24" customHeight="1">
      <c r="A20" s="15"/>
      <c r="B20" s="221"/>
      <c r="C20" s="222"/>
      <c r="D20" s="223"/>
      <c r="E20" s="222"/>
      <c r="F20" s="223"/>
      <c r="G20" s="224"/>
      <c r="H20" s="222"/>
      <c r="I20" s="246"/>
      <c r="J20" s="248"/>
      <c r="K20" s="225"/>
      <c r="L20" s="225"/>
      <c r="M20" s="43"/>
      <c r="N20" s="46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ht="24" customHeight="1">
      <c r="A21" s="15"/>
      <c r="B21" s="240" t="s">
        <v>155</v>
      </c>
      <c r="C21" s="213"/>
      <c r="D21" s="216" t="s">
        <v>144</v>
      </c>
      <c r="E21" s="213"/>
      <c r="F21" s="218" t="s">
        <v>156</v>
      </c>
      <c r="G21" s="219"/>
      <c r="H21" s="213"/>
      <c r="I21" s="245">
        <v>18200000</v>
      </c>
      <c r="J21" s="247"/>
      <c r="K21" s="202"/>
      <c r="L21" s="202">
        <f>I21+J21+K21</f>
        <v>18200000</v>
      </c>
      <c r="M21" s="42"/>
      <c r="N21" s="46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ht="24" customHeight="1">
      <c r="A22" s="15"/>
      <c r="B22" s="221"/>
      <c r="C22" s="222"/>
      <c r="D22" s="223"/>
      <c r="E22" s="222"/>
      <c r="F22" s="223"/>
      <c r="G22" s="224"/>
      <c r="H22" s="222"/>
      <c r="I22" s="246"/>
      <c r="J22" s="248"/>
      <c r="K22" s="225"/>
      <c r="L22" s="225"/>
      <c r="M22" s="43"/>
      <c r="N22" s="46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 ht="24" customHeight="1">
      <c r="A23" s="15"/>
      <c r="B23" s="240" t="s">
        <v>157</v>
      </c>
      <c r="C23" s="213"/>
      <c r="D23" s="216" t="s">
        <v>144</v>
      </c>
      <c r="E23" s="213"/>
      <c r="F23" s="218" t="s">
        <v>158</v>
      </c>
      <c r="G23" s="219"/>
      <c r="H23" s="213"/>
      <c r="I23" s="245">
        <v>0</v>
      </c>
      <c r="J23" s="247"/>
      <c r="K23" s="202"/>
      <c r="L23" s="202">
        <f>I23+J23+K23</f>
        <v>0</v>
      </c>
      <c r="M23" s="42"/>
      <c r="N23" s="46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ht="24" customHeight="1">
      <c r="A24" s="15"/>
      <c r="B24" s="221"/>
      <c r="C24" s="222"/>
      <c r="D24" s="223"/>
      <c r="E24" s="222"/>
      <c r="F24" s="223"/>
      <c r="G24" s="224"/>
      <c r="H24" s="222"/>
      <c r="I24" s="246"/>
      <c r="J24" s="248"/>
      <c r="K24" s="225"/>
      <c r="L24" s="225"/>
      <c r="M24" s="43"/>
      <c r="N24" s="46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 ht="24" customHeight="1">
      <c r="A25" s="15"/>
      <c r="B25" s="240" t="s">
        <v>159</v>
      </c>
      <c r="C25" s="213"/>
      <c r="D25" s="216" t="s">
        <v>144</v>
      </c>
      <c r="E25" s="213"/>
      <c r="F25" s="218" t="s">
        <v>160</v>
      </c>
      <c r="G25" s="219"/>
      <c r="H25" s="213"/>
      <c r="I25" s="245">
        <v>0</v>
      </c>
      <c r="J25" s="247"/>
      <c r="K25" s="202"/>
      <c r="L25" s="202">
        <f>I25+J25+K25</f>
        <v>0</v>
      </c>
      <c r="M25" s="42"/>
      <c r="N25" s="46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ht="24" customHeight="1">
      <c r="A26" s="15"/>
      <c r="B26" s="221"/>
      <c r="C26" s="222"/>
      <c r="D26" s="223"/>
      <c r="E26" s="222"/>
      <c r="F26" s="223"/>
      <c r="G26" s="224"/>
      <c r="H26" s="222"/>
      <c r="I26" s="246"/>
      <c r="J26" s="248"/>
      <c r="K26" s="225"/>
      <c r="L26" s="225"/>
      <c r="M26" s="43"/>
      <c r="N26" s="46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 ht="24" customHeight="1">
      <c r="A27" s="15"/>
      <c r="B27" s="240" t="s">
        <v>161</v>
      </c>
      <c r="C27" s="213"/>
      <c r="D27" s="216" t="s">
        <v>144</v>
      </c>
      <c r="E27" s="213"/>
      <c r="F27" s="218" t="s">
        <v>162</v>
      </c>
      <c r="G27" s="219"/>
      <c r="H27" s="213"/>
      <c r="I27" s="245">
        <v>18200000</v>
      </c>
      <c r="J27" s="247"/>
      <c r="K27" s="202"/>
      <c r="L27" s="202">
        <f>I27+J27+K27</f>
        <v>18200000</v>
      </c>
      <c r="M27" s="42"/>
      <c r="N27" s="46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24" customHeight="1">
      <c r="A28" s="15"/>
      <c r="B28" s="221"/>
      <c r="C28" s="222"/>
      <c r="D28" s="223"/>
      <c r="E28" s="222"/>
      <c r="F28" s="223"/>
      <c r="G28" s="224"/>
      <c r="H28" s="222"/>
      <c r="I28" s="246"/>
      <c r="J28" s="248"/>
      <c r="K28" s="225"/>
      <c r="L28" s="225"/>
      <c r="M28" s="43"/>
      <c r="N28" s="46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24" customHeight="1">
      <c r="A29" s="15"/>
      <c r="B29" s="240" t="s">
        <v>223</v>
      </c>
      <c r="C29" s="213"/>
      <c r="D29" s="216" t="s">
        <v>206</v>
      </c>
      <c r="E29" s="213"/>
      <c r="F29" s="218"/>
      <c r="G29" s="219"/>
      <c r="H29" s="213"/>
      <c r="I29" s="245" t="e">
        <f>#REF!</f>
        <v>#REF!</v>
      </c>
      <c r="J29" s="247"/>
      <c r="K29" s="202">
        <v>5000000</v>
      </c>
      <c r="L29" s="202" t="e">
        <f>I29+J29+K29</f>
        <v>#REF!</v>
      </c>
      <c r="M29" s="42"/>
      <c r="N29" s="46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ht="24" customHeight="1">
      <c r="A30" s="15"/>
      <c r="B30" s="221"/>
      <c r="C30" s="222"/>
      <c r="D30" s="223"/>
      <c r="E30" s="222"/>
      <c r="F30" s="223"/>
      <c r="G30" s="224"/>
      <c r="H30" s="222"/>
      <c r="I30" s="246"/>
      <c r="J30" s="248"/>
      <c r="K30" s="225"/>
      <c r="L30" s="225"/>
      <c r="M30" s="43"/>
      <c r="N30" s="46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ht="24" customHeight="1">
      <c r="A31" s="15"/>
      <c r="B31" s="240" t="s">
        <v>163</v>
      </c>
      <c r="C31" s="213"/>
      <c r="D31" s="216" t="s">
        <v>153</v>
      </c>
      <c r="E31" s="213"/>
      <c r="F31" s="218"/>
      <c r="G31" s="219"/>
      <c r="H31" s="213"/>
      <c r="I31" s="245">
        <v>0</v>
      </c>
      <c r="J31" s="247"/>
      <c r="K31" s="202"/>
      <c r="L31" s="202">
        <f>I31+J31+K31</f>
        <v>0</v>
      </c>
      <c r="M31" s="42"/>
      <c r="N31" s="46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ht="24" customHeight="1">
      <c r="A32" s="15"/>
      <c r="B32" s="221"/>
      <c r="C32" s="222"/>
      <c r="D32" s="223"/>
      <c r="E32" s="222"/>
      <c r="F32" s="223"/>
      <c r="G32" s="224"/>
      <c r="H32" s="222"/>
      <c r="I32" s="246"/>
      <c r="J32" s="248"/>
      <c r="K32" s="225"/>
      <c r="L32" s="225"/>
      <c r="M32" s="43"/>
      <c r="N32" s="46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 ht="24" customHeight="1">
      <c r="A33" s="15"/>
      <c r="B33" s="206" t="s">
        <v>190</v>
      </c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8"/>
      <c r="N33" s="46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 ht="24" customHeight="1">
      <c r="A34" s="15"/>
      <c r="B34" s="209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1"/>
      <c r="N34" s="46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ht="24" customHeight="1">
      <c r="A35" s="15"/>
      <c r="B35" s="212" t="s">
        <v>133</v>
      </c>
      <c r="C35" s="213"/>
      <c r="D35" s="216" t="s">
        <v>134</v>
      </c>
      <c r="E35" s="213"/>
      <c r="F35" s="244" t="s">
        <v>135</v>
      </c>
      <c r="G35" s="219"/>
      <c r="H35" s="213"/>
      <c r="I35" s="17" t="s">
        <v>136</v>
      </c>
      <c r="J35" s="17" t="s">
        <v>164</v>
      </c>
      <c r="K35" s="17" t="s">
        <v>137</v>
      </c>
      <c r="L35" s="17" t="s">
        <v>138</v>
      </c>
      <c r="M35" s="44" t="s">
        <v>138</v>
      </c>
      <c r="N35" s="46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ht="24" customHeight="1">
      <c r="A36" s="15"/>
      <c r="B36" s="221"/>
      <c r="C36" s="222"/>
      <c r="D36" s="223"/>
      <c r="E36" s="222"/>
      <c r="F36" s="223"/>
      <c r="G36" s="224"/>
      <c r="H36" s="222"/>
      <c r="I36" s="19" t="s">
        <v>139</v>
      </c>
      <c r="J36" s="19" t="s">
        <v>165</v>
      </c>
      <c r="K36" s="19" t="s">
        <v>140</v>
      </c>
      <c r="L36" s="19" t="s">
        <v>141</v>
      </c>
      <c r="M36" s="45" t="s">
        <v>142</v>
      </c>
      <c r="N36" s="46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 ht="24" customHeight="1">
      <c r="A37" s="15"/>
      <c r="B37" s="240" t="s">
        <v>166</v>
      </c>
      <c r="C37" s="213"/>
      <c r="D37" s="216" t="s">
        <v>167</v>
      </c>
      <c r="E37" s="213"/>
      <c r="F37" s="218" t="s">
        <v>168</v>
      </c>
      <c r="G37" s="219"/>
      <c r="H37" s="213"/>
      <c r="I37" s="202">
        <v>10800000</v>
      </c>
      <c r="J37" s="202"/>
      <c r="K37" s="202">
        <v>3000000</v>
      </c>
      <c r="L37" s="202">
        <f>J37+K37+I37</f>
        <v>13800000</v>
      </c>
      <c r="M37" s="204">
        <f>L37*1.105</f>
        <v>15249000</v>
      </c>
      <c r="N37" s="46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ht="24" customHeight="1">
      <c r="A38" s="15"/>
      <c r="B38" s="221"/>
      <c r="C38" s="222"/>
      <c r="D38" s="223"/>
      <c r="E38" s="222"/>
      <c r="F38" s="223"/>
      <c r="G38" s="224"/>
      <c r="H38" s="222"/>
      <c r="I38" s="225"/>
      <c r="J38" s="225"/>
      <c r="K38" s="225"/>
      <c r="L38" s="225"/>
      <c r="M38" s="226"/>
      <c r="N38" s="46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ht="24" customHeight="1">
      <c r="A39" s="15"/>
      <c r="B39" s="240" t="s">
        <v>169</v>
      </c>
      <c r="C39" s="213"/>
      <c r="D39" s="216" t="s">
        <v>167</v>
      </c>
      <c r="E39" s="213"/>
      <c r="F39" s="218" t="s">
        <v>170</v>
      </c>
      <c r="G39" s="219"/>
      <c r="H39" s="213"/>
      <c r="I39" s="202" t="e">
        <f>#REF!</f>
        <v>#REF!</v>
      </c>
      <c r="J39" s="202"/>
      <c r="K39" s="202">
        <v>2000000</v>
      </c>
      <c r="L39" s="202" t="e">
        <f>J39+K39+I39</f>
        <v>#REF!</v>
      </c>
      <c r="M39" s="204" t="e">
        <f>L39*1.105</f>
        <v>#REF!</v>
      </c>
      <c r="N39" s="46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ht="24" customHeight="1">
      <c r="A40" s="15"/>
      <c r="B40" s="221"/>
      <c r="C40" s="222"/>
      <c r="D40" s="223"/>
      <c r="E40" s="222"/>
      <c r="F40" s="223"/>
      <c r="G40" s="224"/>
      <c r="H40" s="222"/>
      <c r="I40" s="225"/>
      <c r="J40" s="225"/>
      <c r="K40" s="225"/>
      <c r="L40" s="225"/>
      <c r="M40" s="226"/>
      <c r="N40" s="46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 ht="24" customHeight="1">
      <c r="A41" s="15"/>
      <c r="B41" s="240" t="s">
        <v>169</v>
      </c>
      <c r="C41" s="213"/>
      <c r="D41" s="216" t="s">
        <v>171</v>
      </c>
      <c r="E41" s="213"/>
      <c r="F41" s="218" t="s">
        <v>170</v>
      </c>
      <c r="G41" s="219"/>
      <c r="H41" s="213"/>
      <c r="I41" s="202" t="e">
        <f>#REF!</f>
        <v>#REF!</v>
      </c>
      <c r="J41" s="202"/>
      <c r="K41" s="202">
        <v>2000000</v>
      </c>
      <c r="L41" s="202" t="e">
        <f>J41+K41+I41</f>
        <v>#REF!</v>
      </c>
      <c r="M41" s="204" t="e">
        <f>L41*1.105</f>
        <v>#REF!</v>
      </c>
      <c r="N41" s="46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24" customHeight="1">
      <c r="A42" s="15"/>
      <c r="B42" s="221"/>
      <c r="C42" s="222"/>
      <c r="D42" s="223"/>
      <c r="E42" s="222"/>
      <c r="F42" s="223"/>
      <c r="G42" s="224"/>
      <c r="H42" s="222"/>
      <c r="I42" s="225"/>
      <c r="J42" s="225"/>
      <c r="K42" s="225"/>
      <c r="L42" s="225"/>
      <c r="M42" s="226"/>
      <c r="N42" s="46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 ht="24" customHeight="1">
      <c r="A43" s="15"/>
      <c r="B43" s="240" t="s">
        <v>172</v>
      </c>
      <c r="C43" s="213"/>
      <c r="D43" s="216" t="s">
        <v>144</v>
      </c>
      <c r="E43" s="213"/>
      <c r="F43" s="218" t="s">
        <v>168</v>
      </c>
      <c r="G43" s="219"/>
      <c r="H43" s="213"/>
      <c r="I43" s="202" t="e">
        <f>#REF!</f>
        <v>#REF!</v>
      </c>
      <c r="J43" s="202"/>
      <c r="K43" s="202">
        <v>3500000</v>
      </c>
      <c r="L43" s="202" t="e">
        <f>J43+K43+I43</f>
        <v>#REF!</v>
      </c>
      <c r="M43" s="204" t="e">
        <f>L43*1.21</f>
        <v>#REF!</v>
      </c>
      <c r="N43" s="46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ht="24" customHeight="1">
      <c r="A44" s="15"/>
      <c r="B44" s="221"/>
      <c r="C44" s="222"/>
      <c r="D44" s="223"/>
      <c r="E44" s="222"/>
      <c r="F44" s="223"/>
      <c r="G44" s="224"/>
      <c r="H44" s="222"/>
      <c r="I44" s="225"/>
      <c r="J44" s="225"/>
      <c r="K44" s="225"/>
      <c r="L44" s="225"/>
      <c r="M44" s="226"/>
      <c r="N44" s="46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ht="24" customHeight="1">
      <c r="A45" s="15"/>
      <c r="B45" s="240" t="s">
        <v>173</v>
      </c>
      <c r="C45" s="213"/>
      <c r="D45" s="216" t="s">
        <v>153</v>
      </c>
      <c r="E45" s="213"/>
      <c r="F45" s="218" t="s">
        <v>168</v>
      </c>
      <c r="G45" s="219"/>
      <c r="H45" s="213"/>
      <c r="I45" s="202" t="e">
        <f>#REF!</f>
        <v>#REF!</v>
      </c>
      <c r="J45" s="202"/>
      <c r="K45" s="202">
        <v>4800000</v>
      </c>
      <c r="L45" s="202" t="e">
        <f>J45+K45+I45</f>
        <v>#REF!</v>
      </c>
      <c r="M45" s="204" t="e">
        <f>L45*1.21</f>
        <v>#REF!</v>
      </c>
      <c r="N45" s="46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ht="24" customHeight="1">
      <c r="A46" s="15"/>
      <c r="B46" s="221"/>
      <c r="C46" s="222"/>
      <c r="D46" s="223"/>
      <c r="E46" s="222"/>
      <c r="F46" s="223"/>
      <c r="G46" s="224"/>
      <c r="H46" s="222"/>
      <c r="I46" s="225"/>
      <c r="J46" s="225"/>
      <c r="K46" s="225"/>
      <c r="L46" s="225"/>
      <c r="M46" s="226"/>
      <c r="N46" s="46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ht="24" customHeight="1">
      <c r="A47" s="15"/>
      <c r="B47" s="212" t="s">
        <v>174</v>
      </c>
      <c r="C47" s="213"/>
      <c r="D47" s="216" t="s">
        <v>175</v>
      </c>
      <c r="E47" s="213"/>
      <c r="F47" s="218" t="s">
        <v>176</v>
      </c>
      <c r="G47" s="219"/>
      <c r="H47" s="213"/>
      <c r="I47" s="202" t="e">
        <f>#REF!</f>
        <v>#REF!</v>
      </c>
      <c r="J47" s="202"/>
      <c r="K47" s="202">
        <v>4000000</v>
      </c>
      <c r="L47" s="202" t="e">
        <f>J47+K47+I47</f>
        <v>#REF!</v>
      </c>
      <c r="M47" s="204" t="e">
        <f>L47*1.21</f>
        <v>#REF!</v>
      </c>
      <c r="N47" s="46">
        <v>33929000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24" customHeight="1">
      <c r="A48" s="15"/>
      <c r="B48" s="221"/>
      <c r="C48" s="222"/>
      <c r="D48" s="223"/>
      <c r="E48" s="222"/>
      <c r="F48" s="223"/>
      <c r="G48" s="224"/>
      <c r="H48" s="222"/>
      <c r="I48" s="225"/>
      <c r="J48" s="225"/>
      <c r="K48" s="225"/>
      <c r="L48" s="225"/>
      <c r="M48" s="226"/>
      <c r="N48" s="46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:28" ht="24" customHeight="1">
      <c r="A49" s="15"/>
      <c r="B49" s="212" t="s">
        <v>177</v>
      </c>
      <c r="C49" s="213"/>
      <c r="D49" s="216" t="s">
        <v>175</v>
      </c>
      <c r="E49" s="213"/>
      <c r="F49" s="218" t="s">
        <v>178</v>
      </c>
      <c r="G49" s="219"/>
      <c r="H49" s="213"/>
      <c r="I49" s="202">
        <v>29200000</v>
      </c>
      <c r="J49" s="202"/>
      <c r="K49" s="202">
        <v>4000000</v>
      </c>
      <c r="L49" s="202">
        <f>J49+K49+I49</f>
        <v>33200000</v>
      </c>
      <c r="M49" s="204">
        <f>L49*1.21</f>
        <v>40172000</v>
      </c>
      <c r="N49" s="46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8" ht="24" customHeight="1">
      <c r="A50" s="15"/>
      <c r="B50" s="221"/>
      <c r="C50" s="222"/>
      <c r="D50" s="223"/>
      <c r="E50" s="222"/>
      <c r="F50" s="223"/>
      <c r="G50" s="224"/>
      <c r="H50" s="222"/>
      <c r="I50" s="225"/>
      <c r="J50" s="225"/>
      <c r="K50" s="225"/>
      <c r="L50" s="225"/>
      <c r="M50" s="226"/>
      <c r="N50" s="46">
        <v>1900000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 ht="24" customHeight="1">
      <c r="A51" s="15"/>
      <c r="B51" s="212" t="s">
        <v>179</v>
      </c>
      <c r="C51" s="213"/>
      <c r="D51" s="216" t="s">
        <v>180</v>
      </c>
      <c r="E51" s="213"/>
      <c r="F51" s="218" t="s">
        <v>181</v>
      </c>
      <c r="G51" s="219"/>
      <c r="H51" s="213"/>
      <c r="I51" s="202">
        <v>39000000</v>
      </c>
      <c r="J51" s="202"/>
      <c r="K51" s="202">
        <v>7000000</v>
      </c>
      <c r="L51" s="202">
        <f>J51+K51+I51</f>
        <v>46000000</v>
      </c>
      <c r="M51" s="204">
        <f>L51*1.21</f>
        <v>55660000</v>
      </c>
      <c r="N51" s="46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ht="24" customHeight="1">
      <c r="A52" s="15"/>
      <c r="B52" s="221"/>
      <c r="C52" s="222"/>
      <c r="D52" s="223"/>
      <c r="E52" s="222"/>
      <c r="F52" s="223"/>
      <c r="G52" s="224"/>
      <c r="H52" s="222"/>
      <c r="I52" s="225"/>
      <c r="J52" s="225"/>
      <c r="K52" s="225"/>
      <c r="L52" s="225"/>
      <c r="M52" s="226"/>
      <c r="N52" s="46">
        <v>1678000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 ht="24" customHeight="1">
      <c r="A53" s="15"/>
      <c r="B53" s="212" t="s">
        <v>182</v>
      </c>
      <c r="C53" s="213"/>
      <c r="D53" s="216" t="s">
        <v>183</v>
      </c>
      <c r="E53" s="213"/>
      <c r="F53" s="218" t="s">
        <v>184</v>
      </c>
      <c r="G53" s="219"/>
      <c r="H53" s="213"/>
      <c r="I53" s="202" t="e">
        <f>#REF!</f>
        <v>#REF!</v>
      </c>
      <c r="J53" s="202"/>
      <c r="K53" s="202">
        <v>7000000</v>
      </c>
      <c r="L53" s="202" t="e">
        <f>J53+K53+I53</f>
        <v>#REF!</v>
      </c>
      <c r="M53" s="204" t="e">
        <f>L53*1.21</f>
        <v>#REF!</v>
      </c>
      <c r="N53" s="46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ht="24" customHeight="1">
      <c r="A54" s="15"/>
      <c r="B54" s="221"/>
      <c r="C54" s="222"/>
      <c r="D54" s="223"/>
      <c r="E54" s="222"/>
      <c r="F54" s="223"/>
      <c r="G54" s="224"/>
      <c r="H54" s="222"/>
      <c r="I54" s="225"/>
      <c r="J54" s="225"/>
      <c r="K54" s="225"/>
      <c r="L54" s="225"/>
      <c r="M54" s="226"/>
      <c r="N54" s="46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 ht="24" customHeight="1">
      <c r="A55" s="15"/>
      <c r="B55" s="212" t="s">
        <v>185</v>
      </c>
      <c r="C55" s="213"/>
      <c r="D55" s="216" t="s">
        <v>183</v>
      </c>
      <c r="E55" s="213"/>
      <c r="F55" s="218" t="s">
        <v>186</v>
      </c>
      <c r="G55" s="219"/>
      <c r="H55" s="213"/>
      <c r="I55" s="202">
        <v>57000000</v>
      </c>
      <c r="J55" s="202"/>
      <c r="K55" s="202">
        <v>7000000</v>
      </c>
      <c r="L55" s="202">
        <f>J55+K55+I55</f>
        <v>64000000</v>
      </c>
      <c r="M55" s="204">
        <f>L55*1.21</f>
        <v>77440000</v>
      </c>
      <c r="N55" s="46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:28" ht="24" customHeight="1">
      <c r="A56" s="15"/>
      <c r="B56" s="221"/>
      <c r="C56" s="222"/>
      <c r="D56" s="223"/>
      <c r="E56" s="222"/>
      <c r="F56" s="223"/>
      <c r="G56" s="224"/>
      <c r="H56" s="222"/>
      <c r="I56" s="225"/>
      <c r="J56" s="225"/>
      <c r="K56" s="225"/>
      <c r="L56" s="225"/>
      <c r="M56" s="226"/>
      <c r="N56" s="46">
        <v>1486000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 ht="24" customHeight="1">
      <c r="A57" s="15"/>
      <c r="B57" s="240" t="s">
        <v>205</v>
      </c>
      <c r="C57" s="241"/>
      <c r="D57" s="216" t="s">
        <v>206</v>
      </c>
      <c r="E57" s="213"/>
      <c r="F57" s="218" t="s">
        <v>204</v>
      </c>
      <c r="G57" s="219"/>
      <c r="H57" s="213"/>
      <c r="I57" s="202"/>
      <c r="J57" s="202"/>
      <c r="K57" s="202">
        <v>12000000</v>
      </c>
      <c r="L57" s="202">
        <f>J57+K57+I57</f>
        <v>12000000</v>
      </c>
      <c r="M57" s="204">
        <f>L57*1.21</f>
        <v>14520000</v>
      </c>
      <c r="N57" s="46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 ht="24" customHeight="1">
      <c r="A58" s="15"/>
      <c r="B58" s="242"/>
      <c r="C58" s="243"/>
      <c r="D58" s="223"/>
      <c r="E58" s="222"/>
      <c r="F58" s="223"/>
      <c r="G58" s="224"/>
      <c r="H58" s="222"/>
      <c r="I58" s="225"/>
      <c r="J58" s="225"/>
      <c r="K58" s="225"/>
      <c r="L58" s="225"/>
      <c r="M58" s="226"/>
      <c r="N58" s="46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24" customHeight="1">
      <c r="A59" s="15"/>
      <c r="B59" s="240" t="s">
        <v>203</v>
      </c>
      <c r="C59" s="241"/>
      <c r="D59" s="216" t="s">
        <v>187</v>
      </c>
      <c r="E59" s="213"/>
      <c r="F59" s="218" t="s">
        <v>186</v>
      </c>
      <c r="G59" s="219"/>
      <c r="H59" s="213"/>
      <c r="I59" s="202" t="e">
        <f>#REF!</f>
        <v>#REF!</v>
      </c>
      <c r="J59" s="202"/>
      <c r="K59" s="202">
        <v>7000000</v>
      </c>
      <c r="L59" s="202" t="e">
        <f>J59+K59+I59</f>
        <v>#REF!</v>
      </c>
      <c r="M59" s="204" t="e">
        <f>L59*1.21</f>
        <v>#REF!</v>
      </c>
      <c r="N59" s="46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24" customHeight="1">
      <c r="A60" s="15"/>
      <c r="B60" s="242"/>
      <c r="C60" s="243"/>
      <c r="D60" s="223"/>
      <c r="E60" s="222"/>
      <c r="F60" s="223"/>
      <c r="G60" s="224"/>
      <c r="H60" s="222"/>
      <c r="I60" s="225"/>
      <c r="J60" s="225"/>
      <c r="K60" s="225"/>
      <c r="L60" s="225"/>
      <c r="M60" s="227"/>
      <c r="N60" s="46">
        <v>1622000</v>
      </c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 ht="24" customHeight="1">
      <c r="A61" s="15"/>
      <c r="B61" s="240" t="s">
        <v>213</v>
      </c>
      <c r="C61" s="241"/>
      <c r="D61" s="216" t="s">
        <v>216</v>
      </c>
      <c r="E61" s="213"/>
      <c r="F61" s="218" t="s">
        <v>211</v>
      </c>
      <c r="G61" s="219"/>
      <c r="H61" s="213"/>
      <c r="I61" s="202" t="e">
        <f>#REF!</f>
        <v>#REF!</v>
      </c>
      <c r="J61" s="202"/>
      <c r="K61" s="202">
        <v>12000000</v>
      </c>
      <c r="L61" s="202" t="e">
        <f>J61+K61+I61</f>
        <v>#REF!</v>
      </c>
      <c r="M61" s="204" t="e">
        <f>L61*1.21</f>
        <v>#REF!</v>
      </c>
      <c r="N61" s="46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 ht="24" customHeight="1">
      <c r="A62" s="15"/>
      <c r="B62" s="242"/>
      <c r="C62" s="243"/>
      <c r="D62" s="223"/>
      <c r="E62" s="222"/>
      <c r="F62" s="223"/>
      <c r="G62" s="224"/>
      <c r="H62" s="222"/>
      <c r="I62" s="225"/>
      <c r="J62" s="225"/>
      <c r="K62" s="225"/>
      <c r="L62" s="225"/>
      <c r="M62" s="227"/>
      <c r="N62" s="46">
        <v>1538000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ht="24" customHeight="1">
      <c r="A63" s="15"/>
      <c r="B63" s="240" t="s">
        <v>214</v>
      </c>
      <c r="C63" s="241"/>
      <c r="D63" s="216" t="s">
        <v>215</v>
      </c>
      <c r="E63" s="213"/>
      <c r="F63" s="218" t="s">
        <v>212</v>
      </c>
      <c r="G63" s="219"/>
      <c r="H63" s="213"/>
      <c r="I63" s="202" t="e">
        <f>#REF!</f>
        <v>#REF!</v>
      </c>
      <c r="J63" s="202"/>
      <c r="K63" s="202">
        <v>15000000</v>
      </c>
      <c r="L63" s="202" t="e">
        <f>J63+K63+I63</f>
        <v>#REF!</v>
      </c>
      <c r="M63" s="204" t="e">
        <f>L63*1.21</f>
        <v>#REF!</v>
      </c>
      <c r="N63" s="46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 ht="24" customHeight="1">
      <c r="A64" s="15"/>
      <c r="B64" s="242"/>
      <c r="C64" s="243"/>
      <c r="D64" s="223"/>
      <c r="E64" s="222"/>
      <c r="F64" s="223"/>
      <c r="G64" s="224"/>
      <c r="H64" s="222"/>
      <c r="I64" s="225"/>
      <c r="J64" s="225"/>
      <c r="K64" s="225"/>
      <c r="L64" s="225"/>
      <c r="M64" s="227"/>
      <c r="N64" s="46">
        <v>1432000</v>
      </c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 ht="24" customHeight="1">
      <c r="A65" s="15"/>
      <c r="B65" s="240"/>
      <c r="C65" s="241"/>
      <c r="D65" s="216"/>
      <c r="E65" s="213"/>
      <c r="F65" s="218"/>
      <c r="G65" s="219"/>
      <c r="H65" s="213"/>
      <c r="I65" s="202"/>
      <c r="J65" s="202"/>
      <c r="K65" s="202"/>
      <c r="L65" s="202">
        <f>J65+K65+I65</f>
        <v>0</v>
      </c>
      <c r="M65" s="204">
        <f>L65*1.21</f>
        <v>0</v>
      </c>
      <c r="N65" s="46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 ht="24" customHeight="1">
      <c r="A66" s="15"/>
      <c r="B66" s="242"/>
      <c r="C66" s="243"/>
      <c r="D66" s="223"/>
      <c r="E66" s="222"/>
      <c r="F66" s="223"/>
      <c r="G66" s="224"/>
      <c r="H66" s="222"/>
      <c r="I66" s="225"/>
      <c r="J66" s="225"/>
      <c r="K66" s="225"/>
      <c r="L66" s="225"/>
      <c r="M66" s="227"/>
      <c r="N66" s="46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 ht="24" customHeight="1">
      <c r="A67" s="15"/>
      <c r="B67" s="212" t="s">
        <v>188</v>
      </c>
      <c r="C67" s="228"/>
      <c r="D67" s="216" t="s">
        <v>189</v>
      </c>
      <c r="E67" s="231"/>
      <c r="F67" s="218"/>
      <c r="G67" s="234"/>
      <c r="H67" s="235"/>
      <c r="I67" s="202" t="e">
        <f>#REF!</f>
        <v>#REF!</v>
      </c>
      <c r="J67" s="202"/>
      <c r="K67" s="202">
        <v>4000000</v>
      </c>
      <c r="L67" s="202" t="e">
        <f>J67+K67+I67</f>
        <v>#REF!</v>
      </c>
      <c r="M67" s="204" t="e">
        <f>L67*1.21</f>
        <v>#REF!</v>
      </c>
      <c r="N67" s="46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24" customHeight="1">
      <c r="A68" s="15"/>
      <c r="B68" s="229"/>
      <c r="C68" s="230"/>
      <c r="D68" s="232"/>
      <c r="E68" s="233"/>
      <c r="F68" s="236"/>
      <c r="G68" s="237"/>
      <c r="H68" s="238"/>
      <c r="I68" s="239"/>
      <c r="J68" s="239"/>
      <c r="K68" s="239"/>
      <c r="L68" s="225"/>
      <c r="M68" s="227"/>
      <c r="N68" s="46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 ht="24" customHeight="1">
      <c r="A69" s="15"/>
      <c r="B69" s="212"/>
      <c r="C69" s="213"/>
      <c r="D69" s="216"/>
      <c r="E69" s="213"/>
      <c r="F69" s="218"/>
      <c r="G69" s="219"/>
      <c r="H69" s="213"/>
      <c r="I69" s="202"/>
      <c r="J69" s="202"/>
      <c r="K69" s="202"/>
      <c r="L69" s="202">
        <f>J69+K69+I69</f>
        <v>0</v>
      </c>
      <c r="M69" s="204">
        <f>L69*1.21</f>
        <v>0</v>
      </c>
      <c r="N69" s="46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spans="1:28" ht="24" customHeight="1">
      <c r="A70" s="15"/>
      <c r="B70" s="221"/>
      <c r="C70" s="222"/>
      <c r="D70" s="223"/>
      <c r="E70" s="222"/>
      <c r="F70" s="223"/>
      <c r="G70" s="224"/>
      <c r="H70" s="222"/>
      <c r="I70" s="225"/>
      <c r="J70" s="225"/>
      <c r="K70" s="225"/>
      <c r="L70" s="225"/>
      <c r="M70" s="226"/>
      <c r="N70" s="46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 ht="24" customHeight="1">
      <c r="A71" s="15"/>
      <c r="B71" s="212"/>
      <c r="C71" s="213"/>
      <c r="D71" s="216"/>
      <c r="E71" s="213"/>
      <c r="F71" s="218"/>
      <c r="G71" s="219"/>
      <c r="H71" s="213"/>
      <c r="I71" s="202"/>
      <c r="J71" s="202"/>
      <c r="K71" s="202"/>
      <c r="L71" s="202">
        <f>J71+K71+I71</f>
        <v>0</v>
      </c>
      <c r="M71" s="204">
        <f>L71*1.21</f>
        <v>0</v>
      </c>
      <c r="N71" s="46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24" customHeight="1">
      <c r="A72" s="15"/>
      <c r="B72" s="221"/>
      <c r="C72" s="222"/>
      <c r="D72" s="223"/>
      <c r="E72" s="222"/>
      <c r="F72" s="223"/>
      <c r="G72" s="224"/>
      <c r="H72" s="222"/>
      <c r="I72" s="225"/>
      <c r="J72" s="225"/>
      <c r="K72" s="225"/>
      <c r="L72" s="225"/>
      <c r="M72" s="226"/>
      <c r="N72" s="46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spans="1:28" ht="15.75" customHeight="1">
      <c r="A73" s="15"/>
      <c r="B73" s="212"/>
      <c r="C73" s="213"/>
      <c r="D73" s="216"/>
      <c r="E73" s="213"/>
      <c r="F73" s="218"/>
      <c r="G73" s="219"/>
      <c r="H73" s="213"/>
      <c r="I73" s="202"/>
      <c r="J73" s="202"/>
      <c r="K73" s="202"/>
      <c r="L73" s="202">
        <f>J73+K73+I73</f>
        <v>0</v>
      </c>
      <c r="M73" s="204">
        <f>L73*1.21</f>
        <v>0</v>
      </c>
      <c r="N73" s="46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spans="1:28" ht="15.75" customHeight="1">
      <c r="A74" s="15"/>
      <c r="B74" s="221"/>
      <c r="C74" s="222"/>
      <c r="D74" s="223"/>
      <c r="E74" s="222"/>
      <c r="F74" s="223"/>
      <c r="G74" s="224"/>
      <c r="H74" s="222"/>
      <c r="I74" s="225"/>
      <c r="J74" s="225"/>
      <c r="K74" s="225"/>
      <c r="L74" s="225"/>
      <c r="M74" s="226"/>
      <c r="N74" s="46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1:28" ht="15.75" customHeight="1">
      <c r="A75" s="15"/>
      <c r="B75" s="212"/>
      <c r="C75" s="213"/>
      <c r="D75" s="216"/>
      <c r="E75" s="213"/>
      <c r="F75" s="218"/>
      <c r="G75" s="219"/>
      <c r="H75" s="213"/>
      <c r="I75" s="202"/>
      <c r="J75" s="202"/>
      <c r="K75" s="202"/>
      <c r="L75" s="202">
        <f>J75+K75+I75</f>
        <v>0</v>
      </c>
      <c r="M75" s="204">
        <f>L75*1.21</f>
        <v>0</v>
      </c>
      <c r="N75" s="46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ht="15.75" customHeight="1" thickBot="1">
      <c r="A76" s="15"/>
      <c r="B76" s="214"/>
      <c r="C76" s="215"/>
      <c r="D76" s="217"/>
      <c r="E76" s="215"/>
      <c r="F76" s="217"/>
      <c r="G76" s="220"/>
      <c r="H76" s="215"/>
      <c r="I76" s="203"/>
      <c r="J76" s="203"/>
      <c r="K76" s="203"/>
      <c r="L76" s="203"/>
      <c r="M76" s="205"/>
      <c r="N76" s="46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spans="1:28" ht="15.75" customHeight="1">
      <c r="A77" s="15"/>
      <c r="B77" s="15"/>
      <c r="C77" s="15"/>
      <c r="D77" s="16"/>
      <c r="E77" s="16"/>
      <c r="F77" s="15"/>
      <c r="G77" s="15"/>
      <c r="H77" s="15"/>
      <c r="I77" s="15"/>
      <c r="J77" s="15"/>
      <c r="K77" s="15"/>
      <c r="L77" s="15"/>
      <c r="M77" s="15"/>
      <c r="N77" s="46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spans="1:28" ht="15.75" customHeight="1">
      <c r="A78" s="15"/>
      <c r="B78" s="15"/>
      <c r="C78" s="15"/>
      <c r="D78" s="16"/>
      <c r="E78" s="16"/>
      <c r="F78" s="15"/>
      <c r="G78" s="15"/>
      <c r="H78" s="15"/>
      <c r="I78" s="15"/>
      <c r="J78" s="15"/>
      <c r="K78" s="15"/>
      <c r="L78" s="15"/>
      <c r="M78" s="15"/>
      <c r="N78" s="46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 ht="15.75" customHeight="1">
      <c r="A79" s="15"/>
      <c r="B79" s="15"/>
      <c r="C79" s="15"/>
      <c r="D79" s="16"/>
      <c r="E79" s="16"/>
      <c r="F79" s="15"/>
      <c r="G79" s="15"/>
      <c r="H79" s="15"/>
      <c r="I79" s="15"/>
      <c r="J79" s="15"/>
      <c r="K79" s="15"/>
      <c r="L79" s="15"/>
      <c r="M79" s="15"/>
      <c r="N79" s="46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 ht="15.75" customHeight="1">
      <c r="A80" s="15"/>
      <c r="B80" s="15"/>
      <c r="C80" s="15"/>
      <c r="D80" s="16"/>
      <c r="E80" s="16"/>
      <c r="F80" s="15"/>
      <c r="G80" s="15"/>
      <c r="H80" s="15"/>
      <c r="I80" s="15"/>
      <c r="J80" s="15"/>
      <c r="K80" s="15"/>
      <c r="L80" s="15"/>
      <c r="M80" s="15"/>
      <c r="N80" s="46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spans="1:28" ht="15.75" customHeight="1">
      <c r="A81" s="15"/>
      <c r="B81" s="15"/>
      <c r="C81" s="15"/>
      <c r="D81" s="16"/>
      <c r="E81" s="16"/>
      <c r="F81" s="15"/>
      <c r="G81" s="15"/>
      <c r="H81" s="15"/>
      <c r="I81" s="15"/>
      <c r="J81" s="15"/>
      <c r="K81" s="15"/>
      <c r="L81" s="15"/>
      <c r="M81" s="15"/>
      <c r="N81" s="46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1:28" ht="15.75" customHeight="1">
      <c r="A82" s="15"/>
      <c r="B82" s="15"/>
      <c r="C82" s="15"/>
      <c r="D82" s="16"/>
      <c r="E82" s="16"/>
      <c r="F82" s="15"/>
      <c r="G82" s="15"/>
      <c r="H82" s="15"/>
      <c r="I82" s="15"/>
      <c r="J82" s="15"/>
      <c r="K82" s="15"/>
      <c r="L82" s="15"/>
      <c r="M82" s="15"/>
      <c r="N82" s="46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spans="1:28" ht="15.75" customHeight="1">
      <c r="A83" s="15"/>
      <c r="B83" s="15"/>
      <c r="C83" s="15"/>
      <c r="D83" s="16"/>
      <c r="E83" s="16"/>
      <c r="F83" s="15"/>
      <c r="G83" s="15"/>
      <c r="H83" s="15"/>
      <c r="I83" s="15"/>
      <c r="J83" s="15"/>
      <c r="K83" s="15"/>
      <c r="L83" s="15"/>
      <c r="M83" s="15"/>
      <c r="N83" s="46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 ht="15.75" customHeight="1">
      <c r="A84" s="15"/>
      <c r="B84" s="15"/>
      <c r="C84" s="15"/>
      <c r="D84" s="16"/>
      <c r="E84" s="16"/>
      <c r="F84" s="15"/>
      <c r="G84" s="15"/>
      <c r="H84" s="15"/>
      <c r="I84" s="15"/>
      <c r="J84" s="15"/>
      <c r="K84" s="15"/>
      <c r="L84" s="15"/>
      <c r="M84" s="15"/>
      <c r="N84" s="46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spans="1:28" ht="15.75" customHeight="1">
      <c r="A85" s="15"/>
      <c r="B85" s="15"/>
      <c r="C85" s="15"/>
      <c r="D85" s="16"/>
      <c r="E85" s="16"/>
      <c r="F85" s="15"/>
      <c r="G85" s="15"/>
      <c r="H85" s="15"/>
      <c r="I85" s="15"/>
      <c r="J85" s="15"/>
      <c r="K85" s="15"/>
      <c r="L85" s="15"/>
      <c r="M85" s="15"/>
      <c r="N85" s="46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 ht="15.75" customHeight="1">
      <c r="A86" s="15"/>
      <c r="B86" s="15"/>
      <c r="C86" s="15"/>
      <c r="D86" s="16"/>
      <c r="E86" s="16"/>
      <c r="F86" s="15"/>
      <c r="G86" s="15"/>
      <c r="H86" s="15"/>
      <c r="I86" s="15"/>
      <c r="J86" s="15"/>
      <c r="K86" s="15"/>
      <c r="L86" s="15"/>
      <c r="M86" s="15"/>
      <c r="N86" s="46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1:28" ht="15.75" customHeight="1">
      <c r="A87" s="15"/>
      <c r="B87" s="15"/>
      <c r="C87" s="15"/>
      <c r="D87" s="16"/>
      <c r="E87" s="16"/>
      <c r="F87" s="15"/>
      <c r="G87" s="15"/>
      <c r="H87" s="15"/>
      <c r="I87" s="15"/>
      <c r="J87" s="15"/>
      <c r="K87" s="15"/>
      <c r="L87" s="15"/>
      <c r="M87" s="15"/>
      <c r="N87" s="46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 ht="15.75" customHeight="1">
      <c r="A88" s="15"/>
      <c r="B88" s="15"/>
      <c r="C88" s="15"/>
      <c r="D88" s="16"/>
      <c r="E88" s="16"/>
      <c r="F88" s="15"/>
      <c r="G88" s="15"/>
      <c r="H88" s="15"/>
      <c r="I88" s="15"/>
      <c r="J88" s="15"/>
      <c r="K88" s="15"/>
      <c r="L88" s="15"/>
      <c r="M88" s="15"/>
      <c r="N88" s="46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1:28" ht="15.75" customHeight="1">
      <c r="A89" s="15"/>
      <c r="B89" s="15"/>
      <c r="C89" s="15"/>
      <c r="D89" s="16"/>
      <c r="E89" s="16"/>
      <c r="F89" s="15"/>
      <c r="G89" s="15"/>
      <c r="H89" s="15"/>
      <c r="I89" s="15"/>
      <c r="J89" s="15"/>
      <c r="K89" s="15"/>
      <c r="L89" s="15"/>
      <c r="M89" s="15"/>
      <c r="N89" s="46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28" ht="15.75" customHeight="1">
      <c r="A90" s="15"/>
      <c r="B90" s="15"/>
      <c r="C90" s="15"/>
      <c r="D90" s="16"/>
      <c r="E90" s="16"/>
      <c r="F90" s="15"/>
      <c r="G90" s="15"/>
      <c r="H90" s="15"/>
      <c r="I90" s="15"/>
      <c r="J90" s="15"/>
      <c r="K90" s="15"/>
      <c r="L90" s="15"/>
      <c r="M90" s="15"/>
      <c r="N90" s="46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spans="1:28" ht="15.75" customHeight="1">
      <c r="A91" s="15"/>
      <c r="B91" s="15"/>
      <c r="C91" s="15"/>
      <c r="D91" s="16"/>
      <c r="E91" s="16"/>
      <c r="F91" s="15"/>
      <c r="G91" s="15"/>
      <c r="H91" s="15"/>
      <c r="I91" s="15"/>
      <c r="J91" s="15"/>
      <c r="K91" s="15"/>
      <c r="L91" s="15"/>
      <c r="M91" s="15"/>
      <c r="N91" s="4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 ht="15.75" customHeight="1">
      <c r="A92" s="15"/>
      <c r="B92" s="15"/>
      <c r="C92" s="15"/>
      <c r="D92" s="16"/>
      <c r="E92" s="16"/>
      <c r="F92" s="15"/>
      <c r="G92" s="15"/>
      <c r="H92" s="15"/>
      <c r="I92" s="15"/>
      <c r="J92" s="15"/>
      <c r="K92" s="15"/>
      <c r="L92" s="15"/>
      <c r="M92" s="15"/>
      <c r="N92" s="46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spans="1:28" ht="15.75" customHeight="1">
      <c r="A93" s="15"/>
      <c r="B93" s="15"/>
      <c r="C93" s="15"/>
      <c r="D93" s="16"/>
      <c r="E93" s="16"/>
      <c r="F93" s="15"/>
      <c r="G93" s="15"/>
      <c r="H93" s="15"/>
      <c r="I93" s="15"/>
      <c r="J93" s="15"/>
      <c r="K93" s="15"/>
      <c r="L93" s="15"/>
      <c r="M93" s="15"/>
      <c r="N93" s="46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spans="1:28" ht="15.75" customHeight="1">
      <c r="A94" s="15"/>
      <c r="B94" s="15"/>
      <c r="C94" s="15"/>
      <c r="D94" s="16"/>
      <c r="E94" s="16"/>
      <c r="F94" s="15"/>
      <c r="G94" s="15"/>
      <c r="H94" s="15"/>
      <c r="I94" s="15"/>
      <c r="J94" s="15"/>
      <c r="K94" s="15"/>
      <c r="L94" s="15"/>
      <c r="M94" s="15"/>
      <c r="N94" s="46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 ht="15.75" customHeight="1">
      <c r="A95" s="15"/>
      <c r="B95" s="15"/>
      <c r="C95" s="15"/>
      <c r="D95" s="16"/>
      <c r="E95" s="16"/>
      <c r="F95" s="15"/>
      <c r="G95" s="15"/>
      <c r="H95" s="15"/>
      <c r="I95" s="15"/>
      <c r="J95" s="15"/>
      <c r="K95" s="15"/>
      <c r="L95" s="15"/>
      <c r="M95" s="15"/>
      <c r="N95" s="46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 ht="15.75" customHeight="1">
      <c r="A96" s="15"/>
      <c r="B96" s="15"/>
      <c r="C96" s="15"/>
      <c r="D96" s="16"/>
      <c r="E96" s="16"/>
      <c r="F96" s="15"/>
      <c r="G96" s="15"/>
      <c r="H96" s="15"/>
      <c r="I96" s="15"/>
      <c r="J96" s="15"/>
      <c r="K96" s="15"/>
      <c r="L96" s="15"/>
      <c r="M96" s="15"/>
      <c r="N96" s="46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1:28" ht="15.75" customHeight="1">
      <c r="A97" s="15"/>
      <c r="B97" s="15"/>
      <c r="C97" s="15"/>
      <c r="D97" s="16"/>
      <c r="E97" s="16"/>
      <c r="F97" s="15"/>
      <c r="G97" s="15"/>
      <c r="H97" s="15"/>
      <c r="I97" s="15"/>
      <c r="J97" s="15"/>
      <c r="K97" s="15"/>
      <c r="L97" s="15"/>
      <c r="M97" s="15"/>
      <c r="N97" s="46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 ht="15.75" customHeight="1">
      <c r="A98" s="15"/>
      <c r="B98" s="15"/>
      <c r="C98" s="15"/>
      <c r="D98" s="16"/>
      <c r="E98" s="16"/>
      <c r="F98" s="15"/>
      <c r="G98" s="15"/>
      <c r="H98" s="15"/>
      <c r="I98" s="15"/>
      <c r="J98" s="15"/>
      <c r="K98" s="15"/>
      <c r="L98" s="15"/>
      <c r="M98" s="15"/>
      <c r="N98" s="46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spans="1:28" ht="15.75" customHeight="1">
      <c r="A99" s="15"/>
      <c r="B99" s="15"/>
      <c r="C99" s="15"/>
      <c r="D99" s="16"/>
      <c r="E99" s="16"/>
      <c r="F99" s="15"/>
      <c r="G99" s="15"/>
      <c r="H99" s="15"/>
      <c r="I99" s="15"/>
      <c r="J99" s="15"/>
      <c r="K99" s="15"/>
      <c r="L99" s="15"/>
      <c r="M99" s="15"/>
      <c r="N99" s="46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 ht="15.75" customHeight="1">
      <c r="A100" s="15"/>
      <c r="B100" s="15"/>
      <c r="C100" s="15"/>
      <c r="D100" s="16"/>
      <c r="E100" s="16"/>
      <c r="F100" s="15"/>
      <c r="G100" s="15"/>
      <c r="H100" s="15"/>
      <c r="I100" s="15"/>
      <c r="J100" s="15"/>
      <c r="K100" s="15"/>
      <c r="L100" s="15"/>
      <c r="M100" s="15"/>
      <c r="N100" s="46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spans="1:28" ht="15.75" customHeight="1">
      <c r="A101" s="15"/>
      <c r="B101" s="15"/>
      <c r="C101" s="15"/>
      <c r="D101" s="16"/>
      <c r="E101" s="16"/>
      <c r="F101" s="15"/>
      <c r="G101" s="15"/>
      <c r="H101" s="15"/>
      <c r="I101" s="15"/>
      <c r="J101" s="15"/>
      <c r="K101" s="15"/>
      <c r="L101" s="15"/>
      <c r="M101" s="15"/>
      <c r="N101" s="46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spans="1:28" ht="15.75" customHeight="1">
      <c r="A102" s="15"/>
      <c r="B102" s="15"/>
      <c r="C102" s="15"/>
      <c r="D102" s="16"/>
      <c r="E102" s="16"/>
      <c r="F102" s="15"/>
      <c r="G102" s="15"/>
      <c r="H102" s="15"/>
      <c r="I102" s="15"/>
      <c r="J102" s="15"/>
      <c r="K102" s="15"/>
      <c r="L102" s="15"/>
      <c r="M102" s="15"/>
      <c r="N102" s="46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spans="1:28" ht="15.75" customHeight="1">
      <c r="A103" s="15"/>
      <c r="B103" s="15"/>
      <c r="C103" s="15"/>
      <c r="D103" s="16"/>
      <c r="E103" s="16"/>
      <c r="F103" s="15"/>
      <c r="G103" s="15"/>
      <c r="H103" s="15"/>
      <c r="I103" s="15"/>
      <c r="J103" s="15"/>
      <c r="K103" s="15"/>
      <c r="L103" s="15"/>
      <c r="M103" s="15"/>
      <c r="N103" s="46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spans="1:28" ht="15.75" customHeight="1">
      <c r="A104" s="15"/>
      <c r="B104" s="15"/>
      <c r="C104" s="15"/>
      <c r="D104" s="16"/>
      <c r="E104" s="16"/>
      <c r="F104" s="15"/>
      <c r="G104" s="15"/>
      <c r="H104" s="15"/>
      <c r="I104" s="15"/>
      <c r="J104" s="15"/>
      <c r="K104" s="15"/>
      <c r="L104" s="15"/>
      <c r="M104" s="15"/>
      <c r="N104" s="46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spans="1:28" ht="15.75" customHeight="1">
      <c r="A105" s="15"/>
      <c r="B105" s="15"/>
      <c r="C105" s="15"/>
      <c r="D105" s="16"/>
      <c r="E105" s="16"/>
      <c r="F105" s="15"/>
      <c r="G105" s="15"/>
      <c r="H105" s="15"/>
      <c r="I105" s="15"/>
      <c r="J105" s="15"/>
      <c r="K105" s="15"/>
      <c r="L105" s="15"/>
      <c r="M105" s="15"/>
      <c r="N105" s="46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spans="1:28" ht="15.75" customHeight="1">
      <c r="A106" s="15"/>
      <c r="B106" s="15"/>
      <c r="C106" s="15"/>
      <c r="D106" s="16"/>
      <c r="E106" s="16"/>
      <c r="F106" s="15"/>
      <c r="G106" s="15"/>
      <c r="H106" s="15"/>
      <c r="I106" s="15"/>
      <c r="J106" s="15"/>
      <c r="K106" s="15"/>
      <c r="L106" s="15"/>
      <c r="M106" s="15"/>
      <c r="N106" s="46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spans="1:28" ht="15.75" customHeight="1">
      <c r="A107" s="15"/>
      <c r="B107" s="15"/>
      <c r="C107" s="15"/>
      <c r="D107" s="16"/>
      <c r="E107" s="16"/>
      <c r="F107" s="15"/>
      <c r="G107" s="15"/>
      <c r="H107" s="15"/>
      <c r="I107" s="15"/>
      <c r="J107" s="15"/>
      <c r="K107" s="15"/>
      <c r="L107" s="15"/>
      <c r="M107" s="15"/>
      <c r="N107" s="46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spans="1:28" ht="15.75" customHeight="1">
      <c r="A108" s="15"/>
      <c r="B108" s="15"/>
      <c r="C108" s="15"/>
      <c r="D108" s="16"/>
      <c r="E108" s="16"/>
      <c r="F108" s="15"/>
      <c r="G108" s="15"/>
      <c r="H108" s="15"/>
      <c r="I108" s="15"/>
      <c r="J108" s="15"/>
      <c r="K108" s="15"/>
      <c r="L108" s="15"/>
      <c r="M108" s="15"/>
      <c r="N108" s="46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spans="1:28" ht="15.75" customHeight="1">
      <c r="A109" s="15"/>
      <c r="B109" s="15"/>
      <c r="C109" s="15"/>
      <c r="D109" s="16"/>
      <c r="E109" s="16"/>
      <c r="F109" s="15"/>
      <c r="G109" s="15"/>
      <c r="H109" s="15"/>
      <c r="I109" s="15"/>
      <c r="J109" s="15"/>
      <c r="K109" s="15"/>
      <c r="L109" s="15"/>
      <c r="M109" s="15"/>
      <c r="N109" s="46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spans="1:28" ht="15.75" customHeight="1">
      <c r="A110" s="15"/>
      <c r="B110" s="15"/>
      <c r="C110" s="15"/>
      <c r="D110" s="16"/>
      <c r="E110" s="16"/>
      <c r="F110" s="15"/>
      <c r="G110" s="15"/>
      <c r="H110" s="15"/>
      <c r="I110" s="15"/>
      <c r="J110" s="15"/>
      <c r="K110" s="15"/>
      <c r="L110" s="15"/>
      <c r="M110" s="15"/>
      <c r="N110" s="46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spans="1:28" ht="15.75" customHeight="1">
      <c r="A111" s="15"/>
      <c r="B111" s="15"/>
      <c r="C111" s="15"/>
      <c r="D111" s="16"/>
      <c r="E111" s="16"/>
      <c r="F111" s="15"/>
      <c r="G111" s="15"/>
      <c r="H111" s="15"/>
      <c r="I111" s="15"/>
      <c r="J111" s="15"/>
      <c r="K111" s="15"/>
      <c r="L111" s="15"/>
      <c r="M111" s="15"/>
      <c r="N111" s="46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spans="1:28" ht="15.75" customHeight="1">
      <c r="A112" s="15"/>
      <c r="B112" s="15"/>
      <c r="C112" s="15"/>
      <c r="D112" s="16"/>
      <c r="E112" s="16"/>
      <c r="F112" s="15"/>
      <c r="G112" s="15"/>
      <c r="H112" s="15"/>
      <c r="I112" s="15"/>
      <c r="J112" s="15"/>
      <c r="K112" s="15"/>
      <c r="L112" s="15"/>
      <c r="M112" s="15"/>
      <c r="N112" s="46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spans="1:28" ht="15.75" customHeight="1">
      <c r="A113" s="15"/>
      <c r="B113" s="15"/>
      <c r="C113" s="15"/>
      <c r="D113" s="16"/>
      <c r="E113" s="16"/>
      <c r="F113" s="15"/>
      <c r="G113" s="15"/>
      <c r="H113" s="15"/>
      <c r="I113" s="15"/>
      <c r="J113" s="15"/>
      <c r="K113" s="15"/>
      <c r="L113" s="15"/>
      <c r="M113" s="15"/>
      <c r="N113" s="46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 ht="15.75" customHeight="1">
      <c r="A114" s="15"/>
      <c r="B114" s="15"/>
      <c r="C114" s="15"/>
      <c r="D114" s="16"/>
      <c r="E114" s="16"/>
      <c r="F114" s="15"/>
      <c r="G114" s="15"/>
      <c r="H114" s="15"/>
      <c r="I114" s="15"/>
      <c r="J114" s="15"/>
      <c r="K114" s="15"/>
      <c r="L114" s="15"/>
      <c r="M114" s="15"/>
      <c r="N114" s="46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spans="1:28" ht="15.75" customHeight="1">
      <c r="A115" s="15"/>
      <c r="B115" s="15"/>
      <c r="C115" s="15"/>
      <c r="D115" s="16"/>
      <c r="E115" s="16"/>
      <c r="F115" s="15"/>
      <c r="G115" s="15"/>
      <c r="H115" s="15"/>
      <c r="I115" s="15"/>
      <c r="J115" s="15"/>
      <c r="K115" s="15"/>
      <c r="L115" s="15"/>
      <c r="M115" s="15"/>
      <c r="N115" s="46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spans="1:28" ht="15.75" customHeight="1">
      <c r="A116" s="15"/>
      <c r="B116" s="15"/>
      <c r="C116" s="15"/>
      <c r="D116" s="16"/>
      <c r="E116" s="16"/>
      <c r="F116" s="15"/>
      <c r="G116" s="15"/>
      <c r="H116" s="15"/>
      <c r="I116" s="15"/>
      <c r="J116" s="15"/>
      <c r="K116" s="15"/>
      <c r="L116" s="15"/>
      <c r="M116" s="15"/>
      <c r="N116" s="46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spans="1:28" ht="15.75" customHeight="1">
      <c r="A117" s="15"/>
      <c r="B117" s="15"/>
      <c r="C117" s="15"/>
      <c r="D117" s="16"/>
      <c r="E117" s="16"/>
      <c r="F117" s="15"/>
      <c r="G117" s="15"/>
      <c r="H117" s="15"/>
      <c r="I117" s="15"/>
      <c r="J117" s="15"/>
      <c r="K117" s="15"/>
      <c r="L117" s="15"/>
      <c r="M117" s="15"/>
      <c r="N117" s="46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spans="1:28" ht="15.75" customHeight="1">
      <c r="A118" s="15"/>
      <c r="B118" s="15"/>
      <c r="C118" s="15"/>
      <c r="D118" s="16"/>
      <c r="E118" s="16"/>
      <c r="F118" s="15"/>
      <c r="G118" s="15"/>
      <c r="H118" s="15"/>
      <c r="I118" s="15"/>
      <c r="J118" s="15"/>
      <c r="K118" s="15"/>
      <c r="L118" s="15"/>
      <c r="M118" s="15"/>
      <c r="N118" s="46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spans="1:28" ht="15.75" customHeight="1">
      <c r="A119" s="15"/>
      <c r="B119" s="15"/>
      <c r="C119" s="15"/>
      <c r="D119" s="16"/>
      <c r="E119" s="16"/>
      <c r="F119" s="15"/>
      <c r="G119" s="15"/>
      <c r="H119" s="15"/>
      <c r="I119" s="15"/>
      <c r="J119" s="15"/>
      <c r="K119" s="15"/>
      <c r="L119" s="15"/>
      <c r="M119" s="15"/>
      <c r="N119" s="46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spans="1:28" ht="15.75" customHeight="1">
      <c r="A120" s="15"/>
      <c r="B120" s="15"/>
      <c r="C120" s="15"/>
      <c r="D120" s="16"/>
      <c r="E120" s="16"/>
      <c r="F120" s="15"/>
      <c r="G120" s="15"/>
      <c r="H120" s="15"/>
      <c r="I120" s="15"/>
      <c r="J120" s="15"/>
      <c r="K120" s="15"/>
      <c r="L120" s="15"/>
      <c r="M120" s="15"/>
      <c r="N120" s="46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spans="1:28" ht="15.75" customHeight="1">
      <c r="A121" s="15"/>
      <c r="B121" s="15"/>
      <c r="C121" s="15"/>
      <c r="D121" s="16"/>
      <c r="E121" s="16"/>
      <c r="F121" s="15"/>
      <c r="G121" s="15"/>
      <c r="H121" s="15"/>
      <c r="I121" s="15"/>
      <c r="J121" s="15"/>
      <c r="K121" s="15"/>
      <c r="L121" s="15"/>
      <c r="M121" s="15"/>
      <c r="N121" s="46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spans="1:28" ht="15.75" customHeight="1">
      <c r="A122" s="15"/>
      <c r="B122" s="15"/>
      <c r="C122" s="15"/>
      <c r="D122" s="16"/>
      <c r="E122" s="16"/>
      <c r="F122" s="15"/>
      <c r="G122" s="15"/>
      <c r="H122" s="15"/>
      <c r="I122" s="15"/>
      <c r="J122" s="15"/>
      <c r="K122" s="15"/>
      <c r="L122" s="15"/>
      <c r="M122" s="15"/>
      <c r="N122" s="46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28" ht="15.75" customHeight="1">
      <c r="A123" s="15"/>
      <c r="B123" s="15"/>
      <c r="C123" s="15"/>
      <c r="D123" s="16"/>
      <c r="E123" s="16"/>
      <c r="F123" s="15"/>
      <c r="G123" s="15"/>
      <c r="H123" s="15"/>
      <c r="I123" s="15"/>
      <c r="J123" s="15"/>
      <c r="K123" s="15"/>
      <c r="L123" s="15"/>
      <c r="M123" s="15"/>
      <c r="N123" s="46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 ht="15.75" customHeight="1">
      <c r="A124" s="15"/>
      <c r="B124" s="15"/>
      <c r="C124" s="15"/>
      <c r="D124" s="16"/>
      <c r="E124" s="16"/>
      <c r="F124" s="15"/>
      <c r="G124" s="15"/>
      <c r="H124" s="15"/>
      <c r="I124" s="15"/>
      <c r="J124" s="15"/>
      <c r="K124" s="15"/>
      <c r="L124" s="15"/>
      <c r="M124" s="15"/>
      <c r="N124" s="46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spans="1:28" ht="15.75" customHeight="1">
      <c r="A125" s="15"/>
      <c r="B125" s="15"/>
      <c r="C125" s="15"/>
      <c r="D125" s="16"/>
      <c r="E125" s="16"/>
      <c r="F125" s="15"/>
      <c r="G125" s="15"/>
      <c r="H125" s="15"/>
      <c r="I125" s="15"/>
      <c r="J125" s="15"/>
      <c r="K125" s="15"/>
      <c r="L125" s="15"/>
      <c r="M125" s="15"/>
      <c r="N125" s="46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 ht="15.75" customHeight="1">
      <c r="A126" s="15"/>
      <c r="B126" s="15"/>
      <c r="C126" s="15"/>
      <c r="D126" s="16"/>
      <c r="E126" s="16"/>
      <c r="F126" s="15"/>
      <c r="G126" s="15"/>
      <c r="H126" s="15"/>
      <c r="I126" s="15"/>
      <c r="J126" s="15"/>
      <c r="K126" s="15"/>
      <c r="L126" s="15"/>
      <c r="M126" s="15"/>
      <c r="N126" s="46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 ht="15.75" customHeight="1">
      <c r="A127" s="15"/>
      <c r="B127" s="15"/>
      <c r="C127" s="15"/>
      <c r="D127" s="16"/>
      <c r="E127" s="16"/>
      <c r="F127" s="15"/>
      <c r="G127" s="15"/>
      <c r="H127" s="15"/>
      <c r="I127" s="15"/>
      <c r="J127" s="15"/>
      <c r="K127" s="15"/>
      <c r="L127" s="15"/>
      <c r="M127" s="15"/>
      <c r="N127" s="46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 ht="15.75" customHeight="1">
      <c r="A128" s="15"/>
      <c r="B128" s="15"/>
      <c r="C128" s="15"/>
      <c r="D128" s="16"/>
      <c r="E128" s="16"/>
      <c r="F128" s="15"/>
      <c r="G128" s="15"/>
      <c r="H128" s="15"/>
      <c r="I128" s="15"/>
      <c r="J128" s="15"/>
      <c r="K128" s="15"/>
      <c r="L128" s="15"/>
      <c r="M128" s="15"/>
      <c r="N128" s="46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28" ht="15.75" customHeight="1">
      <c r="A129" s="15"/>
      <c r="B129" s="15"/>
      <c r="C129" s="15"/>
      <c r="D129" s="16"/>
      <c r="E129" s="16"/>
      <c r="F129" s="15"/>
      <c r="G129" s="15"/>
      <c r="H129" s="15"/>
      <c r="I129" s="15"/>
      <c r="J129" s="15"/>
      <c r="K129" s="15"/>
      <c r="L129" s="15"/>
      <c r="M129" s="15"/>
      <c r="N129" s="46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spans="1:28" ht="15.75" customHeight="1">
      <c r="A130" s="15"/>
      <c r="B130" s="15"/>
      <c r="C130" s="15"/>
      <c r="D130" s="16"/>
      <c r="E130" s="16"/>
      <c r="F130" s="15"/>
      <c r="G130" s="15"/>
      <c r="H130" s="15"/>
      <c r="I130" s="15"/>
      <c r="J130" s="15"/>
      <c r="K130" s="15"/>
      <c r="L130" s="15"/>
      <c r="M130" s="15"/>
      <c r="N130" s="46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spans="1:28" ht="15.75" customHeight="1">
      <c r="A131" s="15"/>
      <c r="B131" s="15"/>
      <c r="C131" s="15"/>
      <c r="D131" s="16"/>
      <c r="E131" s="16"/>
      <c r="F131" s="15"/>
      <c r="G131" s="15"/>
      <c r="H131" s="15"/>
      <c r="I131" s="15"/>
      <c r="J131" s="15"/>
      <c r="K131" s="15"/>
      <c r="L131" s="15"/>
      <c r="M131" s="15"/>
      <c r="N131" s="46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 ht="15.75" customHeight="1">
      <c r="A132" s="15"/>
      <c r="B132" s="15"/>
      <c r="C132" s="15"/>
      <c r="D132" s="16"/>
      <c r="E132" s="16"/>
      <c r="F132" s="15"/>
      <c r="G132" s="15"/>
      <c r="H132" s="15"/>
      <c r="I132" s="15"/>
      <c r="J132" s="15"/>
      <c r="K132" s="15"/>
      <c r="L132" s="15"/>
      <c r="M132" s="15"/>
      <c r="N132" s="46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28" ht="15.75" customHeight="1">
      <c r="A133" s="15"/>
      <c r="B133" s="15"/>
      <c r="C133" s="15"/>
      <c r="D133" s="16"/>
      <c r="E133" s="16"/>
      <c r="F133" s="15"/>
      <c r="G133" s="15"/>
      <c r="H133" s="15"/>
      <c r="I133" s="15"/>
      <c r="J133" s="15"/>
      <c r="K133" s="15"/>
      <c r="L133" s="15"/>
      <c r="M133" s="15"/>
      <c r="N133" s="46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28" ht="15.75" customHeight="1">
      <c r="A134" s="15"/>
      <c r="B134" s="15"/>
      <c r="C134" s="15"/>
      <c r="D134" s="16"/>
      <c r="E134" s="16"/>
      <c r="F134" s="15"/>
      <c r="G134" s="15"/>
      <c r="H134" s="15"/>
      <c r="I134" s="15"/>
      <c r="J134" s="15"/>
      <c r="K134" s="15"/>
      <c r="L134" s="15"/>
      <c r="M134" s="15"/>
      <c r="N134" s="46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 ht="15.75" customHeight="1">
      <c r="A135" s="15"/>
      <c r="B135" s="15"/>
      <c r="C135" s="15"/>
      <c r="D135" s="16"/>
      <c r="E135" s="16"/>
      <c r="F135" s="15"/>
      <c r="G135" s="15"/>
      <c r="H135" s="15"/>
      <c r="I135" s="15"/>
      <c r="J135" s="15"/>
      <c r="K135" s="15"/>
      <c r="L135" s="15"/>
      <c r="M135" s="15"/>
      <c r="N135" s="46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 ht="15.75" customHeight="1">
      <c r="A136" s="15"/>
      <c r="B136" s="15"/>
      <c r="C136" s="15"/>
      <c r="D136" s="16"/>
      <c r="E136" s="16"/>
      <c r="F136" s="15"/>
      <c r="G136" s="15"/>
      <c r="H136" s="15"/>
      <c r="I136" s="15"/>
      <c r="J136" s="15"/>
      <c r="K136" s="15"/>
      <c r="L136" s="15"/>
      <c r="M136" s="15"/>
      <c r="N136" s="46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 ht="15.75" customHeight="1">
      <c r="A137" s="15"/>
      <c r="B137" s="15"/>
      <c r="C137" s="15"/>
      <c r="D137" s="16"/>
      <c r="E137" s="16"/>
      <c r="F137" s="15"/>
      <c r="G137" s="15"/>
      <c r="H137" s="15"/>
      <c r="I137" s="15"/>
      <c r="J137" s="15"/>
      <c r="K137" s="15"/>
      <c r="L137" s="15"/>
      <c r="M137" s="15"/>
      <c r="N137" s="46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spans="1:28" ht="15.75" customHeight="1">
      <c r="A138" s="15"/>
      <c r="B138" s="15"/>
      <c r="C138" s="15"/>
      <c r="D138" s="16"/>
      <c r="E138" s="16"/>
      <c r="F138" s="15"/>
      <c r="G138" s="15"/>
      <c r="H138" s="15"/>
      <c r="I138" s="15"/>
      <c r="J138" s="15"/>
      <c r="K138" s="15"/>
      <c r="L138" s="15"/>
      <c r="M138" s="15"/>
      <c r="N138" s="46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spans="1:28" ht="15.75" customHeight="1">
      <c r="A139" s="15"/>
      <c r="B139" s="15"/>
      <c r="C139" s="15"/>
      <c r="D139" s="16"/>
      <c r="E139" s="16"/>
      <c r="F139" s="15"/>
      <c r="G139" s="15"/>
      <c r="H139" s="15"/>
      <c r="I139" s="15"/>
      <c r="J139" s="15"/>
      <c r="K139" s="15"/>
      <c r="L139" s="15"/>
      <c r="M139" s="15"/>
      <c r="N139" s="46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 ht="15.75" customHeight="1">
      <c r="A140" s="15"/>
      <c r="B140" s="15"/>
      <c r="C140" s="15"/>
      <c r="D140" s="16"/>
      <c r="E140" s="16"/>
      <c r="F140" s="15"/>
      <c r="G140" s="15"/>
      <c r="H140" s="15"/>
      <c r="I140" s="15"/>
      <c r="J140" s="15"/>
      <c r="K140" s="15"/>
      <c r="L140" s="15"/>
      <c r="M140" s="15"/>
      <c r="N140" s="46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 ht="15.75" customHeight="1">
      <c r="A141" s="15"/>
      <c r="B141" s="15"/>
      <c r="C141" s="15"/>
      <c r="D141" s="16"/>
      <c r="E141" s="16"/>
      <c r="F141" s="15"/>
      <c r="G141" s="15"/>
      <c r="H141" s="15"/>
      <c r="I141" s="15"/>
      <c r="J141" s="15"/>
      <c r="K141" s="15"/>
      <c r="L141" s="15"/>
      <c r="M141" s="15"/>
      <c r="N141" s="46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 ht="15.75" customHeight="1">
      <c r="A142" s="15"/>
      <c r="B142" s="15"/>
      <c r="C142" s="15"/>
      <c r="D142" s="16"/>
      <c r="E142" s="16"/>
      <c r="F142" s="15"/>
      <c r="G142" s="15"/>
      <c r="H142" s="15"/>
      <c r="I142" s="15"/>
      <c r="J142" s="15"/>
      <c r="K142" s="15"/>
      <c r="L142" s="15"/>
      <c r="M142" s="15"/>
      <c r="N142" s="46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 ht="15.75" customHeight="1">
      <c r="A143" s="15"/>
      <c r="B143" s="15"/>
      <c r="C143" s="15"/>
      <c r="D143" s="16"/>
      <c r="E143" s="16"/>
      <c r="F143" s="15"/>
      <c r="G143" s="15"/>
      <c r="H143" s="15"/>
      <c r="I143" s="15"/>
      <c r="J143" s="15"/>
      <c r="K143" s="15"/>
      <c r="L143" s="15"/>
      <c r="M143" s="15"/>
      <c r="N143" s="46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 ht="15.75" customHeight="1">
      <c r="A144" s="15"/>
      <c r="B144" s="15"/>
      <c r="C144" s="15"/>
      <c r="D144" s="16"/>
      <c r="E144" s="16"/>
      <c r="F144" s="15"/>
      <c r="G144" s="15"/>
      <c r="H144" s="15"/>
      <c r="I144" s="15"/>
      <c r="J144" s="15"/>
      <c r="K144" s="15"/>
      <c r="L144" s="15"/>
      <c r="M144" s="15"/>
      <c r="N144" s="46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 ht="15.75" customHeight="1">
      <c r="A145" s="15"/>
      <c r="B145" s="15"/>
      <c r="C145" s="15"/>
      <c r="D145" s="16"/>
      <c r="E145" s="16"/>
      <c r="F145" s="15"/>
      <c r="G145" s="15"/>
      <c r="H145" s="15"/>
      <c r="I145" s="15"/>
      <c r="J145" s="15"/>
      <c r="K145" s="15"/>
      <c r="L145" s="15"/>
      <c r="M145" s="15"/>
      <c r="N145" s="46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 ht="15.75" customHeight="1">
      <c r="A146" s="15"/>
      <c r="B146" s="15"/>
      <c r="C146" s="15"/>
      <c r="D146" s="16"/>
      <c r="E146" s="16"/>
      <c r="F146" s="15"/>
      <c r="G146" s="15"/>
      <c r="H146" s="15"/>
      <c r="I146" s="15"/>
      <c r="J146" s="15"/>
      <c r="K146" s="15"/>
      <c r="L146" s="15"/>
      <c r="M146" s="15"/>
      <c r="N146" s="46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28" ht="15.75" customHeight="1">
      <c r="A147" s="15"/>
      <c r="B147" s="15"/>
      <c r="C147" s="15"/>
      <c r="D147" s="16"/>
      <c r="E147" s="16"/>
      <c r="F147" s="15"/>
      <c r="G147" s="15"/>
      <c r="H147" s="15"/>
      <c r="I147" s="15"/>
      <c r="J147" s="15"/>
      <c r="K147" s="15"/>
      <c r="L147" s="15"/>
      <c r="M147" s="15"/>
      <c r="N147" s="46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 ht="15.75" customHeight="1">
      <c r="A148" s="15"/>
      <c r="B148" s="15"/>
      <c r="C148" s="15"/>
      <c r="D148" s="16"/>
      <c r="E148" s="16"/>
      <c r="F148" s="15"/>
      <c r="G148" s="15"/>
      <c r="H148" s="15"/>
      <c r="I148" s="15"/>
      <c r="J148" s="15"/>
      <c r="K148" s="15"/>
      <c r="L148" s="15"/>
      <c r="M148" s="15"/>
      <c r="N148" s="46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 ht="15.75" customHeight="1">
      <c r="A149" s="15"/>
      <c r="B149" s="15"/>
      <c r="C149" s="15"/>
      <c r="D149" s="16"/>
      <c r="E149" s="16"/>
      <c r="F149" s="15"/>
      <c r="G149" s="15"/>
      <c r="H149" s="15"/>
      <c r="I149" s="15"/>
      <c r="J149" s="15"/>
      <c r="K149" s="15"/>
      <c r="L149" s="15"/>
      <c r="M149" s="15"/>
      <c r="N149" s="46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 ht="15.75" customHeight="1">
      <c r="A150" s="15"/>
      <c r="B150" s="15"/>
      <c r="C150" s="15"/>
      <c r="D150" s="16"/>
      <c r="E150" s="16"/>
      <c r="F150" s="15"/>
      <c r="G150" s="15"/>
      <c r="H150" s="15"/>
      <c r="I150" s="15"/>
      <c r="J150" s="15"/>
      <c r="K150" s="15"/>
      <c r="L150" s="15"/>
      <c r="M150" s="15"/>
      <c r="N150" s="46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 ht="15.75" customHeight="1">
      <c r="A151" s="15"/>
      <c r="B151" s="15"/>
      <c r="C151" s="15"/>
      <c r="D151" s="16"/>
      <c r="E151" s="16"/>
      <c r="F151" s="15"/>
      <c r="G151" s="15"/>
      <c r="H151" s="15"/>
      <c r="I151" s="15"/>
      <c r="J151" s="15"/>
      <c r="K151" s="15"/>
      <c r="L151" s="15"/>
      <c r="M151" s="15"/>
      <c r="N151" s="46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 ht="15.75" customHeight="1">
      <c r="A152" s="15"/>
      <c r="B152" s="15"/>
      <c r="C152" s="15"/>
      <c r="D152" s="16"/>
      <c r="E152" s="16"/>
      <c r="F152" s="15"/>
      <c r="G152" s="15"/>
      <c r="H152" s="15"/>
      <c r="I152" s="15"/>
      <c r="J152" s="15"/>
      <c r="K152" s="15"/>
      <c r="L152" s="15"/>
      <c r="M152" s="15"/>
      <c r="N152" s="46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 ht="15.75" customHeight="1">
      <c r="A153" s="15"/>
      <c r="B153" s="15"/>
      <c r="C153" s="15"/>
      <c r="D153" s="16"/>
      <c r="E153" s="16"/>
      <c r="F153" s="15"/>
      <c r="G153" s="15"/>
      <c r="H153" s="15"/>
      <c r="I153" s="15"/>
      <c r="J153" s="15"/>
      <c r="K153" s="15"/>
      <c r="L153" s="15"/>
      <c r="M153" s="15"/>
      <c r="N153" s="46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 ht="15.75" customHeight="1">
      <c r="A154" s="15"/>
      <c r="B154" s="15"/>
      <c r="C154" s="15"/>
      <c r="D154" s="16"/>
      <c r="E154" s="16"/>
      <c r="F154" s="15"/>
      <c r="G154" s="15"/>
      <c r="H154" s="15"/>
      <c r="I154" s="15"/>
      <c r="J154" s="15"/>
      <c r="K154" s="15"/>
      <c r="L154" s="15"/>
      <c r="M154" s="15"/>
      <c r="N154" s="46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 ht="15.75" customHeight="1">
      <c r="A155" s="15"/>
      <c r="B155" s="15"/>
      <c r="C155" s="15"/>
      <c r="D155" s="16"/>
      <c r="E155" s="16"/>
      <c r="F155" s="15"/>
      <c r="G155" s="15"/>
      <c r="H155" s="15"/>
      <c r="I155" s="15"/>
      <c r="J155" s="15"/>
      <c r="K155" s="15"/>
      <c r="L155" s="15"/>
      <c r="M155" s="15"/>
      <c r="N155" s="46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 ht="15.75" customHeight="1">
      <c r="A156" s="15"/>
      <c r="B156" s="15"/>
      <c r="C156" s="15"/>
      <c r="D156" s="16"/>
      <c r="E156" s="16"/>
      <c r="F156" s="15"/>
      <c r="G156" s="15"/>
      <c r="H156" s="15"/>
      <c r="I156" s="15"/>
      <c r="J156" s="15"/>
      <c r="K156" s="15"/>
      <c r="L156" s="15"/>
      <c r="M156" s="15"/>
      <c r="N156" s="46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 ht="15.75" customHeight="1">
      <c r="A157" s="15"/>
      <c r="B157" s="15"/>
      <c r="C157" s="15"/>
      <c r="D157" s="16"/>
      <c r="E157" s="16"/>
      <c r="F157" s="15"/>
      <c r="G157" s="15"/>
      <c r="H157" s="15"/>
      <c r="I157" s="15"/>
      <c r="J157" s="15"/>
      <c r="K157" s="15"/>
      <c r="L157" s="15"/>
      <c r="M157" s="15"/>
      <c r="N157" s="46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 ht="15.75" customHeight="1">
      <c r="A158" s="15"/>
      <c r="B158" s="15"/>
      <c r="C158" s="15"/>
      <c r="D158" s="16"/>
      <c r="E158" s="16"/>
      <c r="F158" s="15"/>
      <c r="G158" s="15"/>
      <c r="H158" s="15"/>
      <c r="I158" s="15"/>
      <c r="J158" s="15"/>
      <c r="K158" s="15"/>
      <c r="L158" s="15"/>
      <c r="M158" s="15"/>
      <c r="N158" s="46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 ht="15.75" customHeight="1">
      <c r="A159" s="15"/>
      <c r="B159" s="15"/>
      <c r="C159" s="15"/>
      <c r="D159" s="16"/>
      <c r="E159" s="16"/>
      <c r="F159" s="15"/>
      <c r="G159" s="15"/>
      <c r="H159" s="15"/>
      <c r="I159" s="15"/>
      <c r="J159" s="15"/>
      <c r="K159" s="15"/>
      <c r="L159" s="15"/>
      <c r="M159" s="15"/>
      <c r="N159" s="46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 ht="15.75" customHeight="1">
      <c r="A160" s="15"/>
      <c r="B160" s="15"/>
      <c r="C160" s="15"/>
      <c r="D160" s="16"/>
      <c r="E160" s="16"/>
      <c r="F160" s="15"/>
      <c r="G160" s="15"/>
      <c r="H160" s="15"/>
      <c r="I160" s="15"/>
      <c r="J160" s="15"/>
      <c r="K160" s="15"/>
      <c r="L160" s="15"/>
      <c r="M160" s="15"/>
      <c r="N160" s="46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 ht="15.75" customHeight="1">
      <c r="A161" s="15"/>
      <c r="B161" s="15"/>
      <c r="C161" s="15"/>
      <c r="D161" s="16"/>
      <c r="E161" s="16"/>
      <c r="F161" s="15"/>
      <c r="G161" s="15"/>
      <c r="H161" s="15"/>
      <c r="I161" s="15"/>
      <c r="J161" s="15"/>
      <c r="K161" s="15"/>
      <c r="L161" s="15"/>
      <c r="M161" s="15"/>
      <c r="N161" s="46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 ht="15.75" customHeight="1">
      <c r="A162" s="15"/>
      <c r="B162" s="15"/>
      <c r="C162" s="15"/>
      <c r="D162" s="16"/>
      <c r="E162" s="16"/>
      <c r="F162" s="15"/>
      <c r="G162" s="15"/>
      <c r="H162" s="15"/>
      <c r="I162" s="15"/>
      <c r="J162" s="15"/>
      <c r="K162" s="15"/>
      <c r="L162" s="15"/>
      <c r="M162" s="15"/>
      <c r="N162" s="46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 ht="15.75" customHeight="1">
      <c r="A163" s="15"/>
      <c r="B163" s="15"/>
      <c r="C163" s="15"/>
      <c r="D163" s="16"/>
      <c r="E163" s="16"/>
      <c r="F163" s="15"/>
      <c r="G163" s="15"/>
      <c r="H163" s="15"/>
      <c r="I163" s="15"/>
      <c r="J163" s="15"/>
      <c r="K163" s="15"/>
      <c r="L163" s="15"/>
      <c r="M163" s="15"/>
      <c r="N163" s="46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 ht="15.75" customHeight="1">
      <c r="A164" s="15"/>
      <c r="B164" s="15"/>
      <c r="C164" s="15"/>
      <c r="D164" s="16"/>
      <c r="E164" s="16"/>
      <c r="F164" s="15"/>
      <c r="G164" s="15"/>
      <c r="H164" s="15"/>
      <c r="I164" s="15"/>
      <c r="J164" s="15"/>
      <c r="K164" s="15"/>
      <c r="L164" s="15"/>
      <c r="M164" s="15"/>
      <c r="N164" s="46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 ht="15.75" customHeight="1">
      <c r="A165" s="15"/>
      <c r="B165" s="15"/>
      <c r="C165" s="15"/>
      <c r="D165" s="16"/>
      <c r="E165" s="16"/>
      <c r="F165" s="15"/>
      <c r="G165" s="15"/>
      <c r="H165" s="15"/>
      <c r="I165" s="15"/>
      <c r="J165" s="15"/>
      <c r="K165" s="15"/>
      <c r="L165" s="15"/>
      <c r="M165" s="15"/>
      <c r="N165" s="46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 ht="15.75" customHeight="1">
      <c r="A166" s="15"/>
      <c r="B166" s="15"/>
      <c r="C166" s="15"/>
      <c r="D166" s="16"/>
      <c r="E166" s="16"/>
      <c r="F166" s="15"/>
      <c r="G166" s="15"/>
      <c r="H166" s="15"/>
      <c r="I166" s="15"/>
      <c r="J166" s="15"/>
      <c r="K166" s="15"/>
      <c r="L166" s="15"/>
      <c r="M166" s="15"/>
      <c r="N166" s="46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 ht="15.75" customHeight="1">
      <c r="A167" s="15"/>
      <c r="B167" s="15"/>
      <c r="C167" s="15"/>
      <c r="D167" s="16"/>
      <c r="E167" s="16"/>
      <c r="F167" s="15"/>
      <c r="G167" s="15"/>
      <c r="H167" s="15"/>
      <c r="I167" s="15"/>
      <c r="J167" s="15"/>
      <c r="K167" s="15"/>
      <c r="L167" s="15"/>
      <c r="M167" s="15"/>
      <c r="N167" s="46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 ht="15.75" customHeight="1">
      <c r="A168" s="15"/>
      <c r="B168" s="15"/>
      <c r="C168" s="15"/>
      <c r="D168" s="16"/>
      <c r="E168" s="16"/>
      <c r="F168" s="15"/>
      <c r="G168" s="15"/>
      <c r="H168" s="15"/>
      <c r="I168" s="15"/>
      <c r="J168" s="15"/>
      <c r="K168" s="15"/>
      <c r="L168" s="15"/>
      <c r="M168" s="15"/>
      <c r="N168" s="46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 ht="15.75" customHeight="1">
      <c r="A169" s="15"/>
      <c r="B169" s="15"/>
      <c r="C169" s="15"/>
      <c r="D169" s="16"/>
      <c r="E169" s="16"/>
      <c r="F169" s="15"/>
      <c r="G169" s="15"/>
      <c r="H169" s="15"/>
      <c r="I169" s="15"/>
      <c r="J169" s="15"/>
      <c r="K169" s="15"/>
      <c r="L169" s="15"/>
      <c r="M169" s="15"/>
      <c r="N169" s="46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 ht="15.75" customHeight="1">
      <c r="A170" s="15"/>
      <c r="B170" s="15"/>
      <c r="C170" s="15"/>
      <c r="D170" s="16"/>
      <c r="E170" s="16"/>
      <c r="F170" s="15"/>
      <c r="G170" s="15"/>
      <c r="H170" s="15"/>
      <c r="I170" s="15"/>
      <c r="J170" s="15"/>
      <c r="K170" s="15"/>
      <c r="L170" s="15"/>
      <c r="M170" s="15"/>
      <c r="N170" s="46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 ht="15.75" customHeight="1">
      <c r="A171" s="15"/>
      <c r="B171" s="15"/>
      <c r="C171" s="15"/>
      <c r="D171" s="16"/>
      <c r="E171" s="16"/>
      <c r="F171" s="15"/>
      <c r="G171" s="15"/>
      <c r="H171" s="15"/>
      <c r="I171" s="15"/>
      <c r="J171" s="15"/>
      <c r="K171" s="15"/>
      <c r="L171" s="15"/>
      <c r="M171" s="15"/>
      <c r="N171" s="46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 ht="15.75" customHeight="1">
      <c r="A172" s="15"/>
      <c r="B172" s="15"/>
      <c r="C172" s="15"/>
      <c r="D172" s="16"/>
      <c r="E172" s="16"/>
      <c r="F172" s="15"/>
      <c r="G172" s="15"/>
      <c r="H172" s="15"/>
      <c r="I172" s="15"/>
      <c r="J172" s="15"/>
      <c r="K172" s="15"/>
      <c r="L172" s="15"/>
      <c r="M172" s="15"/>
      <c r="N172" s="46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 ht="15.75" customHeight="1">
      <c r="A173" s="15"/>
      <c r="B173" s="15"/>
      <c r="C173" s="15"/>
      <c r="D173" s="16"/>
      <c r="E173" s="16"/>
      <c r="F173" s="15"/>
      <c r="G173" s="15"/>
      <c r="H173" s="15"/>
      <c r="I173" s="15"/>
      <c r="J173" s="15"/>
      <c r="K173" s="15"/>
      <c r="L173" s="15"/>
      <c r="M173" s="15"/>
      <c r="N173" s="46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 ht="15.75" customHeight="1">
      <c r="A174" s="15"/>
      <c r="B174" s="15"/>
      <c r="C174" s="15"/>
      <c r="D174" s="16"/>
      <c r="E174" s="16"/>
      <c r="F174" s="15"/>
      <c r="G174" s="15"/>
      <c r="H174" s="15"/>
      <c r="I174" s="15"/>
      <c r="J174" s="15"/>
      <c r="K174" s="15"/>
      <c r="L174" s="15"/>
      <c r="M174" s="15"/>
      <c r="N174" s="46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 ht="15.75" customHeight="1">
      <c r="A175" s="15"/>
      <c r="B175" s="15"/>
      <c r="C175" s="15"/>
      <c r="D175" s="16"/>
      <c r="E175" s="16"/>
      <c r="F175" s="15"/>
      <c r="G175" s="15"/>
      <c r="H175" s="15"/>
      <c r="I175" s="15"/>
      <c r="J175" s="15"/>
      <c r="K175" s="15"/>
      <c r="L175" s="15"/>
      <c r="M175" s="15"/>
      <c r="N175" s="46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 ht="15.75" customHeight="1">
      <c r="A176" s="15"/>
      <c r="B176" s="15"/>
      <c r="C176" s="15"/>
      <c r="D176" s="16"/>
      <c r="E176" s="16"/>
      <c r="F176" s="15"/>
      <c r="G176" s="15"/>
      <c r="H176" s="15"/>
      <c r="I176" s="15"/>
      <c r="J176" s="15"/>
      <c r="K176" s="15"/>
      <c r="L176" s="15"/>
      <c r="M176" s="15"/>
      <c r="N176" s="46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 ht="15.75" customHeight="1">
      <c r="A177" s="15"/>
      <c r="B177" s="15"/>
      <c r="C177" s="15"/>
      <c r="D177" s="16"/>
      <c r="E177" s="16"/>
      <c r="F177" s="15"/>
      <c r="G177" s="15"/>
      <c r="H177" s="15"/>
      <c r="I177" s="15"/>
      <c r="J177" s="15"/>
      <c r="K177" s="15"/>
      <c r="L177" s="15"/>
      <c r="M177" s="15"/>
      <c r="N177" s="46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 ht="15.75" customHeight="1">
      <c r="A178" s="15"/>
      <c r="B178" s="15"/>
      <c r="C178" s="15"/>
      <c r="D178" s="16"/>
      <c r="E178" s="16"/>
      <c r="F178" s="15"/>
      <c r="G178" s="15"/>
      <c r="H178" s="15"/>
      <c r="I178" s="15"/>
      <c r="J178" s="15"/>
      <c r="K178" s="15"/>
      <c r="L178" s="15"/>
      <c r="M178" s="15"/>
      <c r="N178" s="46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 ht="15.75" customHeight="1">
      <c r="A179" s="15"/>
      <c r="B179" s="15"/>
      <c r="C179" s="15"/>
      <c r="D179" s="16"/>
      <c r="E179" s="16"/>
      <c r="F179" s="15"/>
      <c r="G179" s="15"/>
      <c r="H179" s="15"/>
      <c r="I179" s="15"/>
      <c r="J179" s="15"/>
      <c r="K179" s="15"/>
      <c r="L179" s="15"/>
      <c r="M179" s="15"/>
      <c r="N179" s="46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 ht="15.75" customHeight="1">
      <c r="A180" s="15"/>
      <c r="B180" s="15"/>
      <c r="C180" s="15"/>
      <c r="D180" s="16"/>
      <c r="E180" s="16"/>
      <c r="F180" s="15"/>
      <c r="G180" s="15"/>
      <c r="H180" s="15"/>
      <c r="I180" s="15"/>
      <c r="J180" s="15"/>
      <c r="K180" s="15"/>
      <c r="L180" s="15"/>
      <c r="M180" s="15"/>
      <c r="N180" s="46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 ht="15.75" customHeight="1">
      <c r="A181" s="15"/>
      <c r="B181" s="15"/>
      <c r="C181" s="15"/>
      <c r="D181" s="16"/>
      <c r="E181" s="16"/>
      <c r="F181" s="15"/>
      <c r="G181" s="15"/>
      <c r="H181" s="15"/>
      <c r="I181" s="15"/>
      <c r="J181" s="15"/>
      <c r="K181" s="15"/>
      <c r="L181" s="15"/>
      <c r="M181" s="15"/>
      <c r="N181" s="46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 ht="15.75" customHeight="1">
      <c r="A182" s="15"/>
      <c r="B182" s="15"/>
      <c r="C182" s="15"/>
      <c r="D182" s="16"/>
      <c r="E182" s="16"/>
      <c r="F182" s="15"/>
      <c r="G182" s="15"/>
      <c r="H182" s="15"/>
      <c r="I182" s="15"/>
      <c r="J182" s="15"/>
      <c r="K182" s="15"/>
      <c r="L182" s="15"/>
      <c r="M182" s="15"/>
      <c r="N182" s="46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 ht="15.75" customHeight="1">
      <c r="A183" s="15"/>
      <c r="B183" s="15"/>
      <c r="C183" s="15"/>
      <c r="D183" s="16"/>
      <c r="E183" s="16"/>
      <c r="F183" s="15"/>
      <c r="G183" s="15"/>
      <c r="H183" s="15"/>
      <c r="I183" s="15"/>
      <c r="J183" s="15"/>
      <c r="K183" s="15"/>
      <c r="L183" s="15"/>
      <c r="M183" s="15"/>
      <c r="N183" s="46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 ht="15.75" customHeight="1">
      <c r="A184" s="15"/>
      <c r="B184" s="15"/>
      <c r="C184" s="15"/>
      <c r="D184" s="16"/>
      <c r="E184" s="16"/>
      <c r="F184" s="15"/>
      <c r="G184" s="15"/>
      <c r="H184" s="15"/>
      <c r="I184" s="15"/>
      <c r="J184" s="15"/>
      <c r="K184" s="15"/>
      <c r="L184" s="15"/>
      <c r="M184" s="15"/>
      <c r="N184" s="46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 ht="15.75" customHeight="1">
      <c r="A185" s="15"/>
      <c r="B185" s="15"/>
      <c r="C185" s="15"/>
      <c r="D185" s="16"/>
      <c r="E185" s="16"/>
      <c r="F185" s="15"/>
      <c r="G185" s="15"/>
      <c r="H185" s="15"/>
      <c r="I185" s="15"/>
      <c r="J185" s="15"/>
      <c r="K185" s="15"/>
      <c r="L185" s="15"/>
      <c r="M185" s="15"/>
      <c r="N185" s="46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 ht="15.75" customHeight="1">
      <c r="A186" s="15"/>
      <c r="B186" s="15"/>
      <c r="C186" s="15"/>
      <c r="D186" s="16"/>
      <c r="E186" s="16"/>
      <c r="F186" s="15"/>
      <c r="G186" s="15"/>
      <c r="H186" s="15"/>
      <c r="I186" s="15"/>
      <c r="J186" s="15"/>
      <c r="K186" s="15"/>
      <c r="L186" s="15"/>
      <c r="M186" s="15"/>
      <c r="N186" s="46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 ht="15.75" customHeight="1">
      <c r="A187" s="15"/>
      <c r="B187" s="15"/>
      <c r="C187" s="15"/>
      <c r="D187" s="16"/>
      <c r="E187" s="16"/>
      <c r="F187" s="15"/>
      <c r="G187" s="15"/>
      <c r="H187" s="15"/>
      <c r="I187" s="15"/>
      <c r="J187" s="15"/>
      <c r="K187" s="15"/>
      <c r="L187" s="15"/>
      <c r="M187" s="15"/>
      <c r="N187" s="46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 ht="15.75" customHeight="1">
      <c r="A188" s="15"/>
      <c r="B188" s="15"/>
      <c r="C188" s="15"/>
      <c r="D188" s="16"/>
      <c r="E188" s="16"/>
      <c r="F188" s="15"/>
      <c r="G188" s="15"/>
      <c r="H188" s="15"/>
      <c r="I188" s="15"/>
      <c r="J188" s="15"/>
      <c r="K188" s="15"/>
      <c r="L188" s="15"/>
      <c r="M188" s="15"/>
      <c r="N188" s="46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 ht="15.75" customHeight="1">
      <c r="A189" s="15"/>
      <c r="B189" s="15"/>
      <c r="C189" s="15"/>
      <c r="D189" s="16"/>
      <c r="E189" s="16"/>
      <c r="F189" s="15"/>
      <c r="G189" s="15"/>
      <c r="H189" s="15"/>
      <c r="I189" s="15"/>
      <c r="J189" s="15"/>
      <c r="K189" s="15"/>
      <c r="L189" s="15"/>
      <c r="M189" s="15"/>
      <c r="N189" s="46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 ht="15.75" customHeight="1">
      <c r="A190" s="15"/>
      <c r="B190" s="15"/>
      <c r="C190" s="15"/>
      <c r="D190" s="16"/>
      <c r="E190" s="16"/>
      <c r="F190" s="15"/>
      <c r="G190" s="15"/>
      <c r="H190" s="15"/>
      <c r="I190" s="15"/>
      <c r="J190" s="15"/>
      <c r="K190" s="15"/>
      <c r="L190" s="15"/>
      <c r="M190" s="15"/>
      <c r="N190" s="46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 ht="15.75" customHeight="1">
      <c r="A191" s="15"/>
      <c r="B191" s="15"/>
      <c r="C191" s="15"/>
      <c r="D191" s="16"/>
      <c r="E191" s="16"/>
      <c r="F191" s="15"/>
      <c r="G191" s="15"/>
      <c r="H191" s="15"/>
      <c r="I191" s="15"/>
      <c r="J191" s="15"/>
      <c r="K191" s="15"/>
      <c r="L191" s="15"/>
      <c r="M191" s="15"/>
      <c r="N191" s="46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 ht="15.75" customHeight="1">
      <c r="A192" s="15"/>
      <c r="B192" s="15"/>
      <c r="C192" s="15"/>
      <c r="D192" s="16"/>
      <c r="E192" s="16"/>
      <c r="F192" s="15"/>
      <c r="G192" s="15"/>
      <c r="H192" s="15"/>
      <c r="I192" s="15"/>
      <c r="J192" s="15"/>
      <c r="K192" s="15"/>
      <c r="L192" s="15"/>
      <c r="M192" s="15"/>
      <c r="N192" s="46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 ht="15.75" customHeight="1">
      <c r="A193" s="15"/>
      <c r="B193" s="15"/>
      <c r="C193" s="15"/>
      <c r="D193" s="16"/>
      <c r="E193" s="16"/>
      <c r="F193" s="15"/>
      <c r="G193" s="15"/>
      <c r="H193" s="15"/>
      <c r="I193" s="15"/>
      <c r="J193" s="15"/>
      <c r="K193" s="15"/>
      <c r="L193" s="15"/>
      <c r="M193" s="15"/>
      <c r="N193" s="46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 ht="15.75" customHeight="1">
      <c r="A194" s="15"/>
      <c r="B194" s="15"/>
      <c r="C194" s="15"/>
      <c r="D194" s="16"/>
      <c r="E194" s="16"/>
      <c r="F194" s="15"/>
      <c r="G194" s="15"/>
      <c r="H194" s="15"/>
      <c r="I194" s="15"/>
      <c r="J194" s="15"/>
      <c r="K194" s="15"/>
      <c r="L194" s="15"/>
      <c r="M194" s="15"/>
      <c r="N194" s="46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 ht="15.75" customHeight="1">
      <c r="A195" s="15"/>
      <c r="B195" s="15"/>
      <c r="C195" s="15"/>
      <c r="D195" s="16"/>
      <c r="E195" s="16"/>
      <c r="F195" s="15"/>
      <c r="G195" s="15"/>
      <c r="H195" s="15"/>
      <c r="I195" s="15"/>
      <c r="J195" s="15"/>
      <c r="K195" s="15"/>
      <c r="L195" s="15"/>
      <c r="M195" s="15"/>
      <c r="N195" s="46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 ht="15.75" customHeight="1">
      <c r="A196" s="15"/>
      <c r="B196" s="15"/>
      <c r="C196" s="15"/>
      <c r="D196" s="16"/>
      <c r="E196" s="16"/>
      <c r="F196" s="15"/>
      <c r="G196" s="15"/>
      <c r="H196" s="15"/>
      <c r="I196" s="15"/>
      <c r="J196" s="15"/>
      <c r="K196" s="15"/>
      <c r="L196" s="15"/>
      <c r="M196" s="15"/>
      <c r="N196" s="46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 ht="15.75" customHeight="1">
      <c r="A197" s="15"/>
      <c r="B197" s="15"/>
      <c r="C197" s="15"/>
      <c r="D197" s="16"/>
      <c r="E197" s="16"/>
      <c r="F197" s="15"/>
      <c r="G197" s="15"/>
      <c r="H197" s="15"/>
      <c r="I197" s="15"/>
      <c r="J197" s="15"/>
      <c r="K197" s="15"/>
      <c r="L197" s="15"/>
      <c r="M197" s="15"/>
      <c r="N197" s="46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5.75" customHeight="1">
      <c r="A198" s="15"/>
      <c r="B198" s="15"/>
      <c r="C198" s="15"/>
      <c r="D198" s="16"/>
      <c r="E198" s="16"/>
      <c r="F198" s="15"/>
      <c r="G198" s="15"/>
      <c r="H198" s="15"/>
      <c r="I198" s="15"/>
      <c r="J198" s="15"/>
      <c r="K198" s="15"/>
      <c r="L198" s="15"/>
      <c r="M198" s="15"/>
      <c r="N198" s="46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 ht="15.75" customHeight="1">
      <c r="A199" s="15"/>
      <c r="B199" s="15"/>
      <c r="C199" s="15"/>
      <c r="D199" s="16"/>
      <c r="E199" s="16"/>
      <c r="F199" s="15"/>
      <c r="G199" s="15"/>
      <c r="H199" s="15"/>
      <c r="I199" s="15"/>
      <c r="J199" s="15"/>
      <c r="K199" s="15"/>
      <c r="L199" s="15"/>
      <c r="M199" s="15"/>
      <c r="N199" s="46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 ht="15.75" customHeight="1">
      <c r="A200" s="15"/>
      <c r="B200" s="15"/>
      <c r="C200" s="15"/>
      <c r="D200" s="16"/>
      <c r="E200" s="16"/>
      <c r="F200" s="15"/>
      <c r="G200" s="15"/>
      <c r="H200" s="15"/>
      <c r="I200" s="15"/>
      <c r="J200" s="15"/>
      <c r="K200" s="15"/>
      <c r="L200" s="15"/>
      <c r="M200" s="15"/>
      <c r="N200" s="46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 ht="15.75" customHeight="1">
      <c r="A201" s="15"/>
      <c r="B201" s="15"/>
      <c r="C201" s="15"/>
      <c r="D201" s="16"/>
      <c r="E201" s="16"/>
      <c r="F201" s="15"/>
      <c r="G201" s="15"/>
      <c r="H201" s="15"/>
      <c r="I201" s="15"/>
      <c r="J201" s="15"/>
      <c r="K201" s="15"/>
      <c r="L201" s="15"/>
      <c r="M201" s="15"/>
      <c r="N201" s="46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 ht="15.75" customHeight="1">
      <c r="A202" s="15"/>
      <c r="B202" s="15"/>
      <c r="C202" s="15"/>
      <c r="D202" s="16"/>
      <c r="E202" s="16"/>
      <c r="F202" s="15"/>
      <c r="G202" s="15"/>
      <c r="H202" s="15"/>
      <c r="I202" s="15"/>
      <c r="J202" s="15"/>
      <c r="K202" s="15"/>
      <c r="L202" s="15"/>
      <c r="M202" s="15"/>
      <c r="N202" s="46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 ht="15.75" customHeight="1">
      <c r="A203" s="15"/>
      <c r="B203" s="15"/>
      <c r="C203" s="15"/>
      <c r="D203" s="16"/>
      <c r="E203" s="16"/>
      <c r="F203" s="15"/>
      <c r="G203" s="15"/>
      <c r="H203" s="15"/>
      <c r="I203" s="15"/>
      <c r="J203" s="15"/>
      <c r="K203" s="15"/>
      <c r="L203" s="15"/>
      <c r="M203" s="15"/>
      <c r="N203" s="46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 ht="15.75" customHeight="1">
      <c r="A204" s="15"/>
      <c r="B204" s="15"/>
      <c r="C204" s="15"/>
      <c r="D204" s="16"/>
      <c r="E204" s="16"/>
      <c r="F204" s="15"/>
      <c r="G204" s="15"/>
      <c r="H204" s="15"/>
      <c r="I204" s="15"/>
      <c r="J204" s="15"/>
      <c r="K204" s="15"/>
      <c r="L204" s="15"/>
      <c r="M204" s="15"/>
      <c r="N204" s="46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 ht="15.75" customHeight="1">
      <c r="A205" s="15"/>
      <c r="B205" s="15"/>
      <c r="C205" s="15"/>
      <c r="D205" s="16"/>
      <c r="E205" s="16"/>
      <c r="F205" s="15"/>
      <c r="G205" s="15"/>
      <c r="H205" s="15"/>
      <c r="I205" s="15"/>
      <c r="J205" s="15"/>
      <c r="K205" s="15"/>
      <c r="L205" s="15"/>
      <c r="M205" s="15"/>
      <c r="N205" s="46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 ht="15.75" customHeight="1">
      <c r="A206" s="15"/>
      <c r="B206" s="15"/>
      <c r="C206" s="15"/>
      <c r="D206" s="16"/>
      <c r="E206" s="16"/>
      <c r="F206" s="15"/>
      <c r="G206" s="15"/>
      <c r="H206" s="15"/>
      <c r="I206" s="15"/>
      <c r="J206" s="15"/>
      <c r="K206" s="15"/>
      <c r="L206" s="15"/>
      <c r="M206" s="15"/>
      <c r="N206" s="46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spans="1:28" ht="15.75" customHeight="1">
      <c r="A207" s="15"/>
      <c r="B207" s="15"/>
      <c r="C207" s="15"/>
      <c r="D207" s="16"/>
      <c r="E207" s="16"/>
      <c r="F207" s="15"/>
      <c r="G207" s="15"/>
      <c r="H207" s="15"/>
      <c r="I207" s="15"/>
      <c r="J207" s="15"/>
      <c r="K207" s="15"/>
      <c r="L207" s="15"/>
      <c r="M207" s="15"/>
      <c r="N207" s="46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 ht="15.75" customHeight="1">
      <c r="A208" s="15"/>
      <c r="B208" s="15"/>
      <c r="C208" s="15"/>
      <c r="D208" s="16"/>
      <c r="E208" s="16"/>
      <c r="F208" s="15"/>
      <c r="G208" s="15"/>
      <c r="H208" s="15"/>
      <c r="I208" s="15"/>
      <c r="J208" s="15"/>
      <c r="K208" s="15"/>
      <c r="L208" s="15"/>
      <c r="M208" s="15"/>
      <c r="N208" s="46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 ht="15.75" customHeight="1">
      <c r="A209" s="15"/>
      <c r="B209" s="15"/>
      <c r="C209" s="15"/>
      <c r="D209" s="16"/>
      <c r="E209" s="16"/>
      <c r="F209" s="15"/>
      <c r="G209" s="15"/>
      <c r="H209" s="15"/>
      <c r="I209" s="15"/>
      <c r="J209" s="15"/>
      <c r="K209" s="15"/>
      <c r="L209" s="15"/>
      <c r="M209" s="15"/>
      <c r="N209" s="46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spans="1:28" ht="15.75" customHeight="1">
      <c r="A210" s="15"/>
      <c r="B210" s="15"/>
      <c r="C210" s="15"/>
      <c r="D210" s="16"/>
      <c r="E210" s="16"/>
      <c r="F210" s="15"/>
      <c r="G210" s="15"/>
      <c r="H210" s="15"/>
      <c r="I210" s="15"/>
      <c r="J210" s="15"/>
      <c r="K210" s="15"/>
      <c r="L210" s="15"/>
      <c r="M210" s="15"/>
      <c r="N210" s="46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 ht="15.75" customHeight="1">
      <c r="A211" s="15"/>
      <c r="B211" s="15"/>
      <c r="C211" s="15"/>
      <c r="D211" s="16"/>
      <c r="E211" s="16"/>
      <c r="F211" s="15"/>
      <c r="G211" s="15"/>
      <c r="H211" s="15"/>
      <c r="I211" s="15"/>
      <c r="J211" s="15"/>
      <c r="K211" s="15"/>
      <c r="L211" s="15"/>
      <c r="M211" s="15"/>
      <c r="N211" s="46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 ht="15.75" customHeight="1">
      <c r="A212" s="15"/>
      <c r="B212" s="15"/>
      <c r="C212" s="15"/>
      <c r="D212" s="16"/>
      <c r="E212" s="16"/>
      <c r="F212" s="15"/>
      <c r="G212" s="15"/>
      <c r="H212" s="15"/>
      <c r="I212" s="15"/>
      <c r="J212" s="15"/>
      <c r="K212" s="15"/>
      <c r="L212" s="15"/>
      <c r="M212" s="15"/>
      <c r="N212" s="46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 ht="15.75" customHeight="1">
      <c r="A213" s="15"/>
      <c r="B213" s="15"/>
      <c r="C213" s="15"/>
      <c r="D213" s="16"/>
      <c r="E213" s="16"/>
      <c r="F213" s="15"/>
      <c r="G213" s="15"/>
      <c r="H213" s="15"/>
      <c r="I213" s="15"/>
      <c r="J213" s="15"/>
      <c r="K213" s="15"/>
      <c r="L213" s="15"/>
      <c r="M213" s="15"/>
      <c r="N213" s="46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 ht="15.75" customHeight="1">
      <c r="A214" s="15"/>
      <c r="B214" s="15"/>
      <c r="C214" s="15"/>
      <c r="D214" s="16"/>
      <c r="E214" s="16"/>
      <c r="F214" s="15"/>
      <c r="G214" s="15"/>
      <c r="H214" s="15"/>
      <c r="I214" s="15"/>
      <c r="J214" s="15"/>
      <c r="K214" s="15"/>
      <c r="L214" s="15"/>
      <c r="M214" s="15"/>
      <c r="N214" s="46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 ht="15.75" customHeight="1">
      <c r="A215" s="15"/>
      <c r="B215" s="15"/>
      <c r="C215" s="15"/>
      <c r="D215" s="16"/>
      <c r="E215" s="16"/>
      <c r="F215" s="15"/>
      <c r="G215" s="15"/>
      <c r="H215" s="15"/>
      <c r="I215" s="15"/>
      <c r="J215" s="15"/>
      <c r="K215" s="15"/>
      <c r="L215" s="15"/>
      <c r="M215" s="15"/>
      <c r="N215" s="46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 ht="15.75" customHeight="1">
      <c r="A216" s="15"/>
      <c r="B216" s="15"/>
      <c r="C216" s="15"/>
      <c r="D216" s="16"/>
      <c r="E216" s="16"/>
      <c r="F216" s="15"/>
      <c r="G216" s="15"/>
      <c r="H216" s="15"/>
      <c r="I216" s="15"/>
      <c r="J216" s="15"/>
      <c r="K216" s="15"/>
      <c r="L216" s="15"/>
      <c r="M216" s="15"/>
      <c r="N216" s="46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 ht="15.75" customHeight="1">
      <c r="A217" s="15"/>
      <c r="B217" s="15"/>
      <c r="C217" s="15"/>
      <c r="D217" s="16"/>
      <c r="E217" s="16"/>
      <c r="F217" s="15"/>
      <c r="G217" s="15"/>
      <c r="H217" s="15"/>
      <c r="I217" s="15"/>
      <c r="J217" s="15"/>
      <c r="K217" s="15"/>
      <c r="L217" s="15"/>
      <c r="M217" s="15"/>
      <c r="N217" s="46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 ht="15.75" customHeight="1">
      <c r="A218" s="15"/>
      <c r="B218" s="15"/>
      <c r="C218" s="15"/>
      <c r="D218" s="16"/>
      <c r="E218" s="16"/>
      <c r="F218" s="15"/>
      <c r="G218" s="15"/>
      <c r="H218" s="15"/>
      <c r="I218" s="15"/>
      <c r="J218" s="15"/>
      <c r="K218" s="15"/>
      <c r="L218" s="15"/>
      <c r="M218" s="15"/>
      <c r="N218" s="46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 ht="15.75" customHeight="1">
      <c r="A219" s="15"/>
      <c r="B219" s="15"/>
      <c r="C219" s="15"/>
      <c r="D219" s="16"/>
      <c r="E219" s="16"/>
      <c r="F219" s="15"/>
      <c r="G219" s="15"/>
      <c r="H219" s="15"/>
      <c r="I219" s="15"/>
      <c r="J219" s="15"/>
      <c r="K219" s="15"/>
      <c r="L219" s="15"/>
      <c r="M219" s="15"/>
      <c r="N219" s="46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 ht="15.75" customHeight="1">
      <c r="A220" s="15"/>
      <c r="B220" s="15"/>
      <c r="C220" s="15"/>
      <c r="D220" s="16"/>
      <c r="E220" s="16"/>
      <c r="F220" s="15"/>
      <c r="G220" s="15"/>
      <c r="H220" s="15"/>
      <c r="I220" s="15"/>
      <c r="J220" s="15"/>
      <c r="K220" s="15"/>
      <c r="L220" s="15"/>
      <c r="M220" s="15"/>
      <c r="N220" s="46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 ht="15.75" customHeight="1">
      <c r="A221" s="15"/>
      <c r="B221" s="15"/>
      <c r="C221" s="15"/>
      <c r="D221" s="16"/>
      <c r="E221" s="16"/>
      <c r="F221" s="15"/>
      <c r="G221" s="15"/>
      <c r="H221" s="15"/>
      <c r="I221" s="15"/>
      <c r="J221" s="15"/>
      <c r="K221" s="15"/>
      <c r="L221" s="15"/>
      <c r="M221" s="15"/>
      <c r="N221" s="46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 ht="15.75" customHeight="1">
      <c r="A222" s="15"/>
      <c r="B222" s="15"/>
      <c r="C222" s="15"/>
      <c r="D222" s="16"/>
      <c r="E222" s="16"/>
      <c r="F222" s="15"/>
      <c r="G222" s="15"/>
      <c r="H222" s="15"/>
      <c r="I222" s="15"/>
      <c r="J222" s="15"/>
      <c r="K222" s="15"/>
      <c r="L222" s="15"/>
      <c r="M222" s="15"/>
      <c r="N222" s="46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 ht="15.75" customHeight="1">
      <c r="A223" s="15"/>
      <c r="B223" s="15"/>
      <c r="C223" s="15"/>
      <c r="D223" s="16"/>
      <c r="E223" s="16"/>
      <c r="F223" s="15"/>
      <c r="G223" s="15"/>
      <c r="H223" s="15"/>
      <c r="I223" s="15"/>
      <c r="J223" s="15"/>
      <c r="K223" s="15"/>
      <c r="L223" s="15"/>
      <c r="M223" s="15"/>
      <c r="N223" s="46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 ht="15.75" customHeight="1">
      <c r="A224" s="15"/>
      <c r="B224" s="15"/>
      <c r="C224" s="15"/>
      <c r="D224" s="16"/>
      <c r="E224" s="16"/>
      <c r="F224" s="15"/>
      <c r="G224" s="15"/>
      <c r="H224" s="15"/>
      <c r="I224" s="15"/>
      <c r="J224" s="15"/>
      <c r="K224" s="15"/>
      <c r="L224" s="15"/>
      <c r="M224" s="15"/>
      <c r="N224" s="46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 ht="15.75" customHeight="1">
      <c r="A225" s="15"/>
      <c r="B225" s="15"/>
      <c r="C225" s="15"/>
      <c r="D225" s="16"/>
      <c r="E225" s="16"/>
      <c r="F225" s="15"/>
      <c r="G225" s="15"/>
      <c r="H225" s="15"/>
      <c r="I225" s="15"/>
      <c r="J225" s="15"/>
      <c r="K225" s="15"/>
      <c r="L225" s="15"/>
      <c r="M225" s="15"/>
      <c r="N225" s="46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 ht="15.75" customHeight="1">
      <c r="A226" s="15"/>
      <c r="B226" s="15"/>
      <c r="C226" s="15"/>
      <c r="D226" s="16"/>
      <c r="E226" s="16"/>
      <c r="F226" s="15"/>
      <c r="G226" s="15"/>
      <c r="H226" s="15"/>
      <c r="I226" s="15"/>
      <c r="J226" s="15"/>
      <c r="K226" s="15"/>
      <c r="L226" s="15"/>
      <c r="M226" s="15"/>
      <c r="N226" s="46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 ht="15.75" customHeight="1">
      <c r="A227" s="15"/>
      <c r="B227" s="15"/>
      <c r="C227" s="15"/>
      <c r="D227" s="16"/>
      <c r="E227" s="16"/>
      <c r="F227" s="15"/>
      <c r="G227" s="15"/>
      <c r="H227" s="15"/>
      <c r="I227" s="15"/>
      <c r="J227" s="15"/>
      <c r="K227" s="15"/>
      <c r="L227" s="15"/>
      <c r="M227" s="15"/>
      <c r="N227" s="46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spans="1:28" ht="15.75" customHeight="1">
      <c r="A228" s="15"/>
      <c r="B228" s="15"/>
      <c r="C228" s="15"/>
      <c r="D228" s="16"/>
      <c r="E228" s="16"/>
      <c r="F228" s="15"/>
      <c r="G228" s="15"/>
      <c r="H228" s="15"/>
      <c r="I228" s="15"/>
      <c r="J228" s="15"/>
      <c r="K228" s="15"/>
      <c r="L228" s="15"/>
      <c r="M228" s="15"/>
      <c r="N228" s="46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 ht="15.75" customHeight="1">
      <c r="A229" s="15"/>
      <c r="B229" s="15"/>
      <c r="C229" s="15"/>
      <c r="D229" s="16"/>
      <c r="E229" s="16"/>
      <c r="F229" s="15"/>
      <c r="G229" s="15"/>
      <c r="H229" s="15"/>
      <c r="I229" s="15"/>
      <c r="J229" s="15"/>
      <c r="K229" s="15"/>
      <c r="L229" s="15"/>
      <c r="M229" s="15"/>
      <c r="N229" s="46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 ht="15.75" customHeight="1">
      <c r="A230" s="15"/>
      <c r="B230" s="15"/>
      <c r="C230" s="15"/>
      <c r="D230" s="16"/>
      <c r="E230" s="16"/>
      <c r="F230" s="15"/>
      <c r="G230" s="15"/>
      <c r="H230" s="15"/>
      <c r="I230" s="15"/>
      <c r="J230" s="15"/>
      <c r="K230" s="15"/>
      <c r="L230" s="15"/>
      <c r="M230" s="15"/>
      <c r="N230" s="46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 ht="15.75" customHeight="1">
      <c r="A231" s="15"/>
      <c r="B231" s="15"/>
      <c r="C231" s="15"/>
      <c r="D231" s="16"/>
      <c r="E231" s="16"/>
      <c r="F231" s="15"/>
      <c r="G231" s="15"/>
      <c r="H231" s="15"/>
      <c r="I231" s="15"/>
      <c r="J231" s="15"/>
      <c r="K231" s="15"/>
      <c r="L231" s="15"/>
      <c r="M231" s="15"/>
      <c r="N231" s="46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 ht="15.75" customHeight="1">
      <c r="A232" s="15"/>
      <c r="B232" s="15"/>
      <c r="C232" s="15"/>
      <c r="D232" s="16"/>
      <c r="E232" s="16"/>
      <c r="F232" s="15"/>
      <c r="G232" s="15"/>
      <c r="H232" s="15"/>
      <c r="I232" s="15"/>
      <c r="J232" s="15"/>
      <c r="K232" s="15"/>
      <c r="L232" s="15"/>
      <c r="M232" s="15"/>
      <c r="N232" s="46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 ht="15.75" customHeight="1">
      <c r="A233" s="15"/>
      <c r="B233" s="15"/>
      <c r="C233" s="15"/>
      <c r="D233" s="16"/>
      <c r="E233" s="16"/>
      <c r="F233" s="15"/>
      <c r="G233" s="15"/>
      <c r="H233" s="15"/>
      <c r="I233" s="15"/>
      <c r="J233" s="15"/>
      <c r="K233" s="15"/>
      <c r="L233" s="15"/>
      <c r="M233" s="15"/>
      <c r="N233" s="46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 ht="15.75" customHeight="1">
      <c r="A234" s="15"/>
      <c r="B234" s="15"/>
      <c r="C234" s="15"/>
      <c r="D234" s="16"/>
      <c r="E234" s="16"/>
      <c r="F234" s="15"/>
      <c r="G234" s="15"/>
      <c r="H234" s="15"/>
      <c r="I234" s="15"/>
      <c r="J234" s="15"/>
      <c r="K234" s="15"/>
      <c r="L234" s="15"/>
      <c r="M234" s="15"/>
      <c r="N234" s="46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 ht="15.75" customHeight="1">
      <c r="A235" s="15"/>
      <c r="B235" s="15"/>
      <c r="C235" s="15"/>
      <c r="D235" s="16"/>
      <c r="E235" s="16"/>
      <c r="F235" s="15"/>
      <c r="G235" s="15"/>
      <c r="H235" s="15"/>
      <c r="I235" s="15"/>
      <c r="J235" s="15"/>
      <c r="K235" s="15"/>
      <c r="L235" s="15"/>
      <c r="M235" s="15"/>
      <c r="N235" s="46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 ht="15.75" customHeight="1">
      <c r="A236" s="15"/>
      <c r="B236" s="15"/>
      <c r="C236" s="15"/>
      <c r="D236" s="16"/>
      <c r="E236" s="16"/>
      <c r="F236" s="15"/>
      <c r="G236" s="15"/>
      <c r="H236" s="15"/>
      <c r="I236" s="15"/>
      <c r="J236" s="15"/>
      <c r="K236" s="15"/>
      <c r="L236" s="15"/>
      <c r="M236" s="15"/>
      <c r="N236" s="46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 ht="15.75" customHeight="1">
      <c r="A237" s="15"/>
      <c r="B237" s="15"/>
      <c r="C237" s="15"/>
      <c r="D237" s="16"/>
      <c r="E237" s="16"/>
      <c r="F237" s="15"/>
      <c r="G237" s="15"/>
      <c r="H237" s="15"/>
      <c r="I237" s="15"/>
      <c r="J237" s="15"/>
      <c r="K237" s="15"/>
      <c r="L237" s="15"/>
      <c r="M237" s="15"/>
      <c r="N237" s="46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 ht="15.75" customHeight="1">
      <c r="A238" s="15"/>
      <c r="B238" s="15"/>
      <c r="C238" s="15"/>
      <c r="D238" s="16"/>
      <c r="E238" s="16"/>
      <c r="F238" s="15"/>
      <c r="G238" s="15"/>
      <c r="H238" s="15"/>
      <c r="I238" s="15"/>
      <c r="J238" s="15"/>
      <c r="K238" s="15"/>
      <c r="L238" s="15"/>
      <c r="M238" s="15"/>
      <c r="N238" s="46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 ht="15.75" customHeight="1">
      <c r="A239" s="15"/>
      <c r="B239" s="15"/>
      <c r="C239" s="15"/>
      <c r="D239" s="16"/>
      <c r="E239" s="16"/>
      <c r="F239" s="15"/>
      <c r="G239" s="15"/>
      <c r="H239" s="15"/>
      <c r="I239" s="15"/>
      <c r="J239" s="15"/>
      <c r="K239" s="15"/>
      <c r="L239" s="15"/>
      <c r="M239" s="15"/>
      <c r="N239" s="46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 ht="15.75" customHeight="1">
      <c r="A240" s="15"/>
      <c r="B240" s="15"/>
      <c r="C240" s="15"/>
      <c r="D240" s="16"/>
      <c r="E240" s="16"/>
      <c r="F240" s="15"/>
      <c r="G240" s="15"/>
      <c r="H240" s="15"/>
      <c r="I240" s="15"/>
      <c r="J240" s="15"/>
      <c r="K240" s="15"/>
      <c r="L240" s="15"/>
      <c r="M240" s="15"/>
      <c r="N240" s="46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 ht="15.75" customHeight="1">
      <c r="A241" s="15"/>
      <c r="B241" s="15"/>
      <c r="C241" s="15"/>
      <c r="D241" s="16"/>
      <c r="E241" s="16"/>
      <c r="F241" s="15"/>
      <c r="G241" s="15"/>
      <c r="H241" s="15"/>
      <c r="I241" s="15"/>
      <c r="J241" s="15"/>
      <c r="K241" s="15"/>
      <c r="L241" s="15"/>
      <c r="M241" s="15"/>
      <c r="N241" s="46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 ht="15.75" customHeight="1">
      <c r="A242" s="15"/>
      <c r="B242" s="15"/>
      <c r="C242" s="15"/>
      <c r="D242" s="16"/>
      <c r="E242" s="16"/>
      <c r="F242" s="15"/>
      <c r="G242" s="15"/>
      <c r="H242" s="15"/>
      <c r="I242" s="15"/>
      <c r="J242" s="15"/>
      <c r="K242" s="15"/>
      <c r="L242" s="15"/>
      <c r="M242" s="15"/>
      <c r="N242" s="46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 ht="15.75" customHeight="1">
      <c r="A243" s="15"/>
      <c r="B243" s="15"/>
      <c r="C243" s="15"/>
      <c r="D243" s="16"/>
      <c r="E243" s="16"/>
      <c r="F243" s="15"/>
      <c r="G243" s="15"/>
      <c r="H243" s="15"/>
      <c r="I243" s="15"/>
      <c r="J243" s="15"/>
      <c r="K243" s="15"/>
      <c r="L243" s="15"/>
      <c r="M243" s="15"/>
      <c r="N243" s="46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 ht="15.75" customHeight="1">
      <c r="A244" s="15"/>
      <c r="B244" s="15"/>
      <c r="C244" s="15"/>
      <c r="D244" s="16"/>
      <c r="E244" s="16"/>
      <c r="F244" s="15"/>
      <c r="G244" s="15"/>
      <c r="H244" s="15"/>
      <c r="I244" s="15"/>
      <c r="J244" s="15"/>
      <c r="K244" s="15"/>
      <c r="L244" s="15"/>
      <c r="M244" s="15"/>
      <c r="N244" s="46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 ht="15.75" customHeight="1">
      <c r="A245" s="15"/>
      <c r="B245" s="15"/>
      <c r="C245" s="15"/>
      <c r="D245" s="16"/>
      <c r="E245" s="16"/>
      <c r="F245" s="15"/>
      <c r="G245" s="15"/>
      <c r="H245" s="15"/>
      <c r="I245" s="15"/>
      <c r="J245" s="15"/>
      <c r="K245" s="15"/>
      <c r="L245" s="15"/>
      <c r="M245" s="15"/>
      <c r="N245" s="46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 ht="15.75" customHeight="1">
      <c r="A246" s="15"/>
      <c r="B246" s="15"/>
      <c r="C246" s="15"/>
      <c r="D246" s="16"/>
      <c r="E246" s="16"/>
      <c r="F246" s="15"/>
      <c r="G246" s="15"/>
      <c r="H246" s="15"/>
      <c r="I246" s="15"/>
      <c r="J246" s="15"/>
      <c r="K246" s="15"/>
      <c r="L246" s="15"/>
      <c r="M246" s="15"/>
      <c r="N246" s="46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 ht="15.75" customHeight="1">
      <c r="A247" s="15"/>
      <c r="B247" s="15"/>
      <c r="C247" s="15"/>
      <c r="D247" s="16"/>
      <c r="E247" s="16"/>
      <c r="F247" s="15"/>
      <c r="G247" s="15"/>
      <c r="H247" s="15"/>
      <c r="I247" s="15"/>
      <c r="J247" s="15"/>
      <c r="K247" s="15"/>
      <c r="L247" s="15"/>
      <c r="M247" s="15"/>
      <c r="N247" s="46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 ht="15.75" customHeight="1">
      <c r="A248" s="15"/>
      <c r="B248" s="15"/>
      <c r="C248" s="15"/>
      <c r="D248" s="16"/>
      <c r="E248" s="16"/>
      <c r="F248" s="15"/>
      <c r="G248" s="15"/>
      <c r="H248" s="15"/>
      <c r="I248" s="15"/>
      <c r="J248" s="15"/>
      <c r="K248" s="15"/>
      <c r="L248" s="15"/>
      <c r="M248" s="15"/>
      <c r="N248" s="46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 ht="15.75" customHeight="1">
      <c r="A249" s="15"/>
      <c r="B249" s="15"/>
      <c r="C249" s="15"/>
      <c r="D249" s="16"/>
      <c r="E249" s="16"/>
      <c r="F249" s="15"/>
      <c r="G249" s="15"/>
      <c r="H249" s="15"/>
      <c r="I249" s="15"/>
      <c r="J249" s="15"/>
      <c r="K249" s="15"/>
      <c r="L249" s="15"/>
      <c r="M249" s="15"/>
      <c r="N249" s="46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 ht="15.75" customHeight="1">
      <c r="A250" s="15"/>
      <c r="B250" s="15"/>
      <c r="C250" s="15"/>
      <c r="D250" s="16"/>
      <c r="E250" s="16"/>
      <c r="F250" s="15"/>
      <c r="G250" s="15"/>
      <c r="H250" s="15"/>
      <c r="I250" s="15"/>
      <c r="J250" s="15"/>
      <c r="K250" s="15"/>
      <c r="L250" s="15"/>
      <c r="M250" s="15"/>
      <c r="N250" s="46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 ht="15.75" customHeight="1">
      <c r="A251" s="15"/>
      <c r="B251" s="15"/>
      <c r="C251" s="15"/>
      <c r="D251" s="16"/>
      <c r="E251" s="16"/>
      <c r="F251" s="15"/>
      <c r="G251" s="15"/>
      <c r="H251" s="15"/>
      <c r="I251" s="15"/>
      <c r="J251" s="15"/>
      <c r="K251" s="15"/>
      <c r="L251" s="15"/>
      <c r="M251" s="15"/>
      <c r="N251" s="46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 ht="15.75" customHeight="1">
      <c r="A252" s="15"/>
      <c r="B252" s="15"/>
      <c r="C252" s="15"/>
      <c r="D252" s="16"/>
      <c r="E252" s="16"/>
      <c r="F252" s="15"/>
      <c r="G252" s="15"/>
      <c r="H252" s="15"/>
      <c r="I252" s="15"/>
      <c r="J252" s="15"/>
      <c r="K252" s="15"/>
      <c r="L252" s="15"/>
      <c r="M252" s="15"/>
      <c r="N252" s="46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 ht="15.75" customHeight="1">
      <c r="A253" s="15"/>
      <c r="B253" s="15"/>
      <c r="C253" s="15"/>
      <c r="D253" s="16"/>
      <c r="E253" s="16"/>
      <c r="F253" s="15"/>
      <c r="G253" s="15"/>
      <c r="H253" s="15"/>
      <c r="I253" s="15"/>
      <c r="J253" s="15"/>
      <c r="K253" s="15"/>
      <c r="L253" s="15"/>
      <c r="M253" s="15"/>
      <c r="N253" s="46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 ht="15.75" customHeight="1">
      <c r="A254" s="15"/>
      <c r="B254" s="15"/>
      <c r="C254" s="15"/>
      <c r="D254" s="16"/>
      <c r="E254" s="16"/>
      <c r="F254" s="15"/>
      <c r="G254" s="15"/>
      <c r="H254" s="15"/>
      <c r="I254" s="15"/>
      <c r="J254" s="15"/>
      <c r="K254" s="15"/>
      <c r="L254" s="15"/>
      <c r="M254" s="15"/>
      <c r="N254" s="46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 ht="15.75" customHeight="1">
      <c r="A255" s="15"/>
      <c r="B255" s="15"/>
      <c r="C255" s="15"/>
      <c r="D255" s="16"/>
      <c r="E255" s="16"/>
      <c r="F255" s="15"/>
      <c r="G255" s="15"/>
      <c r="H255" s="15"/>
      <c r="I255" s="15"/>
      <c r="J255" s="15"/>
      <c r="K255" s="15"/>
      <c r="L255" s="15"/>
      <c r="M255" s="15"/>
      <c r="N255" s="46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 ht="15.75" customHeight="1">
      <c r="A256" s="15"/>
      <c r="B256" s="15"/>
      <c r="C256" s="15"/>
      <c r="D256" s="16"/>
      <c r="E256" s="16"/>
      <c r="F256" s="15"/>
      <c r="G256" s="15"/>
      <c r="H256" s="15"/>
      <c r="I256" s="15"/>
      <c r="J256" s="15"/>
      <c r="K256" s="15"/>
      <c r="L256" s="15"/>
      <c r="M256" s="15"/>
      <c r="N256" s="46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 ht="15.75" customHeight="1">
      <c r="A257" s="15"/>
      <c r="B257" s="15"/>
      <c r="C257" s="15"/>
      <c r="D257" s="16"/>
      <c r="E257" s="16"/>
      <c r="F257" s="15"/>
      <c r="G257" s="15"/>
      <c r="H257" s="15"/>
      <c r="I257" s="15"/>
      <c r="J257" s="15"/>
      <c r="K257" s="15"/>
      <c r="L257" s="15"/>
      <c r="M257" s="15"/>
      <c r="N257" s="46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 ht="15.75" customHeight="1">
      <c r="A258" s="15"/>
      <c r="B258" s="15"/>
      <c r="C258" s="15"/>
      <c r="D258" s="16"/>
      <c r="E258" s="16"/>
      <c r="F258" s="15"/>
      <c r="G258" s="15"/>
      <c r="H258" s="15"/>
      <c r="I258" s="15"/>
      <c r="J258" s="15"/>
      <c r="K258" s="15"/>
      <c r="L258" s="15"/>
      <c r="M258" s="15"/>
      <c r="N258" s="46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 ht="15.75" customHeight="1">
      <c r="A259" s="15"/>
      <c r="B259" s="15"/>
      <c r="C259" s="15"/>
      <c r="D259" s="16"/>
      <c r="E259" s="16"/>
      <c r="F259" s="15"/>
      <c r="G259" s="15"/>
      <c r="H259" s="15"/>
      <c r="I259" s="15"/>
      <c r="J259" s="15"/>
      <c r="K259" s="15"/>
      <c r="L259" s="15"/>
      <c r="M259" s="15"/>
      <c r="N259" s="46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 ht="15.75" customHeight="1">
      <c r="A260" s="15"/>
      <c r="B260" s="15"/>
      <c r="C260" s="15"/>
      <c r="D260" s="16"/>
      <c r="E260" s="16"/>
      <c r="F260" s="15"/>
      <c r="G260" s="15"/>
      <c r="H260" s="15"/>
      <c r="I260" s="15"/>
      <c r="J260" s="15"/>
      <c r="K260" s="15"/>
      <c r="L260" s="15"/>
      <c r="M260" s="15"/>
      <c r="N260" s="46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 ht="15.75" customHeight="1">
      <c r="A261" s="15"/>
      <c r="B261" s="15"/>
      <c r="C261" s="15"/>
      <c r="D261" s="16"/>
      <c r="E261" s="16"/>
      <c r="F261" s="15"/>
      <c r="G261" s="15"/>
      <c r="H261" s="15"/>
      <c r="I261" s="15"/>
      <c r="J261" s="15"/>
      <c r="K261" s="15"/>
      <c r="L261" s="15"/>
      <c r="M261" s="15"/>
      <c r="N261" s="46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 ht="15.75" customHeight="1">
      <c r="A262" s="15"/>
      <c r="B262" s="15"/>
      <c r="C262" s="15"/>
      <c r="D262" s="16"/>
      <c r="E262" s="16"/>
      <c r="F262" s="15"/>
      <c r="G262" s="15"/>
      <c r="H262" s="15"/>
      <c r="I262" s="15"/>
      <c r="J262" s="15"/>
      <c r="K262" s="15"/>
      <c r="L262" s="15"/>
      <c r="M262" s="15"/>
      <c r="N262" s="46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 ht="15.75" customHeight="1">
      <c r="A263" s="15"/>
      <c r="B263" s="15"/>
      <c r="C263" s="15"/>
      <c r="D263" s="16"/>
      <c r="E263" s="16"/>
      <c r="F263" s="15"/>
      <c r="G263" s="15"/>
      <c r="H263" s="15"/>
      <c r="I263" s="15"/>
      <c r="J263" s="15"/>
      <c r="K263" s="15"/>
      <c r="L263" s="15"/>
      <c r="M263" s="15"/>
      <c r="N263" s="46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 ht="15.75" customHeight="1">
      <c r="A264" s="15"/>
      <c r="B264" s="15"/>
      <c r="C264" s="15"/>
      <c r="D264" s="16"/>
      <c r="E264" s="16"/>
      <c r="F264" s="15"/>
      <c r="G264" s="15"/>
      <c r="H264" s="15"/>
      <c r="I264" s="15"/>
      <c r="J264" s="15"/>
      <c r="K264" s="15"/>
      <c r="L264" s="15"/>
      <c r="M264" s="15"/>
      <c r="N264" s="46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 ht="15.75" customHeight="1">
      <c r="A265" s="15"/>
      <c r="B265" s="15"/>
      <c r="C265" s="15"/>
      <c r="D265" s="16"/>
      <c r="E265" s="16"/>
      <c r="F265" s="15"/>
      <c r="G265" s="15"/>
      <c r="H265" s="15"/>
      <c r="I265" s="15"/>
      <c r="J265" s="15"/>
      <c r="K265" s="15"/>
      <c r="L265" s="15"/>
      <c r="M265" s="15"/>
      <c r="N265" s="46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 ht="15.75" customHeight="1">
      <c r="A266" s="15"/>
      <c r="B266" s="15"/>
      <c r="C266" s="15"/>
      <c r="D266" s="16"/>
      <c r="E266" s="16"/>
      <c r="F266" s="15"/>
      <c r="G266" s="15"/>
      <c r="H266" s="15"/>
      <c r="I266" s="15"/>
      <c r="J266" s="15"/>
      <c r="K266" s="15"/>
      <c r="L266" s="15"/>
      <c r="M266" s="15"/>
      <c r="N266" s="46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 ht="15.75" customHeight="1">
      <c r="A267" s="15"/>
      <c r="B267" s="15"/>
      <c r="C267" s="15"/>
      <c r="D267" s="16"/>
      <c r="E267" s="16"/>
      <c r="F267" s="15"/>
      <c r="G267" s="15"/>
      <c r="H267" s="15"/>
      <c r="I267" s="15"/>
      <c r="J267" s="15"/>
      <c r="K267" s="15"/>
      <c r="L267" s="15"/>
      <c r="M267" s="15"/>
      <c r="N267" s="46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 ht="15.75" customHeight="1">
      <c r="A268" s="15"/>
      <c r="B268" s="15"/>
      <c r="C268" s="15"/>
      <c r="D268" s="16"/>
      <c r="E268" s="16"/>
      <c r="F268" s="15"/>
      <c r="G268" s="15"/>
      <c r="H268" s="15"/>
      <c r="I268" s="15"/>
      <c r="J268" s="15"/>
      <c r="K268" s="15"/>
      <c r="L268" s="15"/>
      <c r="M268" s="15"/>
      <c r="N268" s="46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 ht="15.75" customHeight="1">
      <c r="A269" s="15"/>
      <c r="B269" s="15"/>
      <c r="C269" s="15"/>
      <c r="D269" s="16"/>
      <c r="E269" s="16"/>
      <c r="F269" s="15"/>
      <c r="G269" s="15"/>
      <c r="H269" s="15"/>
      <c r="I269" s="15"/>
      <c r="J269" s="15"/>
      <c r="K269" s="15"/>
      <c r="L269" s="15"/>
      <c r="M269" s="15"/>
      <c r="N269" s="46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 ht="15.75" customHeight="1">
      <c r="A270" s="15"/>
      <c r="B270" s="15"/>
      <c r="C270" s="15"/>
      <c r="D270" s="16"/>
      <c r="E270" s="16"/>
      <c r="F270" s="15"/>
      <c r="G270" s="15"/>
      <c r="H270" s="15"/>
      <c r="I270" s="15"/>
      <c r="J270" s="15"/>
      <c r="K270" s="15"/>
      <c r="L270" s="15"/>
      <c r="M270" s="15"/>
      <c r="N270" s="46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 ht="15.75" customHeight="1">
      <c r="A271" s="15"/>
      <c r="B271" s="15"/>
      <c r="C271" s="15"/>
      <c r="D271" s="16"/>
      <c r="E271" s="16"/>
      <c r="F271" s="15"/>
      <c r="G271" s="15"/>
      <c r="H271" s="15"/>
      <c r="I271" s="15"/>
      <c r="J271" s="15"/>
      <c r="K271" s="15"/>
      <c r="L271" s="15"/>
      <c r="M271" s="15"/>
      <c r="N271" s="46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 ht="15.75" customHeight="1">
      <c r="A272" s="15"/>
      <c r="B272" s="15"/>
      <c r="C272" s="15"/>
      <c r="D272" s="16"/>
      <c r="E272" s="16"/>
      <c r="F272" s="15"/>
      <c r="G272" s="15"/>
      <c r="H272" s="15"/>
      <c r="I272" s="15"/>
      <c r="J272" s="15"/>
      <c r="K272" s="15"/>
      <c r="L272" s="15"/>
      <c r="M272" s="15"/>
      <c r="N272" s="46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 ht="15.75" customHeight="1">
      <c r="A273" s="15"/>
      <c r="B273" s="15"/>
      <c r="C273" s="15"/>
      <c r="D273" s="16"/>
      <c r="E273" s="16"/>
      <c r="F273" s="15"/>
      <c r="G273" s="15"/>
      <c r="H273" s="15"/>
      <c r="I273" s="15"/>
      <c r="J273" s="15"/>
      <c r="K273" s="15"/>
      <c r="L273" s="15"/>
      <c r="M273" s="15"/>
      <c r="N273" s="46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 ht="15.75" customHeight="1">
      <c r="A274" s="15"/>
      <c r="B274" s="15"/>
      <c r="C274" s="15"/>
      <c r="D274" s="16"/>
      <c r="E274" s="16"/>
      <c r="F274" s="15"/>
      <c r="G274" s="15"/>
      <c r="H274" s="15"/>
      <c r="I274" s="15"/>
      <c r="J274" s="15"/>
      <c r="K274" s="15"/>
      <c r="L274" s="15"/>
      <c r="M274" s="15"/>
      <c r="N274" s="46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 ht="15.75" customHeight="1">
      <c r="A275" s="15"/>
      <c r="B275" s="15"/>
      <c r="C275" s="15"/>
      <c r="D275" s="16"/>
      <c r="E275" s="16"/>
      <c r="F275" s="15"/>
      <c r="G275" s="15"/>
      <c r="H275" s="15"/>
      <c r="I275" s="15"/>
      <c r="J275" s="15"/>
      <c r="K275" s="15"/>
      <c r="L275" s="15"/>
      <c r="M275" s="15"/>
      <c r="N275" s="46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 ht="15.75" customHeight="1">
      <c r="A276" s="15"/>
      <c r="B276" s="15"/>
      <c r="C276" s="15"/>
      <c r="D276" s="16"/>
      <c r="E276" s="16"/>
      <c r="F276" s="15"/>
      <c r="G276" s="15"/>
      <c r="H276" s="15"/>
      <c r="I276" s="15"/>
      <c r="J276" s="15"/>
      <c r="K276" s="15"/>
      <c r="L276" s="15"/>
      <c r="M276" s="15"/>
      <c r="N276" s="46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 ht="15.75" customHeight="1">
      <c r="A277" s="15"/>
      <c r="B277" s="15"/>
      <c r="C277" s="15"/>
      <c r="D277" s="16"/>
      <c r="E277" s="16"/>
      <c r="F277" s="15"/>
      <c r="G277" s="15"/>
      <c r="H277" s="15"/>
      <c r="I277" s="15"/>
      <c r="J277" s="15"/>
      <c r="K277" s="15"/>
      <c r="L277" s="15"/>
      <c r="M277" s="15"/>
      <c r="N277" s="46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 ht="15.75" customHeight="1">
      <c r="A278" s="15"/>
      <c r="B278" s="15"/>
      <c r="C278" s="15"/>
      <c r="D278" s="16"/>
      <c r="E278" s="16"/>
      <c r="F278" s="15"/>
      <c r="G278" s="15"/>
      <c r="H278" s="15"/>
      <c r="I278" s="15"/>
      <c r="J278" s="15"/>
      <c r="K278" s="15"/>
      <c r="L278" s="15"/>
      <c r="M278" s="15"/>
      <c r="N278" s="46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 ht="15.75" customHeight="1">
      <c r="A279" s="15"/>
      <c r="B279" s="15"/>
      <c r="C279" s="15"/>
      <c r="D279" s="16"/>
      <c r="E279" s="16"/>
      <c r="F279" s="15"/>
      <c r="G279" s="15"/>
      <c r="H279" s="15"/>
      <c r="I279" s="15"/>
      <c r="J279" s="15"/>
      <c r="K279" s="15"/>
      <c r="L279" s="15"/>
      <c r="M279" s="15"/>
      <c r="N279" s="46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 ht="15.75" customHeight="1">
      <c r="A280" s="15"/>
      <c r="B280" s="15"/>
      <c r="C280" s="15"/>
      <c r="D280" s="16"/>
      <c r="E280" s="16"/>
      <c r="F280" s="15"/>
      <c r="G280" s="15"/>
      <c r="H280" s="15"/>
      <c r="I280" s="15"/>
      <c r="J280" s="15"/>
      <c r="K280" s="15"/>
      <c r="L280" s="15"/>
      <c r="M280" s="15"/>
      <c r="N280" s="46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 ht="15.75" customHeight="1">
      <c r="A281" s="15"/>
      <c r="B281" s="15"/>
      <c r="C281" s="15"/>
      <c r="D281" s="16"/>
      <c r="E281" s="16"/>
      <c r="F281" s="15"/>
      <c r="G281" s="15"/>
      <c r="H281" s="15"/>
      <c r="I281" s="15"/>
      <c r="J281" s="15"/>
      <c r="K281" s="15"/>
      <c r="L281" s="15"/>
      <c r="M281" s="15"/>
      <c r="N281" s="46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 ht="15.75" customHeight="1">
      <c r="A282" s="15"/>
      <c r="B282" s="15"/>
      <c r="C282" s="15"/>
      <c r="D282" s="16"/>
      <c r="E282" s="16"/>
      <c r="F282" s="15"/>
      <c r="G282" s="15"/>
      <c r="H282" s="15"/>
      <c r="I282" s="15"/>
      <c r="J282" s="15"/>
      <c r="K282" s="15"/>
      <c r="L282" s="15"/>
      <c r="M282" s="15"/>
      <c r="N282" s="46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 ht="15.75" customHeight="1">
      <c r="A283" s="15"/>
      <c r="B283" s="15"/>
      <c r="C283" s="15"/>
      <c r="D283" s="16"/>
      <c r="E283" s="16"/>
      <c r="F283" s="15"/>
      <c r="G283" s="15"/>
      <c r="H283" s="15"/>
      <c r="I283" s="15"/>
      <c r="J283" s="15"/>
      <c r="K283" s="15"/>
      <c r="L283" s="15"/>
      <c r="M283" s="15"/>
      <c r="N283" s="46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 ht="15.75" customHeight="1">
      <c r="A284" s="15"/>
      <c r="B284" s="15"/>
      <c r="C284" s="15"/>
      <c r="D284" s="16"/>
      <c r="E284" s="16"/>
      <c r="F284" s="15"/>
      <c r="G284" s="15"/>
      <c r="H284" s="15"/>
      <c r="I284" s="15"/>
      <c r="J284" s="15"/>
      <c r="K284" s="15"/>
      <c r="L284" s="15"/>
      <c r="M284" s="15"/>
      <c r="N284" s="46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 ht="15.75" customHeight="1">
      <c r="A285" s="15"/>
      <c r="B285" s="15"/>
      <c r="C285" s="15"/>
      <c r="D285" s="16"/>
      <c r="E285" s="16"/>
      <c r="F285" s="15"/>
      <c r="G285" s="15"/>
      <c r="H285" s="15"/>
      <c r="I285" s="15"/>
      <c r="J285" s="15"/>
      <c r="K285" s="15"/>
      <c r="L285" s="15"/>
      <c r="M285" s="15"/>
      <c r="N285" s="46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 ht="15.75" customHeight="1">
      <c r="A286" s="15"/>
      <c r="B286" s="15"/>
      <c r="C286" s="15"/>
      <c r="D286" s="16"/>
      <c r="E286" s="16"/>
      <c r="F286" s="15"/>
      <c r="G286" s="15"/>
      <c r="H286" s="15"/>
      <c r="I286" s="15"/>
      <c r="J286" s="15"/>
      <c r="K286" s="15"/>
      <c r="L286" s="15"/>
      <c r="M286" s="15"/>
      <c r="N286" s="46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spans="1:28" ht="15.75" customHeight="1">
      <c r="A287" s="15"/>
      <c r="B287" s="15"/>
      <c r="C287" s="15"/>
      <c r="D287" s="16"/>
      <c r="E287" s="16"/>
      <c r="F287" s="15"/>
      <c r="G287" s="15"/>
      <c r="H287" s="15"/>
      <c r="I287" s="15"/>
      <c r="J287" s="15"/>
      <c r="K287" s="15"/>
      <c r="L287" s="15"/>
      <c r="M287" s="15"/>
      <c r="N287" s="46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15.75" customHeight="1">
      <c r="A288" s="15"/>
      <c r="B288" s="15"/>
      <c r="C288" s="15"/>
      <c r="D288" s="16"/>
      <c r="E288" s="16"/>
      <c r="F288" s="15"/>
      <c r="G288" s="15"/>
      <c r="H288" s="15"/>
      <c r="I288" s="15"/>
      <c r="J288" s="15"/>
      <c r="K288" s="15"/>
      <c r="L288" s="15"/>
      <c r="M288" s="15"/>
      <c r="N288" s="46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 ht="15.75" customHeight="1">
      <c r="A289" s="15"/>
      <c r="B289" s="15"/>
      <c r="C289" s="15"/>
      <c r="D289" s="16"/>
      <c r="E289" s="16"/>
      <c r="F289" s="15"/>
      <c r="G289" s="15"/>
      <c r="H289" s="15"/>
      <c r="I289" s="15"/>
      <c r="J289" s="15"/>
      <c r="K289" s="15"/>
      <c r="L289" s="15"/>
      <c r="M289" s="15"/>
      <c r="N289" s="46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 ht="15.75" customHeight="1">
      <c r="A290" s="15"/>
      <c r="B290" s="15"/>
      <c r="C290" s="15"/>
      <c r="D290" s="16"/>
      <c r="E290" s="16"/>
      <c r="F290" s="15"/>
      <c r="G290" s="15"/>
      <c r="H290" s="15"/>
      <c r="I290" s="15"/>
      <c r="J290" s="15"/>
      <c r="K290" s="15"/>
      <c r="L290" s="15"/>
      <c r="M290" s="15"/>
      <c r="N290" s="46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 ht="15.75" customHeight="1">
      <c r="A291" s="15"/>
      <c r="B291" s="15"/>
      <c r="C291" s="15"/>
      <c r="D291" s="16"/>
      <c r="E291" s="16"/>
      <c r="F291" s="15"/>
      <c r="G291" s="15"/>
      <c r="H291" s="15"/>
      <c r="I291" s="15"/>
      <c r="J291" s="15"/>
      <c r="K291" s="15"/>
      <c r="L291" s="15"/>
      <c r="M291" s="15"/>
      <c r="N291" s="46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 ht="15.75" customHeight="1">
      <c r="A292" s="15"/>
      <c r="B292" s="15"/>
      <c r="C292" s="15"/>
      <c r="D292" s="16"/>
      <c r="E292" s="16"/>
      <c r="F292" s="15"/>
      <c r="G292" s="15"/>
      <c r="H292" s="15"/>
      <c r="I292" s="15"/>
      <c r="J292" s="15"/>
      <c r="K292" s="15"/>
      <c r="L292" s="15"/>
      <c r="M292" s="15"/>
      <c r="N292" s="46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 ht="15.75" customHeight="1">
      <c r="A293" s="15"/>
      <c r="B293" s="15"/>
      <c r="C293" s="15"/>
      <c r="D293" s="16"/>
      <c r="E293" s="16"/>
      <c r="F293" s="15"/>
      <c r="G293" s="15"/>
      <c r="H293" s="15"/>
      <c r="I293" s="15"/>
      <c r="J293" s="15"/>
      <c r="K293" s="15"/>
      <c r="L293" s="15"/>
      <c r="M293" s="15"/>
      <c r="N293" s="46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 ht="15.75" customHeight="1">
      <c r="A294" s="15"/>
      <c r="B294" s="15"/>
      <c r="C294" s="15"/>
      <c r="D294" s="16"/>
      <c r="E294" s="16"/>
      <c r="F294" s="15"/>
      <c r="G294" s="15"/>
      <c r="H294" s="15"/>
      <c r="I294" s="15"/>
      <c r="J294" s="15"/>
      <c r="K294" s="15"/>
      <c r="L294" s="15"/>
      <c r="M294" s="15"/>
      <c r="N294" s="46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 ht="15.75" customHeight="1">
      <c r="A295" s="15"/>
      <c r="B295" s="15"/>
      <c r="C295" s="15"/>
      <c r="D295" s="16"/>
      <c r="E295" s="16"/>
      <c r="F295" s="15"/>
      <c r="G295" s="15"/>
      <c r="H295" s="15"/>
      <c r="I295" s="15"/>
      <c r="J295" s="15"/>
      <c r="K295" s="15"/>
      <c r="L295" s="15"/>
      <c r="M295" s="15"/>
      <c r="N295" s="46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 ht="15.75" customHeight="1">
      <c r="A296" s="15"/>
      <c r="B296" s="15"/>
      <c r="C296" s="15"/>
      <c r="D296" s="16"/>
      <c r="E296" s="16"/>
      <c r="F296" s="15"/>
      <c r="G296" s="15"/>
      <c r="H296" s="15"/>
      <c r="I296" s="15"/>
      <c r="J296" s="15"/>
      <c r="K296" s="15"/>
      <c r="L296" s="15"/>
      <c r="M296" s="15"/>
      <c r="N296" s="46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spans="1:28" ht="15.75" customHeight="1">
      <c r="A297" s="15"/>
      <c r="B297" s="15"/>
      <c r="C297" s="15"/>
      <c r="D297" s="16"/>
      <c r="E297" s="16"/>
      <c r="F297" s="15"/>
      <c r="G297" s="15"/>
      <c r="H297" s="15"/>
      <c r="I297" s="15"/>
      <c r="J297" s="15"/>
      <c r="K297" s="15"/>
      <c r="L297" s="15"/>
      <c r="M297" s="15"/>
      <c r="N297" s="46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 ht="15.75" customHeight="1">
      <c r="A298" s="15"/>
      <c r="B298" s="15"/>
      <c r="C298" s="15"/>
      <c r="D298" s="16"/>
      <c r="E298" s="16"/>
      <c r="F298" s="15"/>
      <c r="G298" s="15"/>
      <c r="H298" s="15"/>
      <c r="I298" s="15"/>
      <c r="J298" s="15"/>
      <c r="K298" s="15"/>
      <c r="L298" s="15"/>
      <c r="M298" s="15"/>
      <c r="N298" s="46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 ht="15.75" customHeight="1">
      <c r="A299" s="15"/>
      <c r="B299" s="15"/>
      <c r="C299" s="15"/>
      <c r="D299" s="16"/>
      <c r="E299" s="16"/>
      <c r="F299" s="15"/>
      <c r="G299" s="15"/>
      <c r="H299" s="15"/>
      <c r="I299" s="15"/>
      <c r="J299" s="15"/>
      <c r="K299" s="15"/>
      <c r="L299" s="15"/>
      <c r="M299" s="15"/>
      <c r="N299" s="46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 ht="15.75" customHeight="1">
      <c r="A300" s="15"/>
      <c r="B300" s="15"/>
      <c r="C300" s="15"/>
      <c r="D300" s="16"/>
      <c r="E300" s="16"/>
      <c r="F300" s="15"/>
      <c r="G300" s="15"/>
      <c r="H300" s="15"/>
      <c r="I300" s="15"/>
      <c r="J300" s="15"/>
      <c r="K300" s="15"/>
      <c r="L300" s="15"/>
      <c r="M300" s="15"/>
      <c r="N300" s="46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spans="1:28" ht="15.75" customHeight="1">
      <c r="A301" s="15"/>
      <c r="B301" s="15"/>
      <c r="C301" s="15"/>
      <c r="D301" s="16"/>
      <c r="E301" s="16"/>
      <c r="F301" s="15"/>
      <c r="G301" s="15"/>
      <c r="H301" s="15"/>
      <c r="I301" s="15"/>
      <c r="J301" s="15"/>
      <c r="K301" s="15"/>
      <c r="L301" s="15"/>
      <c r="M301" s="15"/>
      <c r="N301" s="46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 ht="15.75" customHeight="1">
      <c r="A302" s="15"/>
      <c r="B302" s="15"/>
      <c r="C302" s="15"/>
      <c r="D302" s="16"/>
      <c r="E302" s="16"/>
      <c r="F302" s="15"/>
      <c r="G302" s="15"/>
      <c r="H302" s="15"/>
      <c r="I302" s="15"/>
      <c r="J302" s="15"/>
      <c r="K302" s="15"/>
      <c r="L302" s="15"/>
      <c r="M302" s="15"/>
      <c r="N302" s="46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 ht="15.75" customHeight="1">
      <c r="A303" s="15"/>
      <c r="B303" s="15"/>
      <c r="C303" s="15"/>
      <c r="D303" s="16"/>
      <c r="E303" s="16"/>
      <c r="F303" s="15"/>
      <c r="G303" s="15"/>
      <c r="H303" s="15"/>
      <c r="I303" s="15"/>
      <c r="J303" s="15"/>
      <c r="K303" s="15"/>
      <c r="L303" s="15"/>
      <c r="M303" s="15"/>
      <c r="N303" s="46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 ht="15.75" customHeight="1">
      <c r="A304" s="15"/>
      <c r="B304" s="15"/>
      <c r="C304" s="15"/>
      <c r="D304" s="16"/>
      <c r="E304" s="16"/>
      <c r="F304" s="15"/>
      <c r="G304" s="15"/>
      <c r="H304" s="15"/>
      <c r="I304" s="15"/>
      <c r="J304" s="15"/>
      <c r="K304" s="15"/>
      <c r="L304" s="15"/>
      <c r="M304" s="15"/>
      <c r="N304" s="46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 ht="15.75" customHeight="1">
      <c r="A305" s="15"/>
      <c r="B305" s="15"/>
      <c r="C305" s="15"/>
      <c r="D305" s="16"/>
      <c r="E305" s="16"/>
      <c r="F305" s="15"/>
      <c r="G305" s="15"/>
      <c r="H305" s="15"/>
      <c r="I305" s="15"/>
      <c r="J305" s="15"/>
      <c r="K305" s="15"/>
      <c r="L305" s="15"/>
      <c r="M305" s="15"/>
      <c r="N305" s="46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 ht="15.75" customHeight="1">
      <c r="A306" s="15"/>
      <c r="B306" s="15"/>
      <c r="C306" s="15"/>
      <c r="D306" s="16"/>
      <c r="E306" s="16"/>
      <c r="F306" s="15"/>
      <c r="G306" s="15"/>
      <c r="H306" s="15"/>
      <c r="I306" s="15"/>
      <c r="J306" s="15"/>
      <c r="K306" s="15"/>
      <c r="L306" s="15"/>
      <c r="M306" s="15"/>
      <c r="N306" s="46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 ht="15.75" customHeight="1">
      <c r="A307" s="15"/>
      <c r="B307" s="15"/>
      <c r="C307" s="15"/>
      <c r="D307" s="16"/>
      <c r="E307" s="16"/>
      <c r="F307" s="15"/>
      <c r="G307" s="15"/>
      <c r="H307" s="15"/>
      <c r="I307" s="15"/>
      <c r="J307" s="15"/>
      <c r="K307" s="15"/>
      <c r="L307" s="15"/>
      <c r="M307" s="15"/>
      <c r="N307" s="46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 ht="15.75" customHeight="1">
      <c r="A308" s="15"/>
      <c r="B308" s="15"/>
      <c r="C308" s="15"/>
      <c r="D308" s="16"/>
      <c r="E308" s="16"/>
      <c r="F308" s="15"/>
      <c r="G308" s="15"/>
      <c r="H308" s="15"/>
      <c r="I308" s="15"/>
      <c r="J308" s="15"/>
      <c r="K308" s="15"/>
      <c r="L308" s="15"/>
      <c r="M308" s="15"/>
      <c r="N308" s="46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 ht="15.75" customHeight="1">
      <c r="A309" s="15"/>
      <c r="B309" s="15"/>
      <c r="C309" s="15"/>
      <c r="D309" s="16"/>
      <c r="E309" s="16"/>
      <c r="F309" s="15"/>
      <c r="G309" s="15"/>
      <c r="H309" s="15"/>
      <c r="I309" s="15"/>
      <c r="J309" s="15"/>
      <c r="K309" s="15"/>
      <c r="L309" s="15"/>
      <c r="M309" s="15"/>
      <c r="N309" s="46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 ht="15.75" customHeight="1">
      <c r="A310" s="15"/>
      <c r="B310" s="15"/>
      <c r="C310" s="15"/>
      <c r="D310" s="16"/>
      <c r="E310" s="16"/>
      <c r="F310" s="15"/>
      <c r="G310" s="15"/>
      <c r="H310" s="15"/>
      <c r="I310" s="15"/>
      <c r="J310" s="15"/>
      <c r="K310" s="15"/>
      <c r="L310" s="15"/>
      <c r="M310" s="15"/>
      <c r="N310" s="46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 ht="15.75" customHeight="1">
      <c r="A311" s="15"/>
      <c r="B311" s="15"/>
      <c r="C311" s="15"/>
      <c r="D311" s="16"/>
      <c r="E311" s="16"/>
      <c r="F311" s="15"/>
      <c r="G311" s="15"/>
      <c r="H311" s="15"/>
      <c r="I311" s="15"/>
      <c r="J311" s="15"/>
      <c r="K311" s="15"/>
      <c r="L311" s="15"/>
      <c r="M311" s="15"/>
      <c r="N311" s="46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 ht="15.75" customHeight="1">
      <c r="A312" s="15"/>
      <c r="B312" s="15"/>
      <c r="C312" s="15"/>
      <c r="D312" s="16"/>
      <c r="E312" s="16"/>
      <c r="F312" s="15"/>
      <c r="G312" s="15"/>
      <c r="H312" s="15"/>
      <c r="I312" s="15"/>
      <c r="J312" s="15"/>
      <c r="K312" s="15"/>
      <c r="L312" s="15"/>
      <c r="M312" s="15"/>
      <c r="N312" s="46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 ht="15.75" customHeight="1">
      <c r="A313" s="15"/>
      <c r="B313" s="15"/>
      <c r="C313" s="15"/>
      <c r="D313" s="16"/>
      <c r="E313" s="16"/>
      <c r="F313" s="15"/>
      <c r="G313" s="15"/>
      <c r="H313" s="15"/>
      <c r="I313" s="15"/>
      <c r="J313" s="15"/>
      <c r="K313" s="15"/>
      <c r="L313" s="15"/>
      <c r="M313" s="15"/>
      <c r="N313" s="46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 ht="15.75" customHeight="1">
      <c r="A314" s="15"/>
      <c r="B314" s="15"/>
      <c r="C314" s="15"/>
      <c r="D314" s="16"/>
      <c r="E314" s="16"/>
      <c r="F314" s="15"/>
      <c r="G314" s="15"/>
      <c r="H314" s="15"/>
      <c r="I314" s="15"/>
      <c r="J314" s="15"/>
      <c r="K314" s="15"/>
      <c r="L314" s="15"/>
      <c r="M314" s="15"/>
      <c r="N314" s="46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 ht="15.75" customHeight="1">
      <c r="A315" s="15"/>
      <c r="B315" s="15"/>
      <c r="C315" s="15"/>
      <c r="D315" s="16"/>
      <c r="E315" s="16"/>
      <c r="F315" s="15"/>
      <c r="G315" s="15"/>
      <c r="H315" s="15"/>
      <c r="I315" s="15"/>
      <c r="J315" s="15"/>
      <c r="K315" s="15"/>
      <c r="L315" s="15"/>
      <c r="M315" s="15"/>
      <c r="N315" s="46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 ht="15.75" customHeight="1">
      <c r="A316" s="15"/>
      <c r="B316" s="15"/>
      <c r="C316" s="15"/>
      <c r="D316" s="16"/>
      <c r="E316" s="16"/>
      <c r="F316" s="15"/>
      <c r="G316" s="15"/>
      <c r="H316" s="15"/>
      <c r="I316" s="15"/>
      <c r="J316" s="15"/>
      <c r="K316" s="15"/>
      <c r="L316" s="15"/>
      <c r="M316" s="15"/>
      <c r="N316" s="46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 ht="15.75" customHeight="1">
      <c r="A317" s="15"/>
      <c r="B317" s="15"/>
      <c r="C317" s="15"/>
      <c r="D317" s="16"/>
      <c r="E317" s="16"/>
      <c r="F317" s="15"/>
      <c r="G317" s="15"/>
      <c r="H317" s="15"/>
      <c r="I317" s="15"/>
      <c r="J317" s="15"/>
      <c r="K317" s="15"/>
      <c r="L317" s="15"/>
      <c r="M317" s="15"/>
      <c r="N317" s="46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 ht="15.75" customHeight="1">
      <c r="A318" s="15"/>
      <c r="B318" s="15"/>
      <c r="C318" s="15"/>
      <c r="D318" s="16"/>
      <c r="E318" s="16"/>
      <c r="F318" s="15"/>
      <c r="G318" s="15"/>
      <c r="H318" s="15"/>
      <c r="I318" s="15"/>
      <c r="J318" s="15"/>
      <c r="K318" s="15"/>
      <c r="L318" s="15"/>
      <c r="M318" s="15"/>
      <c r="N318" s="46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spans="1:28" ht="15.75" customHeight="1">
      <c r="A319" s="15"/>
      <c r="B319" s="15"/>
      <c r="C319" s="15"/>
      <c r="D319" s="16"/>
      <c r="E319" s="16"/>
      <c r="F319" s="15"/>
      <c r="G319" s="15"/>
      <c r="H319" s="15"/>
      <c r="I319" s="15"/>
      <c r="J319" s="15"/>
      <c r="K319" s="15"/>
      <c r="L319" s="15"/>
      <c r="M319" s="15"/>
      <c r="N319" s="46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 ht="15.75" customHeight="1">
      <c r="A320" s="15"/>
      <c r="B320" s="15"/>
      <c r="C320" s="15"/>
      <c r="D320" s="16"/>
      <c r="E320" s="16"/>
      <c r="F320" s="15"/>
      <c r="G320" s="15"/>
      <c r="H320" s="15"/>
      <c r="I320" s="15"/>
      <c r="J320" s="15"/>
      <c r="K320" s="15"/>
      <c r="L320" s="15"/>
      <c r="M320" s="15"/>
      <c r="N320" s="46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 ht="15.75" customHeight="1">
      <c r="A321" s="15"/>
      <c r="B321" s="15"/>
      <c r="C321" s="15"/>
      <c r="D321" s="16"/>
      <c r="E321" s="16"/>
      <c r="F321" s="15"/>
      <c r="G321" s="15"/>
      <c r="H321" s="15"/>
      <c r="I321" s="15"/>
      <c r="J321" s="15"/>
      <c r="K321" s="15"/>
      <c r="L321" s="15"/>
      <c r="M321" s="15"/>
      <c r="N321" s="46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 ht="15.75" customHeight="1">
      <c r="A322" s="15"/>
      <c r="B322" s="15"/>
      <c r="C322" s="15"/>
      <c r="D322" s="16"/>
      <c r="E322" s="16"/>
      <c r="F322" s="15"/>
      <c r="G322" s="15"/>
      <c r="H322" s="15"/>
      <c r="I322" s="15"/>
      <c r="J322" s="15"/>
      <c r="K322" s="15"/>
      <c r="L322" s="15"/>
      <c r="M322" s="15"/>
      <c r="N322" s="46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 ht="15.75" customHeight="1">
      <c r="A323" s="15"/>
      <c r="B323" s="15"/>
      <c r="C323" s="15"/>
      <c r="D323" s="16"/>
      <c r="E323" s="16"/>
      <c r="F323" s="15"/>
      <c r="G323" s="15"/>
      <c r="H323" s="15"/>
      <c r="I323" s="15"/>
      <c r="J323" s="15"/>
      <c r="K323" s="15"/>
      <c r="L323" s="15"/>
      <c r="M323" s="15"/>
      <c r="N323" s="46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 ht="15.75" customHeight="1">
      <c r="A324" s="15"/>
      <c r="B324" s="15"/>
      <c r="C324" s="15"/>
      <c r="D324" s="16"/>
      <c r="E324" s="16"/>
      <c r="F324" s="15"/>
      <c r="G324" s="15"/>
      <c r="H324" s="15"/>
      <c r="I324" s="15"/>
      <c r="J324" s="15"/>
      <c r="K324" s="15"/>
      <c r="L324" s="15"/>
      <c r="M324" s="15"/>
      <c r="N324" s="46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 ht="15.75" customHeight="1">
      <c r="A325" s="15"/>
      <c r="B325" s="15"/>
      <c r="C325" s="15"/>
      <c r="D325" s="16"/>
      <c r="E325" s="16"/>
      <c r="F325" s="15"/>
      <c r="G325" s="15"/>
      <c r="H325" s="15"/>
      <c r="I325" s="15"/>
      <c r="J325" s="15"/>
      <c r="K325" s="15"/>
      <c r="L325" s="15"/>
      <c r="M325" s="15"/>
      <c r="N325" s="46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 ht="15.75" customHeight="1">
      <c r="A326" s="15"/>
      <c r="B326" s="15"/>
      <c r="C326" s="15"/>
      <c r="D326" s="16"/>
      <c r="E326" s="16"/>
      <c r="F326" s="15"/>
      <c r="G326" s="15"/>
      <c r="H326" s="15"/>
      <c r="I326" s="15"/>
      <c r="J326" s="15"/>
      <c r="K326" s="15"/>
      <c r="L326" s="15"/>
      <c r="M326" s="15"/>
      <c r="N326" s="46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 ht="15.75" customHeight="1">
      <c r="A327" s="15"/>
      <c r="B327" s="15"/>
      <c r="C327" s="15"/>
      <c r="D327" s="16"/>
      <c r="E327" s="16"/>
      <c r="F327" s="15"/>
      <c r="G327" s="15"/>
      <c r="H327" s="15"/>
      <c r="I327" s="15"/>
      <c r="J327" s="15"/>
      <c r="K327" s="15"/>
      <c r="L327" s="15"/>
      <c r="M327" s="15"/>
      <c r="N327" s="46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 ht="15.75" customHeight="1">
      <c r="A328" s="15"/>
      <c r="B328" s="15"/>
      <c r="C328" s="15"/>
      <c r="D328" s="16"/>
      <c r="E328" s="16"/>
      <c r="F328" s="15"/>
      <c r="G328" s="15"/>
      <c r="H328" s="15"/>
      <c r="I328" s="15"/>
      <c r="J328" s="15"/>
      <c r="K328" s="15"/>
      <c r="L328" s="15"/>
      <c r="M328" s="15"/>
      <c r="N328" s="46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 ht="15.75" customHeight="1">
      <c r="A329" s="15"/>
      <c r="B329" s="15"/>
      <c r="C329" s="15"/>
      <c r="D329" s="16"/>
      <c r="E329" s="16"/>
      <c r="F329" s="15"/>
      <c r="G329" s="15"/>
      <c r="H329" s="15"/>
      <c r="I329" s="15"/>
      <c r="J329" s="15"/>
      <c r="K329" s="15"/>
      <c r="L329" s="15"/>
      <c r="M329" s="15"/>
      <c r="N329" s="46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 ht="15.75" customHeight="1">
      <c r="A330" s="15"/>
      <c r="B330" s="15"/>
      <c r="C330" s="15"/>
      <c r="D330" s="16"/>
      <c r="E330" s="16"/>
      <c r="F330" s="15"/>
      <c r="G330" s="15"/>
      <c r="H330" s="15"/>
      <c r="I330" s="15"/>
      <c r="J330" s="15"/>
      <c r="K330" s="15"/>
      <c r="L330" s="15"/>
      <c r="M330" s="15"/>
      <c r="N330" s="46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 ht="15.75" customHeight="1">
      <c r="A331" s="15"/>
      <c r="B331" s="15"/>
      <c r="C331" s="15"/>
      <c r="D331" s="16"/>
      <c r="E331" s="16"/>
      <c r="F331" s="15"/>
      <c r="G331" s="15"/>
      <c r="H331" s="15"/>
      <c r="I331" s="15"/>
      <c r="J331" s="15"/>
      <c r="K331" s="15"/>
      <c r="L331" s="15"/>
      <c r="M331" s="15"/>
      <c r="N331" s="46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 ht="15.75" customHeight="1">
      <c r="A332" s="15"/>
      <c r="B332" s="15"/>
      <c r="C332" s="15"/>
      <c r="D332" s="16"/>
      <c r="E332" s="16"/>
      <c r="F332" s="15"/>
      <c r="G332" s="15"/>
      <c r="H332" s="15"/>
      <c r="I332" s="15"/>
      <c r="J332" s="15"/>
      <c r="K332" s="15"/>
      <c r="L332" s="15"/>
      <c r="M332" s="15"/>
      <c r="N332" s="46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 ht="15.75" customHeight="1">
      <c r="A333" s="15"/>
      <c r="B333" s="15"/>
      <c r="C333" s="15"/>
      <c r="D333" s="16"/>
      <c r="E333" s="16"/>
      <c r="F333" s="15"/>
      <c r="G333" s="15"/>
      <c r="H333" s="15"/>
      <c r="I333" s="15"/>
      <c r="J333" s="15"/>
      <c r="K333" s="15"/>
      <c r="L333" s="15"/>
      <c r="M333" s="15"/>
      <c r="N333" s="46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 ht="15.75" customHeight="1">
      <c r="A334" s="15"/>
      <c r="B334" s="15"/>
      <c r="C334" s="15"/>
      <c r="D334" s="16"/>
      <c r="E334" s="16"/>
      <c r="F334" s="15"/>
      <c r="G334" s="15"/>
      <c r="H334" s="15"/>
      <c r="I334" s="15"/>
      <c r="J334" s="15"/>
      <c r="K334" s="15"/>
      <c r="L334" s="15"/>
      <c r="M334" s="15"/>
      <c r="N334" s="46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 ht="15.75" customHeight="1">
      <c r="A335" s="15"/>
      <c r="B335" s="15"/>
      <c r="C335" s="15"/>
      <c r="D335" s="16"/>
      <c r="E335" s="16"/>
      <c r="F335" s="15"/>
      <c r="G335" s="15"/>
      <c r="H335" s="15"/>
      <c r="I335" s="15"/>
      <c r="J335" s="15"/>
      <c r="K335" s="15"/>
      <c r="L335" s="15"/>
      <c r="M335" s="15"/>
      <c r="N335" s="46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 ht="15.75" customHeight="1">
      <c r="A336" s="15"/>
      <c r="B336" s="15"/>
      <c r="C336" s="15"/>
      <c r="D336" s="16"/>
      <c r="E336" s="16"/>
      <c r="F336" s="15"/>
      <c r="G336" s="15"/>
      <c r="H336" s="15"/>
      <c r="I336" s="15"/>
      <c r="J336" s="15"/>
      <c r="K336" s="15"/>
      <c r="L336" s="15"/>
      <c r="M336" s="15"/>
      <c r="N336" s="46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 ht="15.75" customHeight="1">
      <c r="A337" s="15"/>
      <c r="B337" s="15"/>
      <c r="C337" s="15"/>
      <c r="D337" s="16"/>
      <c r="E337" s="16"/>
      <c r="F337" s="15"/>
      <c r="G337" s="15"/>
      <c r="H337" s="15"/>
      <c r="I337" s="15"/>
      <c r="J337" s="15"/>
      <c r="K337" s="15"/>
      <c r="L337" s="15"/>
      <c r="M337" s="15"/>
      <c r="N337" s="46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 ht="15.75" customHeight="1">
      <c r="A338" s="15"/>
      <c r="B338" s="15"/>
      <c r="C338" s="15"/>
      <c r="D338" s="16"/>
      <c r="E338" s="16"/>
      <c r="F338" s="15"/>
      <c r="G338" s="15"/>
      <c r="H338" s="15"/>
      <c r="I338" s="15"/>
      <c r="J338" s="15"/>
      <c r="K338" s="15"/>
      <c r="L338" s="15"/>
      <c r="M338" s="15"/>
      <c r="N338" s="46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 ht="15.75" customHeight="1">
      <c r="A339" s="15"/>
      <c r="B339" s="15"/>
      <c r="C339" s="15"/>
      <c r="D339" s="16"/>
      <c r="E339" s="16"/>
      <c r="F339" s="15"/>
      <c r="G339" s="15"/>
      <c r="H339" s="15"/>
      <c r="I339" s="15"/>
      <c r="J339" s="15"/>
      <c r="K339" s="15"/>
      <c r="L339" s="15"/>
      <c r="M339" s="15"/>
      <c r="N339" s="46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 ht="15.75" customHeight="1">
      <c r="A340" s="15"/>
      <c r="B340" s="15"/>
      <c r="C340" s="15"/>
      <c r="D340" s="16"/>
      <c r="E340" s="16"/>
      <c r="F340" s="15"/>
      <c r="G340" s="15"/>
      <c r="H340" s="15"/>
      <c r="I340" s="15"/>
      <c r="J340" s="15"/>
      <c r="K340" s="15"/>
      <c r="L340" s="15"/>
      <c r="M340" s="15"/>
      <c r="N340" s="46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 ht="15.75" customHeight="1">
      <c r="A341" s="15"/>
      <c r="B341" s="15"/>
      <c r="C341" s="15"/>
      <c r="D341" s="16"/>
      <c r="E341" s="16"/>
      <c r="F341" s="15"/>
      <c r="G341" s="15"/>
      <c r="H341" s="15"/>
      <c r="I341" s="15"/>
      <c r="J341" s="15"/>
      <c r="K341" s="15"/>
      <c r="L341" s="15"/>
      <c r="M341" s="15"/>
      <c r="N341" s="46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 ht="15.75" customHeight="1">
      <c r="A342" s="15"/>
      <c r="B342" s="15"/>
      <c r="C342" s="15"/>
      <c r="D342" s="16"/>
      <c r="E342" s="16"/>
      <c r="F342" s="15"/>
      <c r="G342" s="15"/>
      <c r="H342" s="15"/>
      <c r="I342" s="15"/>
      <c r="J342" s="15"/>
      <c r="K342" s="15"/>
      <c r="L342" s="15"/>
      <c r="M342" s="15"/>
      <c r="N342" s="46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 ht="15.75" customHeight="1">
      <c r="A343" s="15"/>
      <c r="B343" s="15"/>
      <c r="C343" s="15"/>
      <c r="D343" s="16"/>
      <c r="E343" s="16"/>
      <c r="F343" s="15"/>
      <c r="G343" s="15"/>
      <c r="H343" s="15"/>
      <c r="I343" s="15"/>
      <c r="J343" s="15"/>
      <c r="K343" s="15"/>
      <c r="L343" s="15"/>
      <c r="M343" s="15"/>
      <c r="N343" s="46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 ht="15.75" customHeight="1">
      <c r="A344" s="15"/>
      <c r="B344" s="15"/>
      <c r="C344" s="15"/>
      <c r="D344" s="16"/>
      <c r="E344" s="16"/>
      <c r="F344" s="15"/>
      <c r="G344" s="15"/>
      <c r="H344" s="15"/>
      <c r="I344" s="15"/>
      <c r="J344" s="15"/>
      <c r="K344" s="15"/>
      <c r="L344" s="15"/>
      <c r="M344" s="15"/>
      <c r="N344" s="46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 ht="15.75" customHeight="1">
      <c r="A345" s="15"/>
      <c r="B345" s="15"/>
      <c r="C345" s="15"/>
      <c r="D345" s="16"/>
      <c r="E345" s="16"/>
      <c r="F345" s="15"/>
      <c r="G345" s="15"/>
      <c r="H345" s="15"/>
      <c r="I345" s="15"/>
      <c r="J345" s="15"/>
      <c r="K345" s="15"/>
      <c r="L345" s="15"/>
      <c r="M345" s="15"/>
      <c r="N345" s="46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 ht="15.75" customHeight="1">
      <c r="A346" s="15"/>
      <c r="B346" s="15"/>
      <c r="C346" s="15"/>
      <c r="D346" s="16"/>
      <c r="E346" s="16"/>
      <c r="F346" s="15"/>
      <c r="G346" s="15"/>
      <c r="H346" s="15"/>
      <c r="I346" s="15"/>
      <c r="J346" s="15"/>
      <c r="K346" s="15"/>
      <c r="L346" s="15"/>
      <c r="M346" s="15"/>
      <c r="N346" s="46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 ht="15.75" customHeight="1">
      <c r="A347" s="15"/>
      <c r="B347" s="15"/>
      <c r="C347" s="15"/>
      <c r="D347" s="16"/>
      <c r="E347" s="16"/>
      <c r="F347" s="15"/>
      <c r="G347" s="15"/>
      <c r="H347" s="15"/>
      <c r="I347" s="15"/>
      <c r="J347" s="15"/>
      <c r="K347" s="15"/>
      <c r="L347" s="15"/>
      <c r="M347" s="15"/>
      <c r="N347" s="46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 ht="15.75" customHeight="1">
      <c r="A348" s="15"/>
      <c r="B348" s="15"/>
      <c r="C348" s="15"/>
      <c r="D348" s="16"/>
      <c r="E348" s="16"/>
      <c r="F348" s="15"/>
      <c r="G348" s="15"/>
      <c r="H348" s="15"/>
      <c r="I348" s="15"/>
      <c r="J348" s="15"/>
      <c r="K348" s="15"/>
      <c r="L348" s="15"/>
      <c r="M348" s="15"/>
      <c r="N348" s="46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 ht="15.75" customHeight="1">
      <c r="A349" s="15"/>
      <c r="B349" s="15"/>
      <c r="C349" s="15"/>
      <c r="D349" s="16"/>
      <c r="E349" s="16"/>
      <c r="F349" s="15"/>
      <c r="G349" s="15"/>
      <c r="H349" s="15"/>
      <c r="I349" s="15"/>
      <c r="J349" s="15"/>
      <c r="K349" s="15"/>
      <c r="L349" s="15"/>
      <c r="M349" s="15"/>
      <c r="N349" s="46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 ht="15.75" customHeight="1">
      <c r="A350" s="15"/>
      <c r="B350" s="15"/>
      <c r="C350" s="15"/>
      <c r="D350" s="16"/>
      <c r="E350" s="16"/>
      <c r="F350" s="15"/>
      <c r="G350" s="15"/>
      <c r="H350" s="15"/>
      <c r="I350" s="15"/>
      <c r="J350" s="15"/>
      <c r="K350" s="15"/>
      <c r="L350" s="15"/>
      <c r="M350" s="15"/>
      <c r="N350" s="46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 ht="15.75" customHeight="1">
      <c r="A351" s="15"/>
      <c r="B351" s="15"/>
      <c r="C351" s="15"/>
      <c r="D351" s="16"/>
      <c r="E351" s="16"/>
      <c r="F351" s="15"/>
      <c r="G351" s="15"/>
      <c r="H351" s="15"/>
      <c r="I351" s="15"/>
      <c r="J351" s="15"/>
      <c r="K351" s="15"/>
      <c r="L351" s="15"/>
      <c r="M351" s="15"/>
      <c r="N351" s="46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 ht="15.75" customHeight="1">
      <c r="A352" s="15"/>
      <c r="B352" s="15"/>
      <c r="C352" s="15"/>
      <c r="D352" s="16"/>
      <c r="E352" s="16"/>
      <c r="F352" s="15"/>
      <c r="G352" s="15"/>
      <c r="H352" s="15"/>
      <c r="I352" s="15"/>
      <c r="J352" s="15"/>
      <c r="K352" s="15"/>
      <c r="L352" s="15"/>
      <c r="M352" s="15"/>
      <c r="N352" s="46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 ht="15.75" customHeight="1">
      <c r="A353" s="15"/>
      <c r="B353" s="15"/>
      <c r="C353" s="15"/>
      <c r="D353" s="16"/>
      <c r="E353" s="16"/>
      <c r="F353" s="15"/>
      <c r="G353" s="15"/>
      <c r="H353" s="15"/>
      <c r="I353" s="15"/>
      <c r="J353" s="15"/>
      <c r="K353" s="15"/>
      <c r="L353" s="15"/>
      <c r="M353" s="15"/>
      <c r="N353" s="46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 ht="15.75" customHeight="1">
      <c r="A354" s="15"/>
      <c r="B354" s="15"/>
      <c r="C354" s="15"/>
      <c r="D354" s="16"/>
      <c r="E354" s="16"/>
      <c r="F354" s="15"/>
      <c r="G354" s="15"/>
      <c r="H354" s="15"/>
      <c r="I354" s="15"/>
      <c r="J354" s="15"/>
      <c r="K354" s="15"/>
      <c r="L354" s="15"/>
      <c r="M354" s="15"/>
      <c r="N354" s="46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 ht="15.75" customHeight="1">
      <c r="A355" s="15"/>
      <c r="B355" s="15"/>
      <c r="C355" s="15"/>
      <c r="D355" s="16"/>
      <c r="E355" s="16"/>
      <c r="F355" s="15"/>
      <c r="G355" s="15"/>
      <c r="H355" s="15"/>
      <c r="I355" s="15"/>
      <c r="J355" s="15"/>
      <c r="K355" s="15"/>
      <c r="L355" s="15"/>
      <c r="M355" s="15"/>
      <c r="N355" s="46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 ht="15.75" customHeight="1">
      <c r="A356" s="15"/>
      <c r="B356" s="15"/>
      <c r="C356" s="15"/>
      <c r="D356" s="16"/>
      <c r="E356" s="16"/>
      <c r="F356" s="15"/>
      <c r="G356" s="15"/>
      <c r="H356" s="15"/>
      <c r="I356" s="15"/>
      <c r="J356" s="15"/>
      <c r="K356" s="15"/>
      <c r="L356" s="15"/>
      <c r="M356" s="15"/>
      <c r="N356" s="46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 ht="15.75" customHeight="1">
      <c r="A357" s="15"/>
      <c r="B357" s="15"/>
      <c r="C357" s="15"/>
      <c r="D357" s="16"/>
      <c r="E357" s="16"/>
      <c r="F357" s="15"/>
      <c r="G357" s="15"/>
      <c r="H357" s="15"/>
      <c r="I357" s="15"/>
      <c r="J357" s="15"/>
      <c r="K357" s="15"/>
      <c r="L357" s="15"/>
      <c r="M357" s="15"/>
      <c r="N357" s="46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 ht="15.75" customHeight="1">
      <c r="A358" s="15"/>
      <c r="B358" s="15"/>
      <c r="C358" s="15"/>
      <c r="D358" s="16"/>
      <c r="E358" s="16"/>
      <c r="F358" s="15"/>
      <c r="G358" s="15"/>
      <c r="H358" s="15"/>
      <c r="I358" s="15"/>
      <c r="J358" s="15"/>
      <c r="K358" s="15"/>
      <c r="L358" s="15"/>
      <c r="M358" s="15"/>
      <c r="N358" s="46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 ht="15.75" customHeight="1">
      <c r="A359" s="15"/>
      <c r="B359" s="15"/>
      <c r="C359" s="15"/>
      <c r="D359" s="16"/>
      <c r="E359" s="16"/>
      <c r="F359" s="15"/>
      <c r="G359" s="15"/>
      <c r="H359" s="15"/>
      <c r="I359" s="15"/>
      <c r="J359" s="15"/>
      <c r="K359" s="15"/>
      <c r="L359" s="15"/>
      <c r="M359" s="15"/>
      <c r="N359" s="46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 ht="15.75" customHeight="1">
      <c r="A360" s="15"/>
      <c r="B360" s="15"/>
      <c r="C360" s="15"/>
      <c r="D360" s="16"/>
      <c r="E360" s="16"/>
      <c r="F360" s="15"/>
      <c r="G360" s="15"/>
      <c r="H360" s="15"/>
      <c r="I360" s="15"/>
      <c r="J360" s="15"/>
      <c r="K360" s="15"/>
      <c r="L360" s="15"/>
      <c r="M360" s="15"/>
      <c r="N360" s="46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 ht="15.75" customHeight="1">
      <c r="A361" s="15"/>
      <c r="B361" s="15"/>
      <c r="C361" s="15"/>
      <c r="D361" s="16"/>
      <c r="E361" s="16"/>
      <c r="F361" s="15"/>
      <c r="G361" s="15"/>
      <c r="H361" s="15"/>
      <c r="I361" s="15"/>
      <c r="J361" s="15"/>
      <c r="K361" s="15"/>
      <c r="L361" s="15"/>
      <c r="M361" s="15"/>
      <c r="N361" s="46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 ht="15.75" customHeight="1">
      <c r="A362" s="15"/>
      <c r="B362" s="15"/>
      <c r="C362" s="15"/>
      <c r="D362" s="16"/>
      <c r="E362" s="16"/>
      <c r="F362" s="15"/>
      <c r="G362" s="15"/>
      <c r="H362" s="15"/>
      <c r="I362" s="15"/>
      <c r="J362" s="15"/>
      <c r="K362" s="15"/>
      <c r="L362" s="15"/>
      <c r="M362" s="15"/>
      <c r="N362" s="46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 ht="15.75" customHeight="1">
      <c r="A363" s="15"/>
      <c r="B363" s="15"/>
      <c r="C363" s="15"/>
      <c r="D363" s="16"/>
      <c r="E363" s="16"/>
      <c r="F363" s="15"/>
      <c r="G363" s="15"/>
      <c r="H363" s="15"/>
      <c r="I363" s="15"/>
      <c r="J363" s="15"/>
      <c r="K363" s="15"/>
      <c r="L363" s="15"/>
      <c r="M363" s="15"/>
      <c r="N363" s="46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 ht="15.75" customHeight="1">
      <c r="A364" s="15"/>
      <c r="B364" s="15"/>
      <c r="C364" s="15"/>
      <c r="D364" s="16"/>
      <c r="E364" s="16"/>
      <c r="F364" s="15"/>
      <c r="G364" s="15"/>
      <c r="H364" s="15"/>
      <c r="I364" s="15"/>
      <c r="J364" s="15"/>
      <c r="K364" s="15"/>
      <c r="L364" s="15"/>
      <c r="M364" s="15"/>
      <c r="N364" s="46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 ht="15.75" customHeight="1">
      <c r="A365" s="15"/>
      <c r="B365" s="15"/>
      <c r="C365" s="15"/>
      <c r="D365" s="16"/>
      <c r="E365" s="16"/>
      <c r="F365" s="15"/>
      <c r="G365" s="15"/>
      <c r="H365" s="15"/>
      <c r="I365" s="15"/>
      <c r="J365" s="15"/>
      <c r="K365" s="15"/>
      <c r="L365" s="15"/>
      <c r="M365" s="15"/>
      <c r="N365" s="46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 ht="15.75" customHeight="1">
      <c r="A366" s="15"/>
      <c r="B366" s="15"/>
      <c r="C366" s="15"/>
      <c r="D366" s="16"/>
      <c r="E366" s="16"/>
      <c r="F366" s="15"/>
      <c r="G366" s="15"/>
      <c r="H366" s="15"/>
      <c r="I366" s="15"/>
      <c r="J366" s="15"/>
      <c r="K366" s="15"/>
      <c r="L366" s="15"/>
      <c r="M366" s="15"/>
      <c r="N366" s="46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 ht="15.75" customHeight="1">
      <c r="A367" s="15"/>
      <c r="B367" s="15"/>
      <c r="C367" s="15"/>
      <c r="D367" s="16"/>
      <c r="E367" s="16"/>
      <c r="F367" s="15"/>
      <c r="G367" s="15"/>
      <c r="H367" s="15"/>
      <c r="I367" s="15"/>
      <c r="J367" s="15"/>
      <c r="K367" s="15"/>
      <c r="L367" s="15"/>
      <c r="M367" s="15"/>
      <c r="N367" s="46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5.75" customHeight="1">
      <c r="A368" s="15"/>
      <c r="B368" s="15"/>
      <c r="C368" s="15"/>
      <c r="D368" s="16"/>
      <c r="E368" s="16"/>
      <c r="F368" s="15"/>
      <c r="G368" s="15"/>
      <c r="H368" s="15"/>
      <c r="I368" s="15"/>
      <c r="J368" s="15"/>
      <c r="K368" s="15"/>
      <c r="L368" s="15"/>
      <c r="M368" s="15"/>
      <c r="N368" s="46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 ht="15.75" customHeight="1">
      <c r="A369" s="15"/>
      <c r="B369" s="15"/>
      <c r="C369" s="15"/>
      <c r="D369" s="16"/>
      <c r="E369" s="16"/>
      <c r="F369" s="15"/>
      <c r="G369" s="15"/>
      <c r="H369" s="15"/>
      <c r="I369" s="15"/>
      <c r="J369" s="15"/>
      <c r="K369" s="15"/>
      <c r="L369" s="15"/>
      <c r="M369" s="15"/>
      <c r="N369" s="46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 ht="15.75" customHeight="1">
      <c r="A370" s="15"/>
      <c r="B370" s="15"/>
      <c r="C370" s="15"/>
      <c r="D370" s="16"/>
      <c r="E370" s="16"/>
      <c r="F370" s="15"/>
      <c r="G370" s="15"/>
      <c r="H370" s="15"/>
      <c r="I370" s="15"/>
      <c r="J370" s="15"/>
      <c r="K370" s="15"/>
      <c r="L370" s="15"/>
      <c r="M370" s="15"/>
      <c r="N370" s="46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 ht="15.75" customHeight="1">
      <c r="A371" s="15"/>
      <c r="B371" s="15"/>
      <c r="C371" s="15"/>
      <c r="D371" s="16"/>
      <c r="E371" s="16"/>
      <c r="F371" s="15"/>
      <c r="G371" s="15"/>
      <c r="H371" s="15"/>
      <c r="I371" s="15"/>
      <c r="J371" s="15"/>
      <c r="K371" s="15"/>
      <c r="L371" s="15"/>
      <c r="M371" s="15"/>
      <c r="N371" s="46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 ht="15.75" customHeight="1">
      <c r="A372" s="15"/>
      <c r="B372" s="15"/>
      <c r="C372" s="15"/>
      <c r="D372" s="16"/>
      <c r="E372" s="16"/>
      <c r="F372" s="15"/>
      <c r="G372" s="15"/>
      <c r="H372" s="15"/>
      <c r="I372" s="15"/>
      <c r="J372" s="15"/>
      <c r="K372" s="15"/>
      <c r="L372" s="15"/>
      <c r="M372" s="15"/>
      <c r="N372" s="46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 ht="15.75" customHeight="1">
      <c r="A373" s="15"/>
      <c r="B373" s="15"/>
      <c r="C373" s="15"/>
      <c r="D373" s="16"/>
      <c r="E373" s="16"/>
      <c r="F373" s="15"/>
      <c r="G373" s="15"/>
      <c r="H373" s="15"/>
      <c r="I373" s="15"/>
      <c r="J373" s="15"/>
      <c r="K373" s="15"/>
      <c r="L373" s="15"/>
      <c r="M373" s="15"/>
      <c r="N373" s="46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 ht="15.75" customHeight="1">
      <c r="A374" s="15"/>
      <c r="B374" s="15"/>
      <c r="C374" s="15"/>
      <c r="D374" s="16"/>
      <c r="E374" s="16"/>
      <c r="F374" s="15"/>
      <c r="G374" s="15"/>
      <c r="H374" s="15"/>
      <c r="I374" s="15"/>
      <c r="J374" s="15"/>
      <c r="K374" s="15"/>
      <c r="L374" s="15"/>
      <c r="M374" s="15"/>
      <c r="N374" s="46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 ht="15.75" customHeight="1">
      <c r="A375" s="15"/>
      <c r="B375" s="15"/>
      <c r="C375" s="15"/>
      <c r="D375" s="16"/>
      <c r="E375" s="16"/>
      <c r="F375" s="15"/>
      <c r="G375" s="15"/>
      <c r="H375" s="15"/>
      <c r="I375" s="15"/>
      <c r="J375" s="15"/>
      <c r="K375" s="15"/>
      <c r="L375" s="15"/>
      <c r="M375" s="15"/>
      <c r="N375" s="46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 ht="15.75" customHeight="1">
      <c r="A376" s="15"/>
      <c r="B376" s="15"/>
      <c r="C376" s="15"/>
      <c r="D376" s="16"/>
      <c r="E376" s="16"/>
      <c r="F376" s="15"/>
      <c r="G376" s="15"/>
      <c r="H376" s="15"/>
      <c r="I376" s="15"/>
      <c r="J376" s="15"/>
      <c r="K376" s="15"/>
      <c r="L376" s="15"/>
      <c r="M376" s="15"/>
      <c r="N376" s="46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 ht="15.75" customHeight="1">
      <c r="A377" s="15"/>
      <c r="B377" s="15"/>
      <c r="C377" s="15"/>
      <c r="D377" s="16"/>
      <c r="E377" s="16"/>
      <c r="F377" s="15"/>
      <c r="G377" s="15"/>
      <c r="H377" s="15"/>
      <c r="I377" s="15"/>
      <c r="J377" s="15"/>
      <c r="K377" s="15"/>
      <c r="L377" s="15"/>
      <c r="M377" s="15"/>
      <c r="N377" s="46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 ht="15.75" customHeight="1">
      <c r="A378" s="15"/>
      <c r="B378" s="15"/>
      <c r="C378" s="15"/>
      <c r="D378" s="16"/>
      <c r="E378" s="16"/>
      <c r="F378" s="15"/>
      <c r="G378" s="15"/>
      <c r="H378" s="15"/>
      <c r="I378" s="15"/>
      <c r="J378" s="15"/>
      <c r="K378" s="15"/>
      <c r="L378" s="15"/>
      <c r="M378" s="15"/>
      <c r="N378" s="46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 ht="15.75" customHeight="1">
      <c r="A379" s="15"/>
      <c r="B379" s="15"/>
      <c r="C379" s="15"/>
      <c r="D379" s="16"/>
      <c r="E379" s="16"/>
      <c r="F379" s="15"/>
      <c r="G379" s="15"/>
      <c r="H379" s="15"/>
      <c r="I379" s="15"/>
      <c r="J379" s="15"/>
      <c r="K379" s="15"/>
      <c r="L379" s="15"/>
      <c r="M379" s="15"/>
      <c r="N379" s="46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 ht="15.75" customHeight="1">
      <c r="A380" s="15"/>
      <c r="B380" s="15"/>
      <c r="C380" s="15"/>
      <c r="D380" s="16"/>
      <c r="E380" s="16"/>
      <c r="F380" s="15"/>
      <c r="G380" s="15"/>
      <c r="H380" s="15"/>
      <c r="I380" s="15"/>
      <c r="J380" s="15"/>
      <c r="K380" s="15"/>
      <c r="L380" s="15"/>
      <c r="M380" s="15"/>
      <c r="N380" s="46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 ht="15.75" customHeight="1">
      <c r="A381" s="15"/>
      <c r="B381" s="15"/>
      <c r="C381" s="15"/>
      <c r="D381" s="16"/>
      <c r="E381" s="16"/>
      <c r="F381" s="15"/>
      <c r="G381" s="15"/>
      <c r="H381" s="15"/>
      <c r="I381" s="15"/>
      <c r="J381" s="15"/>
      <c r="K381" s="15"/>
      <c r="L381" s="15"/>
      <c r="M381" s="15"/>
      <c r="N381" s="46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 ht="15.75" customHeight="1">
      <c r="A382" s="15"/>
      <c r="B382" s="15"/>
      <c r="C382" s="15"/>
      <c r="D382" s="16"/>
      <c r="E382" s="16"/>
      <c r="F382" s="15"/>
      <c r="G382" s="15"/>
      <c r="H382" s="15"/>
      <c r="I382" s="15"/>
      <c r="J382" s="15"/>
      <c r="K382" s="15"/>
      <c r="L382" s="15"/>
      <c r="M382" s="15"/>
      <c r="N382" s="46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 ht="15.75" customHeight="1">
      <c r="A383" s="15"/>
      <c r="B383" s="15"/>
      <c r="C383" s="15"/>
      <c r="D383" s="16"/>
      <c r="E383" s="16"/>
      <c r="F383" s="15"/>
      <c r="G383" s="15"/>
      <c r="H383" s="15"/>
      <c r="I383" s="15"/>
      <c r="J383" s="15"/>
      <c r="K383" s="15"/>
      <c r="L383" s="15"/>
      <c r="M383" s="15"/>
      <c r="N383" s="46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 ht="15.75" customHeight="1">
      <c r="A384" s="15"/>
      <c r="B384" s="15"/>
      <c r="C384" s="15"/>
      <c r="D384" s="16"/>
      <c r="E384" s="16"/>
      <c r="F384" s="15"/>
      <c r="G384" s="15"/>
      <c r="H384" s="15"/>
      <c r="I384" s="15"/>
      <c r="J384" s="15"/>
      <c r="K384" s="15"/>
      <c r="L384" s="15"/>
      <c r="M384" s="15"/>
      <c r="N384" s="46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1:28" ht="15.75" customHeight="1">
      <c r="A385" s="15"/>
      <c r="B385" s="15"/>
      <c r="C385" s="15"/>
      <c r="D385" s="16"/>
      <c r="E385" s="16"/>
      <c r="F385" s="15"/>
      <c r="G385" s="15"/>
      <c r="H385" s="15"/>
      <c r="I385" s="15"/>
      <c r="J385" s="15"/>
      <c r="K385" s="15"/>
      <c r="L385" s="15"/>
      <c r="M385" s="15"/>
      <c r="N385" s="46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1:28" ht="15.75" customHeight="1">
      <c r="A386" s="15"/>
      <c r="B386" s="15"/>
      <c r="C386" s="15"/>
      <c r="D386" s="16"/>
      <c r="E386" s="16"/>
      <c r="F386" s="15"/>
      <c r="G386" s="15"/>
      <c r="H386" s="15"/>
      <c r="I386" s="15"/>
      <c r="J386" s="15"/>
      <c r="K386" s="15"/>
      <c r="L386" s="15"/>
      <c r="M386" s="15"/>
      <c r="N386" s="46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1:28" ht="15.75" customHeight="1">
      <c r="A387" s="15"/>
      <c r="B387" s="15"/>
      <c r="C387" s="15"/>
      <c r="D387" s="16"/>
      <c r="E387" s="16"/>
      <c r="F387" s="15"/>
      <c r="G387" s="15"/>
      <c r="H387" s="15"/>
      <c r="I387" s="15"/>
      <c r="J387" s="15"/>
      <c r="K387" s="15"/>
      <c r="L387" s="15"/>
      <c r="M387" s="15"/>
      <c r="N387" s="46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1:28" ht="15.75" customHeight="1">
      <c r="A388" s="15"/>
      <c r="B388" s="15"/>
      <c r="C388" s="15"/>
      <c r="D388" s="16"/>
      <c r="E388" s="16"/>
      <c r="F388" s="15"/>
      <c r="G388" s="15"/>
      <c r="H388" s="15"/>
      <c r="I388" s="15"/>
      <c r="J388" s="15"/>
      <c r="K388" s="15"/>
      <c r="L388" s="15"/>
      <c r="M388" s="15"/>
      <c r="N388" s="46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1:28" ht="15.75" customHeight="1">
      <c r="A389" s="15"/>
      <c r="B389" s="15"/>
      <c r="C389" s="15"/>
      <c r="D389" s="16"/>
      <c r="E389" s="16"/>
      <c r="F389" s="15"/>
      <c r="G389" s="15"/>
      <c r="H389" s="15"/>
      <c r="I389" s="15"/>
      <c r="J389" s="15"/>
      <c r="K389" s="15"/>
      <c r="L389" s="15"/>
      <c r="M389" s="15"/>
      <c r="N389" s="46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1:28" ht="15.75" customHeight="1">
      <c r="A390" s="15"/>
      <c r="B390" s="15"/>
      <c r="C390" s="15"/>
      <c r="D390" s="16"/>
      <c r="E390" s="16"/>
      <c r="F390" s="15"/>
      <c r="G390" s="15"/>
      <c r="H390" s="15"/>
      <c r="I390" s="15"/>
      <c r="J390" s="15"/>
      <c r="K390" s="15"/>
      <c r="L390" s="15"/>
      <c r="M390" s="15"/>
      <c r="N390" s="46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 ht="15.75" customHeight="1">
      <c r="A391" s="15"/>
      <c r="B391" s="15"/>
      <c r="C391" s="15"/>
      <c r="D391" s="16"/>
      <c r="E391" s="16"/>
      <c r="F391" s="15"/>
      <c r="G391" s="15"/>
      <c r="H391" s="15"/>
      <c r="I391" s="15"/>
      <c r="J391" s="15"/>
      <c r="K391" s="15"/>
      <c r="L391" s="15"/>
      <c r="M391" s="15"/>
      <c r="N391" s="46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1:28" ht="15.75" customHeight="1">
      <c r="A392" s="15"/>
      <c r="B392" s="15"/>
      <c r="C392" s="15"/>
      <c r="D392" s="16"/>
      <c r="E392" s="16"/>
      <c r="F392" s="15"/>
      <c r="G392" s="15"/>
      <c r="H392" s="15"/>
      <c r="I392" s="15"/>
      <c r="J392" s="15"/>
      <c r="K392" s="15"/>
      <c r="L392" s="15"/>
      <c r="M392" s="15"/>
      <c r="N392" s="46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1:28" ht="15.75" customHeight="1">
      <c r="A393" s="15"/>
      <c r="B393" s="15"/>
      <c r="C393" s="15"/>
      <c r="D393" s="16"/>
      <c r="E393" s="16"/>
      <c r="F393" s="15"/>
      <c r="G393" s="15"/>
      <c r="H393" s="15"/>
      <c r="I393" s="15"/>
      <c r="J393" s="15"/>
      <c r="K393" s="15"/>
      <c r="L393" s="15"/>
      <c r="M393" s="15"/>
      <c r="N393" s="46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1:28" ht="15.75" customHeight="1">
      <c r="A394" s="15"/>
      <c r="B394" s="15"/>
      <c r="C394" s="15"/>
      <c r="D394" s="16"/>
      <c r="E394" s="16"/>
      <c r="F394" s="15"/>
      <c r="G394" s="15"/>
      <c r="H394" s="15"/>
      <c r="I394" s="15"/>
      <c r="J394" s="15"/>
      <c r="K394" s="15"/>
      <c r="L394" s="15"/>
      <c r="M394" s="15"/>
      <c r="N394" s="46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1:28" ht="15.75" customHeight="1">
      <c r="A395" s="15"/>
      <c r="B395" s="15"/>
      <c r="C395" s="15"/>
      <c r="D395" s="16"/>
      <c r="E395" s="16"/>
      <c r="F395" s="15"/>
      <c r="G395" s="15"/>
      <c r="H395" s="15"/>
      <c r="I395" s="15"/>
      <c r="J395" s="15"/>
      <c r="K395" s="15"/>
      <c r="L395" s="15"/>
      <c r="M395" s="15"/>
      <c r="N395" s="46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 ht="15.75" customHeight="1">
      <c r="A396" s="15"/>
      <c r="B396" s="15"/>
      <c r="C396" s="15"/>
      <c r="D396" s="16"/>
      <c r="E396" s="16"/>
      <c r="F396" s="15"/>
      <c r="G396" s="15"/>
      <c r="H396" s="15"/>
      <c r="I396" s="15"/>
      <c r="J396" s="15"/>
      <c r="K396" s="15"/>
      <c r="L396" s="15"/>
      <c r="M396" s="15"/>
      <c r="N396" s="46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 ht="15.75" customHeight="1">
      <c r="A397" s="15"/>
      <c r="B397" s="15"/>
      <c r="C397" s="15"/>
      <c r="D397" s="16"/>
      <c r="E397" s="16"/>
      <c r="F397" s="15"/>
      <c r="G397" s="15"/>
      <c r="H397" s="15"/>
      <c r="I397" s="15"/>
      <c r="J397" s="15"/>
      <c r="K397" s="15"/>
      <c r="L397" s="15"/>
      <c r="M397" s="15"/>
      <c r="N397" s="46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1:28" ht="15.75" customHeight="1">
      <c r="A398" s="15"/>
      <c r="B398" s="15"/>
      <c r="C398" s="15"/>
      <c r="D398" s="16"/>
      <c r="E398" s="16"/>
      <c r="F398" s="15"/>
      <c r="G398" s="15"/>
      <c r="H398" s="15"/>
      <c r="I398" s="15"/>
      <c r="J398" s="15"/>
      <c r="K398" s="15"/>
      <c r="L398" s="15"/>
      <c r="M398" s="15"/>
      <c r="N398" s="46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1:28" ht="15.75" customHeight="1">
      <c r="A399" s="15"/>
      <c r="B399" s="15"/>
      <c r="C399" s="15"/>
      <c r="D399" s="16"/>
      <c r="E399" s="16"/>
      <c r="F399" s="15"/>
      <c r="G399" s="15"/>
      <c r="H399" s="15"/>
      <c r="I399" s="15"/>
      <c r="J399" s="15"/>
      <c r="K399" s="15"/>
      <c r="L399" s="15"/>
      <c r="M399" s="15"/>
      <c r="N399" s="46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1:28" ht="15.75" customHeight="1">
      <c r="A400" s="15"/>
      <c r="B400" s="15"/>
      <c r="C400" s="15"/>
      <c r="D400" s="16"/>
      <c r="E400" s="16"/>
      <c r="F400" s="15"/>
      <c r="G400" s="15"/>
      <c r="H400" s="15"/>
      <c r="I400" s="15"/>
      <c r="J400" s="15"/>
      <c r="K400" s="15"/>
      <c r="L400" s="15"/>
      <c r="M400" s="15"/>
      <c r="N400" s="46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1:28" ht="15.75" customHeight="1">
      <c r="A401" s="15"/>
      <c r="B401" s="15"/>
      <c r="C401" s="15"/>
      <c r="D401" s="16"/>
      <c r="E401" s="16"/>
      <c r="F401" s="15"/>
      <c r="G401" s="15"/>
      <c r="H401" s="15"/>
      <c r="I401" s="15"/>
      <c r="J401" s="15"/>
      <c r="K401" s="15"/>
      <c r="L401" s="15"/>
      <c r="M401" s="15"/>
      <c r="N401" s="46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1:28" ht="15.75" customHeight="1">
      <c r="A402" s="15"/>
      <c r="B402" s="15"/>
      <c r="C402" s="15"/>
      <c r="D402" s="16"/>
      <c r="E402" s="16"/>
      <c r="F402" s="15"/>
      <c r="G402" s="15"/>
      <c r="H402" s="15"/>
      <c r="I402" s="15"/>
      <c r="J402" s="15"/>
      <c r="K402" s="15"/>
      <c r="L402" s="15"/>
      <c r="M402" s="15"/>
      <c r="N402" s="46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1:28" ht="15.75" customHeight="1">
      <c r="A403" s="15"/>
      <c r="B403" s="15"/>
      <c r="C403" s="15"/>
      <c r="D403" s="16"/>
      <c r="E403" s="16"/>
      <c r="F403" s="15"/>
      <c r="G403" s="15"/>
      <c r="H403" s="15"/>
      <c r="I403" s="15"/>
      <c r="J403" s="15"/>
      <c r="K403" s="15"/>
      <c r="L403" s="15"/>
      <c r="M403" s="15"/>
      <c r="N403" s="46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1:28" ht="15.75" customHeight="1">
      <c r="A404" s="15"/>
      <c r="B404" s="15"/>
      <c r="C404" s="15"/>
      <c r="D404" s="16"/>
      <c r="E404" s="16"/>
      <c r="F404" s="15"/>
      <c r="G404" s="15"/>
      <c r="H404" s="15"/>
      <c r="I404" s="15"/>
      <c r="J404" s="15"/>
      <c r="K404" s="15"/>
      <c r="L404" s="15"/>
      <c r="M404" s="15"/>
      <c r="N404" s="46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1:28" ht="15.75" customHeight="1">
      <c r="A405" s="15"/>
      <c r="B405" s="15"/>
      <c r="C405" s="15"/>
      <c r="D405" s="16"/>
      <c r="E405" s="16"/>
      <c r="F405" s="15"/>
      <c r="G405" s="15"/>
      <c r="H405" s="15"/>
      <c r="I405" s="15"/>
      <c r="J405" s="15"/>
      <c r="K405" s="15"/>
      <c r="L405" s="15"/>
      <c r="M405" s="15"/>
      <c r="N405" s="46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1:28" ht="15.75" customHeight="1">
      <c r="A406" s="15"/>
      <c r="B406" s="15"/>
      <c r="C406" s="15"/>
      <c r="D406" s="16"/>
      <c r="E406" s="16"/>
      <c r="F406" s="15"/>
      <c r="G406" s="15"/>
      <c r="H406" s="15"/>
      <c r="I406" s="15"/>
      <c r="J406" s="15"/>
      <c r="K406" s="15"/>
      <c r="L406" s="15"/>
      <c r="M406" s="15"/>
      <c r="N406" s="46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1:28" ht="15.75" customHeight="1">
      <c r="A407" s="15"/>
      <c r="B407" s="15"/>
      <c r="C407" s="15"/>
      <c r="D407" s="16"/>
      <c r="E407" s="16"/>
      <c r="F407" s="15"/>
      <c r="G407" s="15"/>
      <c r="H407" s="15"/>
      <c r="I407" s="15"/>
      <c r="J407" s="15"/>
      <c r="K407" s="15"/>
      <c r="L407" s="15"/>
      <c r="M407" s="15"/>
      <c r="N407" s="46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1:28" ht="15.75" customHeight="1">
      <c r="A408" s="15"/>
      <c r="B408" s="15"/>
      <c r="C408" s="15"/>
      <c r="D408" s="16"/>
      <c r="E408" s="16"/>
      <c r="F408" s="15"/>
      <c r="G408" s="15"/>
      <c r="H408" s="15"/>
      <c r="I408" s="15"/>
      <c r="J408" s="15"/>
      <c r="K408" s="15"/>
      <c r="L408" s="15"/>
      <c r="M408" s="15"/>
      <c r="N408" s="46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1:28" ht="15.75" customHeight="1">
      <c r="A409" s="15"/>
      <c r="B409" s="15"/>
      <c r="C409" s="15"/>
      <c r="D409" s="16"/>
      <c r="E409" s="16"/>
      <c r="F409" s="15"/>
      <c r="G409" s="15"/>
      <c r="H409" s="15"/>
      <c r="I409" s="15"/>
      <c r="J409" s="15"/>
      <c r="K409" s="15"/>
      <c r="L409" s="15"/>
      <c r="M409" s="15"/>
      <c r="N409" s="46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1:28" ht="15.75" customHeight="1">
      <c r="A410" s="15"/>
      <c r="B410" s="15"/>
      <c r="C410" s="15"/>
      <c r="D410" s="16"/>
      <c r="E410" s="16"/>
      <c r="F410" s="15"/>
      <c r="G410" s="15"/>
      <c r="H410" s="15"/>
      <c r="I410" s="15"/>
      <c r="J410" s="15"/>
      <c r="K410" s="15"/>
      <c r="L410" s="15"/>
      <c r="M410" s="15"/>
      <c r="N410" s="46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1:28" ht="15.75" customHeight="1">
      <c r="A411" s="15"/>
      <c r="B411" s="15"/>
      <c r="C411" s="15"/>
      <c r="D411" s="16"/>
      <c r="E411" s="16"/>
      <c r="F411" s="15"/>
      <c r="G411" s="15"/>
      <c r="H411" s="15"/>
      <c r="I411" s="15"/>
      <c r="J411" s="15"/>
      <c r="K411" s="15"/>
      <c r="L411" s="15"/>
      <c r="M411" s="15"/>
      <c r="N411" s="46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1:28" ht="15.75" customHeight="1">
      <c r="A412" s="15"/>
      <c r="B412" s="15"/>
      <c r="C412" s="15"/>
      <c r="D412" s="16"/>
      <c r="E412" s="16"/>
      <c r="F412" s="15"/>
      <c r="G412" s="15"/>
      <c r="H412" s="15"/>
      <c r="I412" s="15"/>
      <c r="J412" s="15"/>
      <c r="K412" s="15"/>
      <c r="L412" s="15"/>
      <c r="M412" s="15"/>
      <c r="N412" s="46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1:28" ht="15.75" customHeight="1">
      <c r="A413" s="15"/>
      <c r="B413" s="15"/>
      <c r="C413" s="15"/>
      <c r="D413" s="16"/>
      <c r="E413" s="16"/>
      <c r="F413" s="15"/>
      <c r="G413" s="15"/>
      <c r="H413" s="15"/>
      <c r="I413" s="15"/>
      <c r="J413" s="15"/>
      <c r="K413" s="15"/>
      <c r="L413" s="15"/>
      <c r="M413" s="15"/>
      <c r="N413" s="46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1:28" ht="15.75" customHeight="1">
      <c r="A414" s="15"/>
      <c r="B414" s="15"/>
      <c r="C414" s="15"/>
      <c r="D414" s="16"/>
      <c r="E414" s="16"/>
      <c r="F414" s="15"/>
      <c r="G414" s="15"/>
      <c r="H414" s="15"/>
      <c r="I414" s="15"/>
      <c r="J414" s="15"/>
      <c r="K414" s="15"/>
      <c r="L414" s="15"/>
      <c r="M414" s="15"/>
      <c r="N414" s="46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1:28" ht="15.75" customHeight="1">
      <c r="A415" s="15"/>
      <c r="B415" s="15"/>
      <c r="C415" s="15"/>
      <c r="D415" s="16"/>
      <c r="E415" s="16"/>
      <c r="F415" s="15"/>
      <c r="G415" s="15"/>
      <c r="H415" s="15"/>
      <c r="I415" s="15"/>
      <c r="J415" s="15"/>
      <c r="K415" s="15"/>
      <c r="L415" s="15"/>
      <c r="M415" s="15"/>
      <c r="N415" s="46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1:28" ht="15.75" customHeight="1">
      <c r="A416" s="15"/>
      <c r="B416" s="15"/>
      <c r="C416" s="15"/>
      <c r="D416" s="16"/>
      <c r="E416" s="16"/>
      <c r="F416" s="15"/>
      <c r="G416" s="15"/>
      <c r="H416" s="15"/>
      <c r="I416" s="15"/>
      <c r="J416" s="15"/>
      <c r="K416" s="15"/>
      <c r="L416" s="15"/>
      <c r="M416" s="15"/>
      <c r="N416" s="46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1:28" ht="15.75" customHeight="1">
      <c r="A417" s="15"/>
      <c r="B417" s="15"/>
      <c r="C417" s="15"/>
      <c r="D417" s="16"/>
      <c r="E417" s="16"/>
      <c r="F417" s="15"/>
      <c r="G417" s="15"/>
      <c r="H417" s="15"/>
      <c r="I417" s="15"/>
      <c r="J417" s="15"/>
      <c r="K417" s="15"/>
      <c r="L417" s="15"/>
      <c r="M417" s="15"/>
      <c r="N417" s="46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1:28" ht="15.75" customHeight="1">
      <c r="A418" s="15"/>
      <c r="B418" s="15"/>
      <c r="C418" s="15"/>
      <c r="D418" s="16"/>
      <c r="E418" s="16"/>
      <c r="F418" s="15"/>
      <c r="G418" s="15"/>
      <c r="H418" s="15"/>
      <c r="I418" s="15"/>
      <c r="J418" s="15"/>
      <c r="K418" s="15"/>
      <c r="L418" s="15"/>
      <c r="M418" s="15"/>
      <c r="N418" s="46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1:28" ht="15.75" customHeight="1">
      <c r="A419" s="15"/>
      <c r="B419" s="15"/>
      <c r="C419" s="15"/>
      <c r="D419" s="16"/>
      <c r="E419" s="16"/>
      <c r="F419" s="15"/>
      <c r="G419" s="15"/>
      <c r="H419" s="15"/>
      <c r="I419" s="15"/>
      <c r="J419" s="15"/>
      <c r="K419" s="15"/>
      <c r="L419" s="15"/>
      <c r="M419" s="15"/>
      <c r="N419" s="46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1:28" ht="15.75" customHeight="1">
      <c r="A420" s="15"/>
      <c r="B420" s="15"/>
      <c r="C420" s="15"/>
      <c r="D420" s="16"/>
      <c r="E420" s="16"/>
      <c r="F420" s="15"/>
      <c r="G420" s="15"/>
      <c r="H420" s="15"/>
      <c r="I420" s="15"/>
      <c r="J420" s="15"/>
      <c r="K420" s="15"/>
      <c r="L420" s="15"/>
      <c r="M420" s="15"/>
      <c r="N420" s="46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1:28" ht="15.75" customHeight="1">
      <c r="A421" s="15"/>
      <c r="B421" s="15"/>
      <c r="C421" s="15"/>
      <c r="D421" s="16"/>
      <c r="E421" s="16"/>
      <c r="F421" s="15"/>
      <c r="G421" s="15"/>
      <c r="H421" s="15"/>
      <c r="I421" s="15"/>
      <c r="J421" s="15"/>
      <c r="K421" s="15"/>
      <c r="L421" s="15"/>
      <c r="M421" s="15"/>
      <c r="N421" s="46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1:28" ht="15.75" customHeight="1">
      <c r="A422" s="15"/>
      <c r="B422" s="15"/>
      <c r="C422" s="15"/>
      <c r="D422" s="16"/>
      <c r="E422" s="16"/>
      <c r="F422" s="15"/>
      <c r="G422" s="15"/>
      <c r="H422" s="15"/>
      <c r="I422" s="15"/>
      <c r="J422" s="15"/>
      <c r="K422" s="15"/>
      <c r="L422" s="15"/>
      <c r="M422" s="15"/>
      <c r="N422" s="46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1:28" ht="15.75" customHeight="1">
      <c r="A423" s="15"/>
      <c r="B423" s="15"/>
      <c r="C423" s="15"/>
      <c r="D423" s="16"/>
      <c r="E423" s="16"/>
      <c r="F423" s="15"/>
      <c r="G423" s="15"/>
      <c r="H423" s="15"/>
      <c r="I423" s="15"/>
      <c r="J423" s="15"/>
      <c r="K423" s="15"/>
      <c r="L423" s="15"/>
      <c r="M423" s="15"/>
      <c r="N423" s="46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1:28" ht="15.75" customHeight="1">
      <c r="A424" s="15"/>
      <c r="B424" s="15"/>
      <c r="C424" s="15"/>
      <c r="D424" s="16"/>
      <c r="E424" s="16"/>
      <c r="F424" s="15"/>
      <c r="G424" s="15"/>
      <c r="H424" s="15"/>
      <c r="I424" s="15"/>
      <c r="J424" s="15"/>
      <c r="K424" s="15"/>
      <c r="L424" s="15"/>
      <c r="M424" s="15"/>
      <c r="N424" s="46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1:28" ht="15.75" customHeight="1">
      <c r="A425" s="15"/>
      <c r="B425" s="15"/>
      <c r="C425" s="15"/>
      <c r="D425" s="16"/>
      <c r="E425" s="16"/>
      <c r="F425" s="15"/>
      <c r="G425" s="15"/>
      <c r="H425" s="15"/>
      <c r="I425" s="15"/>
      <c r="J425" s="15"/>
      <c r="K425" s="15"/>
      <c r="L425" s="15"/>
      <c r="M425" s="15"/>
      <c r="N425" s="46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1:28" ht="15.75" customHeight="1">
      <c r="A426" s="15"/>
      <c r="B426" s="15"/>
      <c r="C426" s="15"/>
      <c r="D426" s="16"/>
      <c r="E426" s="16"/>
      <c r="F426" s="15"/>
      <c r="G426" s="15"/>
      <c r="H426" s="15"/>
      <c r="I426" s="15"/>
      <c r="J426" s="15"/>
      <c r="K426" s="15"/>
      <c r="L426" s="15"/>
      <c r="M426" s="15"/>
      <c r="N426" s="46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1:28" ht="15.75" customHeight="1">
      <c r="A427" s="15"/>
      <c r="B427" s="15"/>
      <c r="C427" s="15"/>
      <c r="D427" s="16"/>
      <c r="E427" s="16"/>
      <c r="F427" s="15"/>
      <c r="G427" s="15"/>
      <c r="H427" s="15"/>
      <c r="I427" s="15"/>
      <c r="J427" s="15"/>
      <c r="K427" s="15"/>
      <c r="L427" s="15"/>
      <c r="M427" s="15"/>
      <c r="N427" s="46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1:28" ht="15.75" customHeight="1">
      <c r="A428" s="15"/>
      <c r="B428" s="15"/>
      <c r="C428" s="15"/>
      <c r="D428" s="16"/>
      <c r="E428" s="16"/>
      <c r="F428" s="15"/>
      <c r="G428" s="15"/>
      <c r="H428" s="15"/>
      <c r="I428" s="15"/>
      <c r="J428" s="15"/>
      <c r="K428" s="15"/>
      <c r="L428" s="15"/>
      <c r="M428" s="15"/>
      <c r="N428" s="46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1:28" ht="15.75" customHeight="1">
      <c r="A429" s="15"/>
      <c r="B429" s="15"/>
      <c r="C429" s="15"/>
      <c r="D429" s="16"/>
      <c r="E429" s="16"/>
      <c r="F429" s="15"/>
      <c r="G429" s="15"/>
      <c r="H429" s="15"/>
      <c r="I429" s="15"/>
      <c r="J429" s="15"/>
      <c r="K429" s="15"/>
      <c r="L429" s="15"/>
      <c r="M429" s="15"/>
      <c r="N429" s="46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1:28" ht="15.75" customHeight="1">
      <c r="A430" s="15"/>
      <c r="B430" s="15"/>
      <c r="C430" s="15"/>
      <c r="D430" s="16"/>
      <c r="E430" s="16"/>
      <c r="F430" s="15"/>
      <c r="G430" s="15"/>
      <c r="H430" s="15"/>
      <c r="I430" s="15"/>
      <c r="J430" s="15"/>
      <c r="K430" s="15"/>
      <c r="L430" s="15"/>
      <c r="M430" s="15"/>
      <c r="N430" s="46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1:28" ht="15.75" customHeight="1">
      <c r="A431" s="15"/>
      <c r="B431" s="15"/>
      <c r="C431" s="15"/>
      <c r="D431" s="16"/>
      <c r="E431" s="16"/>
      <c r="F431" s="15"/>
      <c r="G431" s="15"/>
      <c r="H431" s="15"/>
      <c r="I431" s="15"/>
      <c r="J431" s="15"/>
      <c r="K431" s="15"/>
      <c r="L431" s="15"/>
      <c r="M431" s="15"/>
      <c r="N431" s="46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1:28" ht="15.75" customHeight="1">
      <c r="A432" s="15"/>
      <c r="B432" s="15"/>
      <c r="C432" s="15"/>
      <c r="D432" s="16"/>
      <c r="E432" s="16"/>
      <c r="F432" s="15"/>
      <c r="G432" s="15"/>
      <c r="H432" s="15"/>
      <c r="I432" s="15"/>
      <c r="J432" s="15"/>
      <c r="K432" s="15"/>
      <c r="L432" s="15"/>
      <c r="M432" s="15"/>
      <c r="N432" s="46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1:28" ht="15.75" customHeight="1">
      <c r="A433" s="15"/>
      <c r="B433" s="15"/>
      <c r="C433" s="15"/>
      <c r="D433" s="16"/>
      <c r="E433" s="16"/>
      <c r="F433" s="15"/>
      <c r="G433" s="15"/>
      <c r="H433" s="15"/>
      <c r="I433" s="15"/>
      <c r="J433" s="15"/>
      <c r="K433" s="15"/>
      <c r="L433" s="15"/>
      <c r="M433" s="15"/>
      <c r="N433" s="46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1:28" ht="15.75" customHeight="1">
      <c r="A434" s="15"/>
      <c r="B434" s="15"/>
      <c r="C434" s="15"/>
      <c r="D434" s="16"/>
      <c r="E434" s="16"/>
      <c r="F434" s="15"/>
      <c r="G434" s="15"/>
      <c r="H434" s="15"/>
      <c r="I434" s="15"/>
      <c r="J434" s="15"/>
      <c r="K434" s="15"/>
      <c r="L434" s="15"/>
      <c r="M434" s="15"/>
      <c r="N434" s="46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 ht="15.75" customHeight="1">
      <c r="A435" s="15"/>
      <c r="B435" s="15"/>
      <c r="C435" s="15"/>
      <c r="D435" s="16"/>
      <c r="E435" s="16"/>
      <c r="F435" s="15"/>
      <c r="G435" s="15"/>
      <c r="H435" s="15"/>
      <c r="I435" s="15"/>
      <c r="J435" s="15"/>
      <c r="K435" s="15"/>
      <c r="L435" s="15"/>
      <c r="M435" s="15"/>
      <c r="N435" s="46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1:28" ht="15.75" customHeight="1">
      <c r="A436" s="15"/>
      <c r="B436" s="15"/>
      <c r="C436" s="15"/>
      <c r="D436" s="16"/>
      <c r="E436" s="16"/>
      <c r="F436" s="15"/>
      <c r="G436" s="15"/>
      <c r="H436" s="15"/>
      <c r="I436" s="15"/>
      <c r="J436" s="15"/>
      <c r="K436" s="15"/>
      <c r="L436" s="15"/>
      <c r="M436" s="15"/>
      <c r="N436" s="46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1:28" ht="15.75" customHeight="1">
      <c r="A437" s="15"/>
      <c r="B437" s="15"/>
      <c r="C437" s="15"/>
      <c r="D437" s="16"/>
      <c r="E437" s="16"/>
      <c r="F437" s="15"/>
      <c r="G437" s="15"/>
      <c r="H437" s="15"/>
      <c r="I437" s="15"/>
      <c r="J437" s="15"/>
      <c r="K437" s="15"/>
      <c r="L437" s="15"/>
      <c r="M437" s="15"/>
      <c r="N437" s="46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1:28" ht="15.75" customHeight="1">
      <c r="A438" s="15"/>
      <c r="B438" s="15"/>
      <c r="C438" s="15"/>
      <c r="D438" s="16"/>
      <c r="E438" s="16"/>
      <c r="F438" s="15"/>
      <c r="G438" s="15"/>
      <c r="H438" s="15"/>
      <c r="I438" s="15"/>
      <c r="J438" s="15"/>
      <c r="K438" s="15"/>
      <c r="L438" s="15"/>
      <c r="M438" s="15"/>
      <c r="N438" s="46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1:28" ht="15.75" customHeight="1">
      <c r="A439" s="15"/>
      <c r="B439" s="15"/>
      <c r="C439" s="15"/>
      <c r="D439" s="16"/>
      <c r="E439" s="16"/>
      <c r="F439" s="15"/>
      <c r="G439" s="15"/>
      <c r="H439" s="15"/>
      <c r="I439" s="15"/>
      <c r="J439" s="15"/>
      <c r="K439" s="15"/>
      <c r="L439" s="15"/>
      <c r="M439" s="15"/>
      <c r="N439" s="46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1:28" ht="15.75" customHeight="1">
      <c r="A440" s="15"/>
      <c r="B440" s="15"/>
      <c r="C440" s="15"/>
      <c r="D440" s="16"/>
      <c r="E440" s="16"/>
      <c r="F440" s="15"/>
      <c r="G440" s="15"/>
      <c r="H440" s="15"/>
      <c r="I440" s="15"/>
      <c r="J440" s="15"/>
      <c r="K440" s="15"/>
      <c r="L440" s="15"/>
      <c r="M440" s="15"/>
      <c r="N440" s="46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1:28" ht="15.75" customHeight="1">
      <c r="A441" s="15"/>
      <c r="B441" s="15"/>
      <c r="C441" s="15"/>
      <c r="D441" s="16"/>
      <c r="E441" s="16"/>
      <c r="F441" s="15"/>
      <c r="G441" s="15"/>
      <c r="H441" s="15"/>
      <c r="I441" s="15"/>
      <c r="J441" s="15"/>
      <c r="K441" s="15"/>
      <c r="L441" s="15"/>
      <c r="M441" s="15"/>
      <c r="N441" s="46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1:28" ht="15.75" customHeight="1">
      <c r="A442" s="15"/>
      <c r="B442" s="15"/>
      <c r="C442" s="15"/>
      <c r="D442" s="16"/>
      <c r="E442" s="16"/>
      <c r="F442" s="15"/>
      <c r="G442" s="15"/>
      <c r="H442" s="15"/>
      <c r="I442" s="15"/>
      <c r="J442" s="15"/>
      <c r="K442" s="15"/>
      <c r="L442" s="15"/>
      <c r="M442" s="15"/>
      <c r="N442" s="46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1:28" ht="15.75" customHeight="1">
      <c r="A443" s="15"/>
      <c r="B443" s="15"/>
      <c r="C443" s="15"/>
      <c r="D443" s="16"/>
      <c r="E443" s="16"/>
      <c r="F443" s="15"/>
      <c r="G443" s="15"/>
      <c r="H443" s="15"/>
      <c r="I443" s="15"/>
      <c r="J443" s="15"/>
      <c r="K443" s="15"/>
      <c r="L443" s="15"/>
      <c r="M443" s="15"/>
      <c r="N443" s="46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1:28" ht="15.75" customHeight="1">
      <c r="A444" s="15"/>
      <c r="B444" s="15"/>
      <c r="C444" s="15"/>
      <c r="D444" s="16"/>
      <c r="E444" s="16"/>
      <c r="F444" s="15"/>
      <c r="G444" s="15"/>
      <c r="H444" s="15"/>
      <c r="I444" s="15"/>
      <c r="J444" s="15"/>
      <c r="K444" s="15"/>
      <c r="L444" s="15"/>
      <c r="M444" s="15"/>
      <c r="N444" s="46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1:28" ht="15.75" customHeight="1">
      <c r="A445" s="15"/>
      <c r="B445" s="15"/>
      <c r="C445" s="15"/>
      <c r="D445" s="16"/>
      <c r="E445" s="16"/>
      <c r="F445" s="15"/>
      <c r="G445" s="15"/>
      <c r="H445" s="15"/>
      <c r="I445" s="15"/>
      <c r="J445" s="15"/>
      <c r="K445" s="15"/>
      <c r="L445" s="15"/>
      <c r="M445" s="15"/>
      <c r="N445" s="46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1:28" ht="15.75" customHeight="1">
      <c r="A446" s="15"/>
      <c r="B446" s="15"/>
      <c r="C446" s="15"/>
      <c r="D446" s="16"/>
      <c r="E446" s="16"/>
      <c r="F446" s="15"/>
      <c r="G446" s="15"/>
      <c r="H446" s="15"/>
      <c r="I446" s="15"/>
      <c r="J446" s="15"/>
      <c r="K446" s="15"/>
      <c r="L446" s="15"/>
      <c r="M446" s="15"/>
      <c r="N446" s="46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1:28" ht="15.75" customHeight="1">
      <c r="A447" s="15"/>
      <c r="B447" s="15"/>
      <c r="C447" s="15"/>
      <c r="D447" s="16"/>
      <c r="E447" s="16"/>
      <c r="F447" s="15"/>
      <c r="G447" s="15"/>
      <c r="H447" s="15"/>
      <c r="I447" s="15"/>
      <c r="J447" s="15"/>
      <c r="K447" s="15"/>
      <c r="L447" s="15"/>
      <c r="M447" s="15"/>
      <c r="N447" s="46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1:28" ht="15.75" customHeight="1">
      <c r="A448" s="15"/>
      <c r="B448" s="15"/>
      <c r="C448" s="15"/>
      <c r="D448" s="16"/>
      <c r="E448" s="16"/>
      <c r="F448" s="15"/>
      <c r="G448" s="15"/>
      <c r="H448" s="15"/>
      <c r="I448" s="15"/>
      <c r="J448" s="15"/>
      <c r="K448" s="15"/>
      <c r="L448" s="15"/>
      <c r="M448" s="15"/>
      <c r="N448" s="46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1:28" ht="15.75" customHeight="1">
      <c r="A449" s="15"/>
      <c r="B449" s="15"/>
      <c r="C449" s="15"/>
      <c r="D449" s="16"/>
      <c r="E449" s="16"/>
      <c r="F449" s="15"/>
      <c r="G449" s="15"/>
      <c r="H449" s="15"/>
      <c r="I449" s="15"/>
      <c r="J449" s="15"/>
      <c r="K449" s="15"/>
      <c r="L449" s="15"/>
      <c r="M449" s="15"/>
      <c r="N449" s="46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1:28" ht="15.75" customHeight="1">
      <c r="A450" s="15"/>
      <c r="B450" s="15"/>
      <c r="C450" s="15"/>
      <c r="D450" s="16"/>
      <c r="E450" s="16"/>
      <c r="F450" s="15"/>
      <c r="G450" s="15"/>
      <c r="H450" s="15"/>
      <c r="I450" s="15"/>
      <c r="J450" s="15"/>
      <c r="K450" s="15"/>
      <c r="L450" s="15"/>
      <c r="M450" s="15"/>
      <c r="N450" s="46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1:28" ht="15.75" customHeight="1">
      <c r="A451" s="15"/>
      <c r="B451" s="15"/>
      <c r="C451" s="15"/>
      <c r="D451" s="16"/>
      <c r="E451" s="16"/>
      <c r="F451" s="15"/>
      <c r="G451" s="15"/>
      <c r="H451" s="15"/>
      <c r="I451" s="15"/>
      <c r="J451" s="15"/>
      <c r="K451" s="15"/>
      <c r="L451" s="15"/>
      <c r="M451" s="15"/>
      <c r="N451" s="46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1:28" ht="15.75" customHeight="1">
      <c r="A452" s="15"/>
      <c r="B452" s="15"/>
      <c r="C452" s="15"/>
      <c r="D452" s="16"/>
      <c r="E452" s="16"/>
      <c r="F452" s="15"/>
      <c r="G452" s="15"/>
      <c r="H452" s="15"/>
      <c r="I452" s="15"/>
      <c r="J452" s="15"/>
      <c r="K452" s="15"/>
      <c r="L452" s="15"/>
      <c r="M452" s="15"/>
      <c r="N452" s="46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1:28" ht="15.75" customHeight="1">
      <c r="A453" s="15"/>
      <c r="B453" s="15"/>
      <c r="C453" s="15"/>
      <c r="D453" s="16"/>
      <c r="E453" s="16"/>
      <c r="F453" s="15"/>
      <c r="G453" s="15"/>
      <c r="H453" s="15"/>
      <c r="I453" s="15"/>
      <c r="J453" s="15"/>
      <c r="K453" s="15"/>
      <c r="L453" s="15"/>
      <c r="M453" s="15"/>
      <c r="N453" s="46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spans="1:28" ht="15.75" customHeight="1">
      <c r="A454" s="15"/>
      <c r="B454" s="15"/>
      <c r="C454" s="15"/>
      <c r="D454" s="16"/>
      <c r="E454" s="16"/>
      <c r="F454" s="15"/>
      <c r="G454" s="15"/>
      <c r="H454" s="15"/>
      <c r="I454" s="15"/>
      <c r="J454" s="15"/>
      <c r="K454" s="15"/>
      <c r="L454" s="15"/>
      <c r="M454" s="15"/>
      <c r="N454" s="46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spans="1:28" ht="15.75" customHeight="1">
      <c r="A455" s="15"/>
      <c r="B455" s="15"/>
      <c r="C455" s="15"/>
      <c r="D455" s="16"/>
      <c r="E455" s="16"/>
      <c r="F455" s="15"/>
      <c r="G455" s="15"/>
      <c r="H455" s="15"/>
      <c r="I455" s="15"/>
      <c r="J455" s="15"/>
      <c r="K455" s="15"/>
      <c r="L455" s="15"/>
      <c r="M455" s="15"/>
      <c r="N455" s="46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spans="1:28" ht="15.75" customHeight="1">
      <c r="A456" s="15"/>
      <c r="B456" s="15"/>
      <c r="C456" s="15"/>
      <c r="D456" s="16"/>
      <c r="E456" s="16"/>
      <c r="F456" s="15"/>
      <c r="G456" s="15"/>
      <c r="H456" s="15"/>
      <c r="I456" s="15"/>
      <c r="J456" s="15"/>
      <c r="K456" s="15"/>
      <c r="L456" s="15"/>
      <c r="M456" s="15"/>
      <c r="N456" s="46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spans="1:28" ht="15.75" customHeight="1">
      <c r="A457" s="15"/>
      <c r="B457" s="15"/>
      <c r="C457" s="15"/>
      <c r="D457" s="16"/>
      <c r="E457" s="16"/>
      <c r="F457" s="15"/>
      <c r="G457" s="15"/>
      <c r="H457" s="15"/>
      <c r="I457" s="15"/>
      <c r="J457" s="15"/>
      <c r="K457" s="15"/>
      <c r="L457" s="15"/>
      <c r="M457" s="15"/>
      <c r="N457" s="46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1:28" ht="15.75" customHeight="1">
      <c r="A458" s="15"/>
      <c r="B458" s="15"/>
      <c r="C458" s="15"/>
      <c r="D458" s="16"/>
      <c r="E458" s="16"/>
      <c r="F458" s="15"/>
      <c r="G458" s="15"/>
      <c r="H458" s="15"/>
      <c r="I458" s="15"/>
      <c r="J458" s="15"/>
      <c r="K458" s="15"/>
      <c r="L458" s="15"/>
      <c r="M458" s="15"/>
      <c r="N458" s="46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spans="1:28" ht="15.75" customHeight="1">
      <c r="A459" s="15"/>
      <c r="B459" s="15"/>
      <c r="C459" s="15"/>
      <c r="D459" s="16"/>
      <c r="E459" s="16"/>
      <c r="F459" s="15"/>
      <c r="G459" s="15"/>
      <c r="H459" s="15"/>
      <c r="I459" s="15"/>
      <c r="J459" s="15"/>
      <c r="K459" s="15"/>
      <c r="L459" s="15"/>
      <c r="M459" s="15"/>
      <c r="N459" s="46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1:28" ht="15.75" customHeight="1">
      <c r="A460" s="15"/>
      <c r="B460" s="15"/>
      <c r="C460" s="15"/>
      <c r="D460" s="16"/>
      <c r="E460" s="16"/>
      <c r="F460" s="15"/>
      <c r="G460" s="15"/>
      <c r="H460" s="15"/>
      <c r="I460" s="15"/>
      <c r="J460" s="15"/>
      <c r="K460" s="15"/>
      <c r="L460" s="15"/>
      <c r="M460" s="15"/>
      <c r="N460" s="46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1:28" ht="15.75" customHeight="1">
      <c r="A461" s="15"/>
      <c r="B461" s="15"/>
      <c r="C461" s="15"/>
      <c r="D461" s="16"/>
      <c r="E461" s="16"/>
      <c r="F461" s="15"/>
      <c r="G461" s="15"/>
      <c r="H461" s="15"/>
      <c r="I461" s="15"/>
      <c r="J461" s="15"/>
      <c r="K461" s="15"/>
      <c r="L461" s="15"/>
      <c r="M461" s="15"/>
      <c r="N461" s="46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1:28" ht="15.75" customHeight="1">
      <c r="A462" s="15"/>
      <c r="B462" s="15"/>
      <c r="C462" s="15"/>
      <c r="D462" s="16"/>
      <c r="E462" s="16"/>
      <c r="F462" s="15"/>
      <c r="G462" s="15"/>
      <c r="H462" s="15"/>
      <c r="I462" s="15"/>
      <c r="J462" s="15"/>
      <c r="K462" s="15"/>
      <c r="L462" s="15"/>
      <c r="M462" s="15"/>
      <c r="N462" s="46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1:28" ht="15.75" customHeight="1">
      <c r="A463" s="15"/>
      <c r="B463" s="15"/>
      <c r="C463" s="15"/>
      <c r="D463" s="16"/>
      <c r="E463" s="16"/>
      <c r="F463" s="15"/>
      <c r="G463" s="15"/>
      <c r="H463" s="15"/>
      <c r="I463" s="15"/>
      <c r="J463" s="15"/>
      <c r="K463" s="15"/>
      <c r="L463" s="15"/>
      <c r="M463" s="15"/>
      <c r="N463" s="46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1:28" ht="15.75" customHeight="1">
      <c r="A464" s="15"/>
      <c r="B464" s="15"/>
      <c r="C464" s="15"/>
      <c r="D464" s="16"/>
      <c r="E464" s="16"/>
      <c r="F464" s="15"/>
      <c r="G464" s="15"/>
      <c r="H464" s="15"/>
      <c r="I464" s="15"/>
      <c r="J464" s="15"/>
      <c r="K464" s="15"/>
      <c r="L464" s="15"/>
      <c r="M464" s="15"/>
      <c r="N464" s="46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1:28" ht="15.75" customHeight="1">
      <c r="A465" s="15"/>
      <c r="B465" s="15"/>
      <c r="C465" s="15"/>
      <c r="D465" s="16"/>
      <c r="E465" s="16"/>
      <c r="F465" s="15"/>
      <c r="G465" s="15"/>
      <c r="H465" s="15"/>
      <c r="I465" s="15"/>
      <c r="J465" s="15"/>
      <c r="K465" s="15"/>
      <c r="L465" s="15"/>
      <c r="M465" s="15"/>
      <c r="N465" s="46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1:28" ht="15.75" customHeight="1">
      <c r="A466" s="15"/>
      <c r="B466" s="15"/>
      <c r="C466" s="15"/>
      <c r="D466" s="16"/>
      <c r="E466" s="16"/>
      <c r="F466" s="15"/>
      <c r="G466" s="15"/>
      <c r="H466" s="15"/>
      <c r="I466" s="15"/>
      <c r="J466" s="15"/>
      <c r="K466" s="15"/>
      <c r="L466" s="15"/>
      <c r="M466" s="15"/>
      <c r="N466" s="46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1:28" ht="15.75" customHeight="1">
      <c r="A467" s="15"/>
      <c r="B467" s="15"/>
      <c r="C467" s="15"/>
      <c r="D467" s="16"/>
      <c r="E467" s="16"/>
      <c r="F467" s="15"/>
      <c r="G467" s="15"/>
      <c r="H467" s="15"/>
      <c r="I467" s="15"/>
      <c r="J467" s="15"/>
      <c r="K467" s="15"/>
      <c r="L467" s="15"/>
      <c r="M467" s="15"/>
      <c r="N467" s="46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1:28" ht="15.75" customHeight="1">
      <c r="A468" s="15"/>
      <c r="B468" s="15"/>
      <c r="C468" s="15"/>
      <c r="D468" s="16"/>
      <c r="E468" s="16"/>
      <c r="F468" s="15"/>
      <c r="G468" s="15"/>
      <c r="H468" s="15"/>
      <c r="I468" s="15"/>
      <c r="J468" s="15"/>
      <c r="K468" s="15"/>
      <c r="L468" s="15"/>
      <c r="M468" s="15"/>
      <c r="N468" s="46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1:28" ht="15.75" customHeight="1">
      <c r="A469" s="15"/>
      <c r="B469" s="15"/>
      <c r="C469" s="15"/>
      <c r="D469" s="16"/>
      <c r="E469" s="16"/>
      <c r="F469" s="15"/>
      <c r="G469" s="15"/>
      <c r="H469" s="15"/>
      <c r="I469" s="15"/>
      <c r="J469" s="15"/>
      <c r="K469" s="15"/>
      <c r="L469" s="15"/>
      <c r="M469" s="15"/>
      <c r="N469" s="46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1:28" ht="15.75" customHeight="1">
      <c r="A470" s="15"/>
      <c r="B470" s="15"/>
      <c r="C470" s="15"/>
      <c r="D470" s="16"/>
      <c r="E470" s="16"/>
      <c r="F470" s="15"/>
      <c r="G470" s="15"/>
      <c r="H470" s="15"/>
      <c r="I470" s="15"/>
      <c r="J470" s="15"/>
      <c r="K470" s="15"/>
      <c r="L470" s="15"/>
      <c r="M470" s="15"/>
      <c r="N470" s="46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1:28" ht="15.75" customHeight="1">
      <c r="A471" s="15"/>
      <c r="B471" s="15"/>
      <c r="C471" s="15"/>
      <c r="D471" s="16"/>
      <c r="E471" s="16"/>
      <c r="F471" s="15"/>
      <c r="G471" s="15"/>
      <c r="H471" s="15"/>
      <c r="I471" s="15"/>
      <c r="J471" s="15"/>
      <c r="K471" s="15"/>
      <c r="L471" s="15"/>
      <c r="M471" s="15"/>
      <c r="N471" s="46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1:28" ht="15.75" customHeight="1">
      <c r="A472" s="15"/>
      <c r="B472" s="15"/>
      <c r="C472" s="15"/>
      <c r="D472" s="16"/>
      <c r="E472" s="16"/>
      <c r="F472" s="15"/>
      <c r="G472" s="15"/>
      <c r="H472" s="15"/>
      <c r="I472" s="15"/>
      <c r="J472" s="15"/>
      <c r="K472" s="15"/>
      <c r="L472" s="15"/>
      <c r="M472" s="15"/>
      <c r="N472" s="46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1:28" ht="15.75" customHeight="1">
      <c r="A473" s="15"/>
      <c r="B473" s="15"/>
      <c r="C473" s="15"/>
      <c r="D473" s="16"/>
      <c r="E473" s="16"/>
      <c r="F473" s="15"/>
      <c r="G473" s="15"/>
      <c r="H473" s="15"/>
      <c r="I473" s="15"/>
      <c r="J473" s="15"/>
      <c r="K473" s="15"/>
      <c r="L473" s="15"/>
      <c r="M473" s="15"/>
      <c r="N473" s="46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1:28" ht="15.75" customHeight="1">
      <c r="A474" s="15"/>
      <c r="B474" s="15"/>
      <c r="C474" s="15"/>
      <c r="D474" s="16"/>
      <c r="E474" s="16"/>
      <c r="F474" s="15"/>
      <c r="G474" s="15"/>
      <c r="H474" s="15"/>
      <c r="I474" s="15"/>
      <c r="J474" s="15"/>
      <c r="K474" s="15"/>
      <c r="L474" s="15"/>
      <c r="M474" s="15"/>
      <c r="N474" s="46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1:28" ht="15.75" customHeight="1">
      <c r="A475" s="15"/>
      <c r="B475" s="15"/>
      <c r="C475" s="15"/>
      <c r="D475" s="16"/>
      <c r="E475" s="16"/>
      <c r="F475" s="15"/>
      <c r="G475" s="15"/>
      <c r="H475" s="15"/>
      <c r="I475" s="15"/>
      <c r="J475" s="15"/>
      <c r="K475" s="15"/>
      <c r="L475" s="15"/>
      <c r="M475" s="15"/>
      <c r="N475" s="46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1:28" ht="15.75" customHeight="1">
      <c r="A476" s="15"/>
      <c r="B476" s="15"/>
      <c r="C476" s="15"/>
      <c r="D476" s="16"/>
      <c r="E476" s="16"/>
      <c r="F476" s="15"/>
      <c r="G476" s="15"/>
      <c r="H476" s="15"/>
      <c r="I476" s="15"/>
      <c r="J476" s="15"/>
      <c r="K476" s="15"/>
      <c r="L476" s="15"/>
      <c r="M476" s="15"/>
      <c r="N476" s="46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1:28" ht="15.75" customHeight="1">
      <c r="A477" s="15"/>
      <c r="B477" s="15"/>
      <c r="C477" s="15"/>
      <c r="D477" s="16"/>
      <c r="E477" s="16"/>
      <c r="F477" s="15"/>
      <c r="G477" s="15"/>
      <c r="H477" s="15"/>
      <c r="I477" s="15"/>
      <c r="J477" s="15"/>
      <c r="K477" s="15"/>
      <c r="L477" s="15"/>
      <c r="M477" s="15"/>
      <c r="N477" s="46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1:28" ht="15.75" customHeight="1">
      <c r="A478" s="15"/>
      <c r="B478" s="15"/>
      <c r="C478" s="15"/>
      <c r="D478" s="16"/>
      <c r="E478" s="16"/>
      <c r="F478" s="15"/>
      <c r="G478" s="15"/>
      <c r="H478" s="15"/>
      <c r="I478" s="15"/>
      <c r="J478" s="15"/>
      <c r="K478" s="15"/>
      <c r="L478" s="15"/>
      <c r="M478" s="15"/>
      <c r="N478" s="46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1:28" ht="15.75" customHeight="1">
      <c r="A479" s="15"/>
      <c r="B479" s="15"/>
      <c r="C479" s="15"/>
      <c r="D479" s="16"/>
      <c r="E479" s="16"/>
      <c r="F479" s="15"/>
      <c r="G479" s="15"/>
      <c r="H479" s="15"/>
      <c r="I479" s="15"/>
      <c r="J479" s="15"/>
      <c r="K479" s="15"/>
      <c r="L479" s="15"/>
      <c r="M479" s="15"/>
      <c r="N479" s="46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1:28" ht="15.75" customHeight="1">
      <c r="A480" s="15"/>
      <c r="B480" s="15"/>
      <c r="C480" s="15"/>
      <c r="D480" s="16"/>
      <c r="E480" s="16"/>
      <c r="F480" s="15"/>
      <c r="G480" s="15"/>
      <c r="H480" s="15"/>
      <c r="I480" s="15"/>
      <c r="J480" s="15"/>
      <c r="K480" s="15"/>
      <c r="L480" s="15"/>
      <c r="M480" s="15"/>
      <c r="N480" s="46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1:28" ht="15.75" customHeight="1">
      <c r="A481" s="15"/>
      <c r="B481" s="15"/>
      <c r="C481" s="15"/>
      <c r="D481" s="16"/>
      <c r="E481" s="16"/>
      <c r="F481" s="15"/>
      <c r="G481" s="15"/>
      <c r="H481" s="15"/>
      <c r="I481" s="15"/>
      <c r="J481" s="15"/>
      <c r="K481" s="15"/>
      <c r="L481" s="15"/>
      <c r="M481" s="15"/>
      <c r="N481" s="46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1:28" ht="15.75" customHeight="1">
      <c r="A482" s="15"/>
      <c r="B482" s="15"/>
      <c r="C482" s="15"/>
      <c r="D482" s="16"/>
      <c r="E482" s="16"/>
      <c r="F482" s="15"/>
      <c r="G482" s="15"/>
      <c r="H482" s="15"/>
      <c r="I482" s="15"/>
      <c r="J482" s="15"/>
      <c r="K482" s="15"/>
      <c r="L482" s="15"/>
      <c r="M482" s="15"/>
      <c r="N482" s="46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 ht="15.75" customHeight="1">
      <c r="A483" s="15"/>
      <c r="B483" s="15"/>
      <c r="C483" s="15"/>
      <c r="D483" s="16"/>
      <c r="E483" s="16"/>
      <c r="F483" s="15"/>
      <c r="G483" s="15"/>
      <c r="H483" s="15"/>
      <c r="I483" s="15"/>
      <c r="J483" s="15"/>
      <c r="K483" s="15"/>
      <c r="L483" s="15"/>
      <c r="M483" s="15"/>
      <c r="N483" s="46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1:28" ht="15.75" customHeight="1">
      <c r="A484" s="15"/>
      <c r="B484" s="15"/>
      <c r="C484" s="15"/>
      <c r="D484" s="16"/>
      <c r="E484" s="16"/>
      <c r="F484" s="15"/>
      <c r="G484" s="15"/>
      <c r="H484" s="15"/>
      <c r="I484" s="15"/>
      <c r="J484" s="15"/>
      <c r="K484" s="15"/>
      <c r="L484" s="15"/>
      <c r="M484" s="15"/>
      <c r="N484" s="46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1:28" ht="15.75" customHeight="1">
      <c r="A485" s="15"/>
      <c r="B485" s="15"/>
      <c r="C485" s="15"/>
      <c r="D485" s="16"/>
      <c r="E485" s="16"/>
      <c r="F485" s="15"/>
      <c r="G485" s="15"/>
      <c r="H485" s="15"/>
      <c r="I485" s="15"/>
      <c r="J485" s="15"/>
      <c r="K485" s="15"/>
      <c r="L485" s="15"/>
      <c r="M485" s="15"/>
      <c r="N485" s="46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1:28" ht="15.75" customHeight="1">
      <c r="A486" s="15"/>
      <c r="B486" s="15"/>
      <c r="C486" s="15"/>
      <c r="D486" s="16"/>
      <c r="E486" s="16"/>
      <c r="F486" s="15"/>
      <c r="G486" s="15"/>
      <c r="H486" s="15"/>
      <c r="I486" s="15"/>
      <c r="J486" s="15"/>
      <c r="K486" s="15"/>
      <c r="L486" s="15"/>
      <c r="M486" s="15"/>
      <c r="N486" s="46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1:28" ht="15.75" customHeight="1">
      <c r="A487" s="15"/>
      <c r="B487" s="15"/>
      <c r="C487" s="15"/>
      <c r="D487" s="16"/>
      <c r="E487" s="16"/>
      <c r="F487" s="15"/>
      <c r="G487" s="15"/>
      <c r="H487" s="15"/>
      <c r="I487" s="15"/>
      <c r="J487" s="15"/>
      <c r="K487" s="15"/>
      <c r="L487" s="15"/>
      <c r="M487" s="15"/>
      <c r="N487" s="46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1:28" ht="15.75" customHeight="1">
      <c r="A488" s="15"/>
      <c r="B488" s="15"/>
      <c r="C488" s="15"/>
      <c r="D488" s="16"/>
      <c r="E488" s="16"/>
      <c r="F488" s="15"/>
      <c r="G488" s="15"/>
      <c r="H488" s="15"/>
      <c r="I488" s="15"/>
      <c r="J488" s="15"/>
      <c r="K488" s="15"/>
      <c r="L488" s="15"/>
      <c r="M488" s="15"/>
      <c r="N488" s="46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1:28" ht="15.75" customHeight="1">
      <c r="A489" s="15"/>
      <c r="B489" s="15"/>
      <c r="C489" s="15"/>
      <c r="D489" s="16"/>
      <c r="E489" s="16"/>
      <c r="F489" s="15"/>
      <c r="G489" s="15"/>
      <c r="H489" s="15"/>
      <c r="I489" s="15"/>
      <c r="J489" s="15"/>
      <c r="K489" s="15"/>
      <c r="L489" s="15"/>
      <c r="M489" s="15"/>
      <c r="N489" s="46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1:28" ht="15.75" customHeight="1">
      <c r="A490" s="15"/>
      <c r="B490" s="15"/>
      <c r="C490" s="15"/>
      <c r="D490" s="16"/>
      <c r="E490" s="16"/>
      <c r="F490" s="15"/>
      <c r="G490" s="15"/>
      <c r="H490" s="15"/>
      <c r="I490" s="15"/>
      <c r="J490" s="15"/>
      <c r="K490" s="15"/>
      <c r="L490" s="15"/>
      <c r="M490" s="15"/>
      <c r="N490" s="46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1:28" ht="15.75" customHeight="1">
      <c r="A491" s="15"/>
      <c r="B491" s="15"/>
      <c r="C491" s="15"/>
      <c r="D491" s="16"/>
      <c r="E491" s="16"/>
      <c r="F491" s="15"/>
      <c r="G491" s="15"/>
      <c r="H491" s="15"/>
      <c r="I491" s="15"/>
      <c r="J491" s="15"/>
      <c r="K491" s="15"/>
      <c r="L491" s="15"/>
      <c r="M491" s="15"/>
      <c r="N491" s="46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1:28" ht="15.75" customHeight="1">
      <c r="A492" s="15"/>
      <c r="B492" s="15"/>
      <c r="C492" s="15"/>
      <c r="D492" s="16"/>
      <c r="E492" s="16"/>
      <c r="F492" s="15"/>
      <c r="G492" s="15"/>
      <c r="H492" s="15"/>
      <c r="I492" s="15"/>
      <c r="J492" s="15"/>
      <c r="K492" s="15"/>
      <c r="L492" s="15"/>
      <c r="M492" s="15"/>
      <c r="N492" s="46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1:28" ht="15.75" customHeight="1">
      <c r="A493" s="15"/>
      <c r="B493" s="15"/>
      <c r="C493" s="15"/>
      <c r="D493" s="16"/>
      <c r="E493" s="16"/>
      <c r="F493" s="15"/>
      <c r="G493" s="15"/>
      <c r="H493" s="15"/>
      <c r="I493" s="15"/>
      <c r="J493" s="15"/>
      <c r="K493" s="15"/>
      <c r="L493" s="15"/>
      <c r="M493" s="15"/>
      <c r="N493" s="46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1:28" ht="15.75" customHeight="1">
      <c r="A494" s="15"/>
      <c r="B494" s="15"/>
      <c r="C494" s="15"/>
      <c r="D494" s="16"/>
      <c r="E494" s="16"/>
      <c r="F494" s="15"/>
      <c r="G494" s="15"/>
      <c r="H494" s="15"/>
      <c r="I494" s="15"/>
      <c r="J494" s="15"/>
      <c r="K494" s="15"/>
      <c r="L494" s="15"/>
      <c r="M494" s="15"/>
      <c r="N494" s="46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1:28" ht="15.75" customHeight="1">
      <c r="A495" s="15"/>
      <c r="B495" s="15"/>
      <c r="C495" s="15"/>
      <c r="D495" s="16"/>
      <c r="E495" s="16"/>
      <c r="F495" s="15"/>
      <c r="G495" s="15"/>
      <c r="H495" s="15"/>
      <c r="I495" s="15"/>
      <c r="J495" s="15"/>
      <c r="K495" s="15"/>
      <c r="L495" s="15"/>
      <c r="M495" s="15"/>
      <c r="N495" s="46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1:28" ht="15.75" customHeight="1">
      <c r="A496" s="15"/>
      <c r="B496" s="15"/>
      <c r="C496" s="15"/>
      <c r="D496" s="16"/>
      <c r="E496" s="16"/>
      <c r="F496" s="15"/>
      <c r="G496" s="15"/>
      <c r="H496" s="15"/>
      <c r="I496" s="15"/>
      <c r="J496" s="15"/>
      <c r="K496" s="15"/>
      <c r="L496" s="15"/>
      <c r="M496" s="15"/>
      <c r="N496" s="46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 ht="15.75" customHeight="1">
      <c r="A497" s="15"/>
      <c r="B497" s="15"/>
      <c r="C497" s="15"/>
      <c r="D497" s="16"/>
      <c r="E497" s="16"/>
      <c r="F497" s="15"/>
      <c r="G497" s="15"/>
      <c r="H497" s="15"/>
      <c r="I497" s="15"/>
      <c r="J497" s="15"/>
      <c r="K497" s="15"/>
      <c r="L497" s="15"/>
      <c r="M497" s="15"/>
      <c r="N497" s="46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5.75" customHeight="1">
      <c r="A498" s="15"/>
      <c r="B498" s="15"/>
      <c r="C498" s="15"/>
      <c r="D498" s="16"/>
      <c r="E498" s="16"/>
      <c r="F498" s="15"/>
      <c r="G498" s="15"/>
      <c r="H498" s="15"/>
      <c r="I498" s="15"/>
      <c r="J498" s="15"/>
      <c r="K498" s="15"/>
      <c r="L498" s="15"/>
      <c r="M498" s="15"/>
      <c r="N498" s="46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1:28" ht="15.75" customHeight="1">
      <c r="A499" s="15"/>
      <c r="B499" s="15"/>
      <c r="C499" s="15"/>
      <c r="D499" s="16"/>
      <c r="E499" s="16"/>
      <c r="F499" s="15"/>
      <c r="G499" s="15"/>
      <c r="H499" s="15"/>
      <c r="I499" s="15"/>
      <c r="J499" s="15"/>
      <c r="K499" s="15"/>
      <c r="L499" s="15"/>
      <c r="M499" s="15"/>
      <c r="N499" s="46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1:28" ht="15.75" customHeight="1">
      <c r="A500" s="15"/>
      <c r="B500" s="15"/>
      <c r="C500" s="15"/>
      <c r="D500" s="16"/>
      <c r="E500" s="16"/>
      <c r="F500" s="15"/>
      <c r="G500" s="15"/>
      <c r="H500" s="15"/>
      <c r="I500" s="15"/>
      <c r="J500" s="15"/>
      <c r="K500" s="15"/>
      <c r="L500" s="15"/>
      <c r="M500" s="15"/>
      <c r="N500" s="46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1:28" ht="15.75" customHeight="1">
      <c r="A501" s="15"/>
      <c r="B501" s="15"/>
      <c r="C501" s="15"/>
      <c r="D501" s="16"/>
      <c r="E501" s="16"/>
      <c r="F501" s="15"/>
      <c r="G501" s="15"/>
      <c r="H501" s="15"/>
      <c r="I501" s="15"/>
      <c r="J501" s="15"/>
      <c r="K501" s="15"/>
      <c r="L501" s="15"/>
      <c r="M501" s="15"/>
      <c r="N501" s="46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 ht="15.75" customHeight="1">
      <c r="A502" s="15"/>
      <c r="B502" s="15"/>
      <c r="C502" s="15"/>
      <c r="D502" s="16"/>
      <c r="E502" s="16"/>
      <c r="F502" s="15"/>
      <c r="G502" s="15"/>
      <c r="H502" s="15"/>
      <c r="I502" s="15"/>
      <c r="J502" s="15"/>
      <c r="K502" s="15"/>
      <c r="L502" s="15"/>
      <c r="M502" s="15"/>
      <c r="N502" s="46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1:28" ht="15.75" customHeight="1">
      <c r="A503" s="15"/>
      <c r="B503" s="15"/>
      <c r="C503" s="15"/>
      <c r="D503" s="16"/>
      <c r="E503" s="16"/>
      <c r="F503" s="15"/>
      <c r="G503" s="15"/>
      <c r="H503" s="15"/>
      <c r="I503" s="15"/>
      <c r="J503" s="15"/>
      <c r="K503" s="15"/>
      <c r="L503" s="15"/>
      <c r="M503" s="15"/>
      <c r="N503" s="46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1:28" ht="15.75" customHeight="1">
      <c r="A504" s="15"/>
      <c r="B504" s="15"/>
      <c r="C504" s="15"/>
      <c r="D504" s="16"/>
      <c r="E504" s="16"/>
      <c r="F504" s="15"/>
      <c r="G504" s="15"/>
      <c r="H504" s="15"/>
      <c r="I504" s="15"/>
      <c r="J504" s="15"/>
      <c r="K504" s="15"/>
      <c r="L504" s="15"/>
      <c r="M504" s="15"/>
      <c r="N504" s="46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1:28" ht="15.75" customHeight="1">
      <c r="A505" s="15"/>
      <c r="B505" s="15"/>
      <c r="C505" s="15"/>
      <c r="D505" s="16"/>
      <c r="E505" s="16"/>
      <c r="F505" s="15"/>
      <c r="G505" s="15"/>
      <c r="H505" s="15"/>
      <c r="I505" s="15"/>
      <c r="J505" s="15"/>
      <c r="K505" s="15"/>
      <c r="L505" s="15"/>
      <c r="M505" s="15"/>
      <c r="N505" s="46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1:28" ht="15.75" customHeight="1">
      <c r="A506" s="15"/>
      <c r="B506" s="15"/>
      <c r="C506" s="15"/>
      <c r="D506" s="16"/>
      <c r="E506" s="16"/>
      <c r="F506" s="15"/>
      <c r="G506" s="15"/>
      <c r="H506" s="15"/>
      <c r="I506" s="15"/>
      <c r="J506" s="15"/>
      <c r="K506" s="15"/>
      <c r="L506" s="15"/>
      <c r="M506" s="15"/>
      <c r="N506" s="46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1:28" ht="15.75" customHeight="1">
      <c r="A507" s="15"/>
      <c r="B507" s="15"/>
      <c r="C507" s="15"/>
      <c r="D507" s="16"/>
      <c r="E507" s="16"/>
      <c r="F507" s="15"/>
      <c r="G507" s="15"/>
      <c r="H507" s="15"/>
      <c r="I507" s="15"/>
      <c r="J507" s="15"/>
      <c r="K507" s="15"/>
      <c r="L507" s="15"/>
      <c r="M507" s="15"/>
      <c r="N507" s="46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1:28" ht="15.75" customHeight="1">
      <c r="A508" s="15"/>
      <c r="B508" s="15"/>
      <c r="C508" s="15"/>
      <c r="D508" s="16"/>
      <c r="E508" s="16"/>
      <c r="F508" s="15"/>
      <c r="G508" s="15"/>
      <c r="H508" s="15"/>
      <c r="I508" s="15"/>
      <c r="J508" s="15"/>
      <c r="K508" s="15"/>
      <c r="L508" s="15"/>
      <c r="M508" s="15"/>
      <c r="N508" s="46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1:28" ht="15.75" customHeight="1">
      <c r="A509" s="15"/>
      <c r="B509" s="15"/>
      <c r="C509" s="15"/>
      <c r="D509" s="16"/>
      <c r="E509" s="16"/>
      <c r="F509" s="15"/>
      <c r="G509" s="15"/>
      <c r="H509" s="15"/>
      <c r="I509" s="15"/>
      <c r="J509" s="15"/>
      <c r="K509" s="15"/>
      <c r="L509" s="15"/>
      <c r="M509" s="15"/>
      <c r="N509" s="46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1:28" ht="15.75" customHeight="1">
      <c r="A510" s="15"/>
      <c r="B510" s="15"/>
      <c r="C510" s="15"/>
      <c r="D510" s="16"/>
      <c r="E510" s="16"/>
      <c r="F510" s="15"/>
      <c r="G510" s="15"/>
      <c r="H510" s="15"/>
      <c r="I510" s="15"/>
      <c r="J510" s="15"/>
      <c r="K510" s="15"/>
      <c r="L510" s="15"/>
      <c r="M510" s="15"/>
      <c r="N510" s="46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1:28" ht="15.75" customHeight="1">
      <c r="A511" s="15"/>
      <c r="B511" s="15"/>
      <c r="C511" s="15"/>
      <c r="D511" s="16"/>
      <c r="E511" s="16"/>
      <c r="F511" s="15"/>
      <c r="G511" s="15"/>
      <c r="H511" s="15"/>
      <c r="I511" s="15"/>
      <c r="J511" s="15"/>
      <c r="K511" s="15"/>
      <c r="L511" s="15"/>
      <c r="M511" s="15"/>
      <c r="N511" s="46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1:28" ht="15.75" customHeight="1">
      <c r="A512" s="15"/>
      <c r="B512" s="15"/>
      <c r="C512" s="15"/>
      <c r="D512" s="16"/>
      <c r="E512" s="16"/>
      <c r="F512" s="15"/>
      <c r="G512" s="15"/>
      <c r="H512" s="15"/>
      <c r="I512" s="15"/>
      <c r="J512" s="15"/>
      <c r="K512" s="15"/>
      <c r="L512" s="15"/>
      <c r="M512" s="15"/>
      <c r="N512" s="46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1:28" ht="15.75" customHeight="1">
      <c r="A513" s="15"/>
      <c r="B513" s="15"/>
      <c r="C513" s="15"/>
      <c r="D513" s="16"/>
      <c r="E513" s="16"/>
      <c r="F513" s="15"/>
      <c r="G513" s="15"/>
      <c r="H513" s="15"/>
      <c r="I513" s="15"/>
      <c r="J513" s="15"/>
      <c r="K513" s="15"/>
      <c r="L513" s="15"/>
      <c r="M513" s="15"/>
      <c r="N513" s="46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 ht="15.75" customHeight="1">
      <c r="A514" s="15"/>
      <c r="B514" s="15"/>
      <c r="C514" s="15"/>
      <c r="D514" s="16"/>
      <c r="E514" s="16"/>
      <c r="F514" s="15"/>
      <c r="G514" s="15"/>
      <c r="H514" s="15"/>
      <c r="I514" s="15"/>
      <c r="J514" s="15"/>
      <c r="K514" s="15"/>
      <c r="L514" s="15"/>
      <c r="M514" s="15"/>
      <c r="N514" s="46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1:28" ht="15.75" customHeight="1">
      <c r="A515" s="15"/>
      <c r="B515" s="15"/>
      <c r="C515" s="15"/>
      <c r="D515" s="16"/>
      <c r="E515" s="16"/>
      <c r="F515" s="15"/>
      <c r="G515" s="15"/>
      <c r="H515" s="15"/>
      <c r="I515" s="15"/>
      <c r="J515" s="15"/>
      <c r="K515" s="15"/>
      <c r="L515" s="15"/>
      <c r="M515" s="15"/>
      <c r="N515" s="46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1:28" ht="15.75" customHeight="1">
      <c r="A516" s="15"/>
      <c r="B516" s="15"/>
      <c r="C516" s="15"/>
      <c r="D516" s="16"/>
      <c r="E516" s="16"/>
      <c r="F516" s="15"/>
      <c r="G516" s="15"/>
      <c r="H516" s="15"/>
      <c r="I516" s="15"/>
      <c r="J516" s="15"/>
      <c r="K516" s="15"/>
      <c r="L516" s="15"/>
      <c r="M516" s="15"/>
      <c r="N516" s="46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1:28" ht="15.75" customHeight="1">
      <c r="A517" s="15"/>
      <c r="B517" s="15"/>
      <c r="C517" s="15"/>
      <c r="D517" s="16"/>
      <c r="E517" s="16"/>
      <c r="F517" s="15"/>
      <c r="G517" s="15"/>
      <c r="H517" s="15"/>
      <c r="I517" s="15"/>
      <c r="J517" s="15"/>
      <c r="K517" s="15"/>
      <c r="L517" s="15"/>
      <c r="M517" s="15"/>
      <c r="N517" s="46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1:28" ht="15.75" customHeight="1">
      <c r="A518" s="15"/>
      <c r="B518" s="15"/>
      <c r="C518" s="15"/>
      <c r="D518" s="16"/>
      <c r="E518" s="16"/>
      <c r="F518" s="15"/>
      <c r="G518" s="15"/>
      <c r="H518" s="15"/>
      <c r="I518" s="15"/>
      <c r="J518" s="15"/>
      <c r="K518" s="15"/>
      <c r="L518" s="15"/>
      <c r="M518" s="15"/>
      <c r="N518" s="46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1:28" ht="15.75" customHeight="1">
      <c r="A519" s="15"/>
      <c r="B519" s="15"/>
      <c r="C519" s="15"/>
      <c r="D519" s="16"/>
      <c r="E519" s="16"/>
      <c r="F519" s="15"/>
      <c r="G519" s="15"/>
      <c r="H519" s="15"/>
      <c r="I519" s="15"/>
      <c r="J519" s="15"/>
      <c r="K519" s="15"/>
      <c r="L519" s="15"/>
      <c r="M519" s="15"/>
      <c r="N519" s="46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1:28" ht="15.75" customHeight="1">
      <c r="A520" s="15"/>
      <c r="B520" s="15"/>
      <c r="C520" s="15"/>
      <c r="D520" s="16"/>
      <c r="E520" s="16"/>
      <c r="F520" s="15"/>
      <c r="G520" s="15"/>
      <c r="H520" s="15"/>
      <c r="I520" s="15"/>
      <c r="J520" s="15"/>
      <c r="K520" s="15"/>
      <c r="L520" s="15"/>
      <c r="M520" s="15"/>
      <c r="N520" s="46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1:28" ht="15.75" customHeight="1">
      <c r="A521" s="15"/>
      <c r="B521" s="15"/>
      <c r="C521" s="15"/>
      <c r="D521" s="16"/>
      <c r="E521" s="16"/>
      <c r="F521" s="15"/>
      <c r="G521" s="15"/>
      <c r="H521" s="15"/>
      <c r="I521" s="15"/>
      <c r="J521" s="15"/>
      <c r="K521" s="15"/>
      <c r="L521" s="15"/>
      <c r="M521" s="15"/>
      <c r="N521" s="46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1:28" ht="15.75" customHeight="1">
      <c r="A522" s="15"/>
      <c r="B522" s="15"/>
      <c r="C522" s="15"/>
      <c r="D522" s="16"/>
      <c r="E522" s="16"/>
      <c r="F522" s="15"/>
      <c r="G522" s="15"/>
      <c r="H522" s="15"/>
      <c r="I522" s="15"/>
      <c r="J522" s="15"/>
      <c r="K522" s="15"/>
      <c r="L522" s="15"/>
      <c r="M522" s="15"/>
      <c r="N522" s="46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1:28" ht="15.75" customHeight="1">
      <c r="A523" s="15"/>
      <c r="B523" s="15"/>
      <c r="C523" s="15"/>
      <c r="D523" s="16"/>
      <c r="E523" s="16"/>
      <c r="F523" s="15"/>
      <c r="G523" s="15"/>
      <c r="H523" s="15"/>
      <c r="I523" s="15"/>
      <c r="J523" s="15"/>
      <c r="K523" s="15"/>
      <c r="L523" s="15"/>
      <c r="M523" s="15"/>
      <c r="N523" s="46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1:28" ht="15.75" customHeight="1">
      <c r="A524" s="15"/>
      <c r="B524" s="15"/>
      <c r="C524" s="15"/>
      <c r="D524" s="16"/>
      <c r="E524" s="16"/>
      <c r="F524" s="15"/>
      <c r="G524" s="15"/>
      <c r="H524" s="15"/>
      <c r="I524" s="15"/>
      <c r="J524" s="15"/>
      <c r="K524" s="15"/>
      <c r="L524" s="15"/>
      <c r="M524" s="15"/>
      <c r="N524" s="46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1:28" ht="15.75" customHeight="1">
      <c r="A525" s="15"/>
      <c r="B525" s="15"/>
      <c r="C525" s="15"/>
      <c r="D525" s="16"/>
      <c r="E525" s="16"/>
      <c r="F525" s="15"/>
      <c r="G525" s="15"/>
      <c r="H525" s="15"/>
      <c r="I525" s="15"/>
      <c r="J525" s="15"/>
      <c r="K525" s="15"/>
      <c r="L525" s="15"/>
      <c r="M525" s="15"/>
      <c r="N525" s="46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1:28" ht="15.75" customHeight="1">
      <c r="A526" s="15"/>
      <c r="B526" s="15"/>
      <c r="C526" s="15"/>
      <c r="D526" s="16"/>
      <c r="E526" s="16"/>
      <c r="F526" s="15"/>
      <c r="G526" s="15"/>
      <c r="H526" s="15"/>
      <c r="I526" s="15"/>
      <c r="J526" s="15"/>
      <c r="K526" s="15"/>
      <c r="L526" s="15"/>
      <c r="M526" s="15"/>
      <c r="N526" s="46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1:28" ht="15.75" customHeight="1">
      <c r="A527" s="15"/>
      <c r="B527" s="15"/>
      <c r="C527" s="15"/>
      <c r="D527" s="16"/>
      <c r="E527" s="16"/>
      <c r="F527" s="15"/>
      <c r="G527" s="15"/>
      <c r="H527" s="15"/>
      <c r="I527" s="15"/>
      <c r="J527" s="15"/>
      <c r="K527" s="15"/>
      <c r="L527" s="15"/>
      <c r="M527" s="15"/>
      <c r="N527" s="46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1:28" ht="15.75" customHeight="1">
      <c r="A528" s="15"/>
      <c r="B528" s="15"/>
      <c r="C528" s="15"/>
      <c r="D528" s="16"/>
      <c r="E528" s="16"/>
      <c r="F528" s="15"/>
      <c r="G528" s="15"/>
      <c r="H528" s="15"/>
      <c r="I528" s="15"/>
      <c r="J528" s="15"/>
      <c r="K528" s="15"/>
      <c r="L528" s="15"/>
      <c r="M528" s="15"/>
      <c r="N528" s="46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1:28" ht="15.75" customHeight="1">
      <c r="A529" s="15"/>
      <c r="B529" s="15"/>
      <c r="C529" s="15"/>
      <c r="D529" s="16"/>
      <c r="E529" s="16"/>
      <c r="F529" s="15"/>
      <c r="G529" s="15"/>
      <c r="H529" s="15"/>
      <c r="I529" s="15"/>
      <c r="J529" s="15"/>
      <c r="K529" s="15"/>
      <c r="L529" s="15"/>
      <c r="M529" s="15"/>
      <c r="N529" s="46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1:28" ht="15.75" customHeight="1">
      <c r="A530" s="15"/>
      <c r="B530" s="15"/>
      <c r="C530" s="15"/>
      <c r="D530" s="16"/>
      <c r="E530" s="16"/>
      <c r="F530" s="15"/>
      <c r="G530" s="15"/>
      <c r="H530" s="15"/>
      <c r="I530" s="15"/>
      <c r="J530" s="15"/>
      <c r="K530" s="15"/>
      <c r="L530" s="15"/>
      <c r="M530" s="15"/>
      <c r="N530" s="46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1:28" ht="15.75" customHeight="1">
      <c r="A531" s="15"/>
      <c r="B531" s="15"/>
      <c r="C531" s="15"/>
      <c r="D531" s="16"/>
      <c r="E531" s="16"/>
      <c r="F531" s="15"/>
      <c r="G531" s="15"/>
      <c r="H531" s="15"/>
      <c r="I531" s="15"/>
      <c r="J531" s="15"/>
      <c r="K531" s="15"/>
      <c r="L531" s="15"/>
      <c r="M531" s="15"/>
      <c r="N531" s="46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1:28" ht="15.75" customHeight="1">
      <c r="A532" s="15"/>
      <c r="B532" s="15"/>
      <c r="C532" s="15"/>
      <c r="D532" s="16"/>
      <c r="E532" s="16"/>
      <c r="F532" s="15"/>
      <c r="G532" s="15"/>
      <c r="H532" s="15"/>
      <c r="I532" s="15"/>
      <c r="J532" s="15"/>
      <c r="K532" s="15"/>
      <c r="L532" s="15"/>
      <c r="M532" s="15"/>
      <c r="N532" s="46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1:28" ht="15.75" customHeight="1">
      <c r="A533" s="15"/>
      <c r="B533" s="15"/>
      <c r="C533" s="15"/>
      <c r="D533" s="16"/>
      <c r="E533" s="16"/>
      <c r="F533" s="15"/>
      <c r="G533" s="15"/>
      <c r="H533" s="15"/>
      <c r="I533" s="15"/>
      <c r="J533" s="15"/>
      <c r="K533" s="15"/>
      <c r="L533" s="15"/>
      <c r="M533" s="15"/>
      <c r="N533" s="46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1:28" ht="15.75" customHeight="1">
      <c r="A534" s="15"/>
      <c r="B534" s="15"/>
      <c r="C534" s="15"/>
      <c r="D534" s="16"/>
      <c r="E534" s="16"/>
      <c r="F534" s="15"/>
      <c r="G534" s="15"/>
      <c r="H534" s="15"/>
      <c r="I534" s="15"/>
      <c r="J534" s="15"/>
      <c r="K534" s="15"/>
      <c r="L534" s="15"/>
      <c r="M534" s="15"/>
      <c r="N534" s="46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1:28" ht="15.75" customHeight="1">
      <c r="A535" s="15"/>
      <c r="B535" s="15"/>
      <c r="C535" s="15"/>
      <c r="D535" s="16"/>
      <c r="E535" s="16"/>
      <c r="F535" s="15"/>
      <c r="G535" s="15"/>
      <c r="H535" s="15"/>
      <c r="I535" s="15"/>
      <c r="J535" s="15"/>
      <c r="K535" s="15"/>
      <c r="L535" s="15"/>
      <c r="M535" s="15"/>
      <c r="N535" s="46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1:28" ht="15.75" customHeight="1">
      <c r="A536" s="15"/>
      <c r="B536" s="15"/>
      <c r="C536" s="15"/>
      <c r="D536" s="16"/>
      <c r="E536" s="16"/>
      <c r="F536" s="15"/>
      <c r="G536" s="15"/>
      <c r="H536" s="15"/>
      <c r="I536" s="15"/>
      <c r="J536" s="15"/>
      <c r="K536" s="15"/>
      <c r="L536" s="15"/>
      <c r="M536" s="15"/>
      <c r="N536" s="46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 ht="15.75" customHeight="1">
      <c r="A537" s="15"/>
      <c r="B537" s="15"/>
      <c r="C537" s="15"/>
      <c r="D537" s="16"/>
      <c r="E537" s="16"/>
      <c r="F537" s="15"/>
      <c r="G537" s="15"/>
      <c r="H537" s="15"/>
      <c r="I537" s="15"/>
      <c r="J537" s="15"/>
      <c r="K537" s="15"/>
      <c r="L537" s="15"/>
      <c r="M537" s="15"/>
      <c r="N537" s="46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1:28" ht="15.75" customHeight="1">
      <c r="A538" s="15"/>
      <c r="B538" s="15"/>
      <c r="C538" s="15"/>
      <c r="D538" s="16"/>
      <c r="E538" s="16"/>
      <c r="F538" s="15"/>
      <c r="G538" s="15"/>
      <c r="H538" s="15"/>
      <c r="I538" s="15"/>
      <c r="J538" s="15"/>
      <c r="K538" s="15"/>
      <c r="L538" s="15"/>
      <c r="M538" s="15"/>
      <c r="N538" s="46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1:28" ht="15.75" customHeight="1">
      <c r="A539" s="15"/>
      <c r="B539" s="15"/>
      <c r="C539" s="15"/>
      <c r="D539" s="16"/>
      <c r="E539" s="16"/>
      <c r="F539" s="15"/>
      <c r="G539" s="15"/>
      <c r="H539" s="15"/>
      <c r="I539" s="15"/>
      <c r="J539" s="15"/>
      <c r="K539" s="15"/>
      <c r="L539" s="15"/>
      <c r="M539" s="15"/>
      <c r="N539" s="46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1:28" ht="15.75" customHeight="1">
      <c r="A540" s="15"/>
      <c r="B540" s="15"/>
      <c r="C540" s="15"/>
      <c r="D540" s="16"/>
      <c r="E540" s="16"/>
      <c r="F540" s="15"/>
      <c r="G540" s="15"/>
      <c r="H540" s="15"/>
      <c r="I540" s="15"/>
      <c r="J540" s="15"/>
      <c r="K540" s="15"/>
      <c r="L540" s="15"/>
      <c r="M540" s="15"/>
      <c r="N540" s="46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1:28" ht="15.75" customHeight="1">
      <c r="A541" s="15"/>
      <c r="B541" s="15"/>
      <c r="C541" s="15"/>
      <c r="D541" s="16"/>
      <c r="E541" s="16"/>
      <c r="F541" s="15"/>
      <c r="G541" s="15"/>
      <c r="H541" s="15"/>
      <c r="I541" s="15"/>
      <c r="J541" s="15"/>
      <c r="K541" s="15"/>
      <c r="L541" s="15"/>
      <c r="M541" s="15"/>
      <c r="N541" s="46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1:28" ht="15.75" customHeight="1">
      <c r="A542" s="15"/>
      <c r="B542" s="15"/>
      <c r="C542" s="15"/>
      <c r="D542" s="16"/>
      <c r="E542" s="16"/>
      <c r="F542" s="15"/>
      <c r="G542" s="15"/>
      <c r="H542" s="15"/>
      <c r="I542" s="15"/>
      <c r="J542" s="15"/>
      <c r="K542" s="15"/>
      <c r="L542" s="15"/>
      <c r="M542" s="15"/>
      <c r="N542" s="46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1:28" ht="15.75" customHeight="1">
      <c r="A543" s="15"/>
      <c r="B543" s="15"/>
      <c r="C543" s="15"/>
      <c r="D543" s="16"/>
      <c r="E543" s="16"/>
      <c r="F543" s="15"/>
      <c r="G543" s="15"/>
      <c r="H543" s="15"/>
      <c r="I543" s="15"/>
      <c r="J543" s="15"/>
      <c r="K543" s="15"/>
      <c r="L543" s="15"/>
      <c r="M543" s="15"/>
      <c r="N543" s="46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1:28" ht="15.75" customHeight="1">
      <c r="A544" s="15"/>
      <c r="B544" s="15"/>
      <c r="C544" s="15"/>
      <c r="D544" s="16"/>
      <c r="E544" s="16"/>
      <c r="F544" s="15"/>
      <c r="G544" s="15"/>
      <c r="H544" s="15"/>
      <c r="I544" s="15"/>
      <c r="J544" s="15"/>
      <c r="K544" s="15"/>
      <c r="L544" s="15"/>
      <c r="M544" s="15"/>
      <c r="N544" s="46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1:28" ht="15.75" customHeight="1">
      <c r="A545" s="15"/>
      <c r="B545" s="15"/>
      <c r="C545" s="15"/>
      <c r="D545" s="16"/>
      <c r="E545" s="16"/>
      <c r="F545" s="15"/>
      <c r="G545" s="15"/>
      <c r="H545" s="15"/>
      <c r="I545" s="15"/>
      <c r="J545" s="15"/>
      <c r="K545" s="15"/>
      <c r="L545" s="15"/>
      <c r="M545" s="15"/>
      <c r="N545" s="46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1:28" ht="15.75" customHeight="1">
      <c r="A546" s="15"/>
      <c r="B546" s="15"/>
      <c r="C546" s="15"/>
      <c r="D546" s="16"/>
      <c r="E546" s="16"/>
      <c r="F546" s="15"/>
      <c r="G546" s="15"/>
      <c r="H546" s="15"/>
      <c r="I546" s="15"/>
      <c r="J546" s="15"/>
      <c r="K546" s="15"/>
      <c r="L546" s="15"/>
      <c r="M546" s="15"/>
      <c r="N546" s="46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1:28" ht="15.75" customHeight="1">
      <c r="A547" s="15"/>
      <c r="B547" s="15"/>
      <c r="C547" s="15"/>
      <c r="D547" s="16"/>
      <c r="E547" s="16"/>
      <c r="F547" s="15"/>
      <c r="G547" s="15"/>
      <c r="H547" s="15"/>
      <c r="I547" s="15"/>
      <c r="J547" s="15"/>
      <c r="K547" s="15"/>
      <c r="L547" s="15"/>
      <c r="M547" s="15"/>
      <c r="N547" s="46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1:28" ht="15.75" customHeight="1">
      <c r="A548" s="15"/>
      <c r="B548" s="15"/>
      <c r="C548" s="15"/>
      <c r="D548" s="16"/>
      <c r="E548" s="16"/>
      <c r="F548" s="15"/>
      <c r="G548" s="15"/>
      <c r="H548" s="15"/>
      <c r="I548" s="15"/>
      <c r="J548" s="15"/>
      <c r="K548" s="15"/>
      <c r="L548" s="15"/>
      <c r="M548" s="15"/>
      <c r="N548" s="46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1:28" ht="15.75" customHeight="1">
      <c r="A549" s="15"/>
      <c r="B549" s="15"/>
      <c r="C549" s="15"/>
      <c r="D549" s="16"/>
      <c r="E549" s="16"/>
      <c r="F549" s="15"/>
      <c r="G549" s="15"/>
      <c r="H549" s="15"/>
      <c r="I549" s="15"/>
      <c r="J549" s="15"/>
      <c r="K549" s="15"/>
      <c r="L549" s="15"/>
      <c r="M549" s="15"/>
      <c r="N549" s="46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1:28" ht="15.75" customHeight="1">
      <c r="A550" s="15"/>
      <c r="B550" s="15"/>
      <c r="C550" s="15"/>
      <c r="D550" s="16"/>
      <c r="E550" s="16"/>
      <c r="F550" s="15"/>
      <c r="G550" s="15"/>
      <c r="H550" s="15"/>
      <c r="I550" s="15"/>
      <c r="J550" s="15"/>
      <c r="K550" s="15"/>
      <c r="L550" s="15"/>
      <c r="M550" s="15"/>
      <c r="N550" s="46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1:28" ht="15.75" customHeight="1">
      <c r="A551" s="15"/>
      <c r="B551" s="15"/>
      <c r="C551" s="15"/>
      <c r="D551" s="16"/>
      <c r="E551" s="16"/>
      <c r="F551" s="15"/>
      <c r="G551" s="15"/>
      <c r="H551" s="15"/>
      <c r="I551" s="15"/>
      <c r="J551" s="15"/>
      <c r="K551" s="15"/>
      <c r="L551" s="15"/>
      <c r="M551" s="15"/>
      <c r="N551" s="46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1:28" ht="15.75" customHeight="1">
      <c r="A552" s="15"/>
      <c r="B552" s="15"/>
      <c r="C552" s="15"/>
      <c r="D552" s="16"/>
      <c r="E552" s="16"/>
      <c r="F552" s="15"/>
      <c r="G552" s="15"/>
      <c r="H552" s="15"/>
      <c r="I552" s="15"/>
      <c r="J552" s="15"/>
      <c r="K552" s="15"/>
      <c r="L552" s="15"/>
      <c r="M552" s="15"/>
      <c r="N552" s="46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1:28" ht="15.75" customHeight="1">
      <c r="A553" s="15"/>
      <c r="B553" s="15"/>
      <c r="C553" s="15"/>
      <c r="D553" s="16"/>
      <c r="E553" s="16"/>
      <c r="F553" s="15"/>
      <c r="G553" s="15"/>
      <c r="H553" s="15"/>
      <c r="I553" s="15"/>
      <c r="J553" s="15"/>
      <c r="K553" s="15"/>
      <c r="L553" s="15"/>
      <c r="M553" s="15"/>
      <c r="N553" s="46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1:28" ht="15.75" customHeight="1">
      <c r="A554" s="15"/>
      <c r="B554" s="15"/>
      <c r="C554" s="15"/>
      <c r="D554" s="16"/>
      <c r="E554" s="16"/>
      <c r="F554" s="15"/>
      <c r="G554" s="15"/>
      <c r="H554" s="15"/>
      <c r="I554" s="15"/>
      <c r="J554" s="15"/>
      <c r="K554" s="15"/>
      <c r="L554" s="15"/>
      <c r="M554" s="15"/>
      <c r="N554" s="46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1:28" ht="15.75" customHeight="1">
      <c r="A555" s="15"/>
      <c r="B555" s="15"/>
      <c r="C555" s="15"/>
      <c r="D555" s="16"/>
      <c r="E555" s="16"/>
      <c r="F555" s="15"/>
      <c r="G555" s="15"/>
      <c r="H555" s="15"/>
      <c r="I555" s="15"/>
      <c r="J555" s="15"/>
      <c r="K555" s="15"/>
      <c r="L555" s="15"/>
      <c r="M555" s="15"/>
      <c r="N555" s="46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1:28" ht="15.75" customHeight="1">
      <c r="A556" s="15"/>
      <c r="B556" s="15"/>
      <c r="C556" s="15"/>
      <c r="D556" s="16"/>
      <c r="E556" s="16"/>
      <c r="F556" s="15"/>
      <c r="G556" s="15"/>
      <c r="H556" s="15"/>
      <c r="I556" s="15"/>
      <c r="J556" s="15"/>
      <c r="K556" s="15"/>
      <c r="L556" s="15"/>
      <c r="M556" s="15"/>
      <c r="N556" s="46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1:28" ht="15.75" customHeight="1">
      <c r="A557" s="15"/>
      <c r="B557" s="15"/>
      <c r="C557" s="15"/>
      <c r="D557" s="16"/>
      <c r="E557" s="16"/>
      <c r="F557" s="15"/>
      <c r="G557" s="15"/>
      <c r="H557" s="15"/>
      <c r="I557" s="15"/>
      <c r="J557" s="15"/>
      <c r="K557" s="15"/>
      <c r="L557" s="15"/>
      <c r="M557" s="15"/>
      <c r="N557" s="46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1:28" ht="15.75" customHeight="1">
      <c r="A558" s="15"/>
      <c r="B558" s="15"/>
      <c r="C558" s="15"/>
      <c r="D558" s="16"/>
      <c r="E558" s="16"/>
      <c r="F558" s="15"/>
      <c r="G558" s="15"/>
      <c r="H558" s="15"/>
      <c r="I558" s="15"/>
      <c r="J558" s="15"/>
      <c r="K558" s="15"/>
      <c r="L558" s="15"/>
      <c r="M558" s="15"/>
      <c r="N558" s="46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1:28" ht="15.75" customHeight="1">
      <c r="A559" s="15"/>
      <c r="B559" s="15"/>
      <c r="C559" s="15"/>
      <c r="D559" s="16"/>
      <c r="E559" s="16"/>
      <c r="F559" s="15"/>
      <c r="G559" s="15"/>
      <c r="H559" s="15"/>
      <c r="I559" s="15"/>
      <c r="J559" s="15"/>
      <c r="K559" s="15"/>
      <c r="L559" s="15"/>
      <c r="M559" s="15"/>
      <c r="N559" s="46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1:28" ht="15.75" customHeight="1">
      <c r="A560" s="15"/>
      <c r="B560" s="15"/>
      <c r="C560" s="15"/>
      <c r="D560" s="16"/>
      <c r="E560" s="16"/>
      <c r="F560" s="15"/>
      <c r="G560" s="15"/>
      <c r="H560" s="15"/>
      <c r="I560" s="15"/>
      <c r="J560" s="15"/>
      <c r="K560" s="15"/>
      <c r="L560" s="15"/>
      <c r="M560" s="15"/>
      <c r="N560" s="46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1:28" ht="15.75" customHeight="1">
      <c r="A561" s="15"/>
      <c r="B561" s="15"/>
      <c r="C561" s="15"/>
      <c r="D561" s="16"/>
      <c r="E561" s="16"/>
      <c r="F561" s="15"/>
      <c r="G561" s="15"/>
      <c r="H561" s="15"/>
      <c r="I561" s="15"/>
      <c r="J561" s="15"/>
      <c r="K561" s="15"/>
      <c r="L561" s="15"/>
      <c r="M561" s="15"/>
      <c r="N561" s="46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1:28" ht="15.75" customHeight="1">
      <c r="A562" s="15"/>
      <c r="B562" s="15"/>
      <c r="C562" s="15"/>
      <c r="D562" s="16"/>
      <c r="E562" s="16"/>
      <c r="F562" s="15"/>
      <c r="G562" s="15"/>
      <c r="H562" s="15"/>
      <c r="I562" s="15"/>
      <c r="J562" s="15"/>
      <c r="K562" s="15"/>
      <c r="L562" s="15"/>
      <c r="M562" s="15"/>
      <c r="N562" s="46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1:28" ht="15.75" customHeight="1">
      <c r="A563" s="15"/>
      <c r="B563" s="15"/>
      <c r="C563" s="15"/>
      <c r="D563" s="16"/>
      <c r="E563" s="16"/>
      <c r="F563" s="15"/>
      <c r="G563" s="15"/>
      <c r="H563" s="15"/>
      <c r="I563" s="15"/>
      <c r="J563" s="15"/>
      <c r="K563" s="15"/>
      <c r="L563" s="15"/>
      <c r="M563" s="15"/>
      <c r="N563" s="46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1:28" ht="15.75" customHeight="1">
      <c r="A564" s="15"/>
      <c r="B564" s="15"/>
      <c r="C564" s="15"/>
      <c r="D564" s="16"/>
      <c r="E564" s="16"/>
      <c r="F564" s="15"/>
      <c r="G564" s="15"/>
      <c r="H564" s="15"/>
      <c r="I564" s="15"/>
      <c r="J564" s="15"/>
      <c r="K564" s="15"/>
      <c r="L564" s="15"/>
      <c r="M564" s="15"/>
      <c r="N564" s="46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 ht="15.75" customHeight="1">
      <c r="A565" s="15"/>
      <c r="B565" s="15"/>
      <c r="C565" s="15"/>
      <c r="D565" s="16"/>
      <c r="E565" s="16"/>
      <c r="F565" s="15"/>
      <c r="G565" s="15"/>
      <c r="H565" s="15"/>
      <c r="I565" s="15"/>
      <c r="J565" s="15"/>
      <c r="K565" s="15"/>
      <c r="L565" s="15"/>
      <c r="M565" s="15"/>
      <c r="N565" s="46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1:28" ht="15.75" customHeight="1">
      <c r="A566" s="15"/>
      <c r="B566" s="15"/>
      <c r="C566" s="15"/>
      <c r="D566" s="16"/>
      <c r="E566" s="16"/>
      <c r="F566" s="15"/>
      <c r="G566" s="15"/>
      <c r="H566" s="15"/>
      <c r="I566" s="15"/>
      <c r="J566" s="15"/>
      <c r="K566" s="15"/>
      <c r="L566" s="15"/>
      <c r="M566" s="15"/>
      <c r="N566" s="46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1:28" ht="15.75" customHeight="1">
      <c r="A567" s="15"/>
      <c r="B567" s="15"/>
      <c r="C567" s="15"/>
      <c r="D567" s="16"/>
      <c r="E567" s="16"/>
      <c r="F567" s="15"/>
      <c r="G567" s="15"/>
      <c r="H567" s="15"/>
      <c r="I567" s="15"/>
      <c r="J567" s="15"/>
      <c r="K567" s="15"/>
      <c r="L567" s="15"/>
      <c r="M567" s="15"/>
      <c r="N567" s="46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1:28" ht="15.75" customHeight="1">
      <c r="A568" s="15"/>
      <c r="B568" s="15"/>
      <c r="C568" s="15"/>
      <c r="D568" s="16"/>
      <c r="E568" s="16"/>
      <c r="F568" s="15"/>
      <c r="G568" s="15"/>
      <c r="H568" s="15"/>
      <c r="I568" s="15"/>
      <c r="J568" s="15"/>
      <c r="K568" s="15"/>
      <c r="L568" s="15"/>
      <c r="M568" s="15"/>
      <c r="N568" s="46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1:28" ht="15.75" customHeight="1">
      <c r="A569" s="15"/>
      <c r="B569" s="15"/>
      <c r="C569" s="15"/>
      <c r="D569" s="16"/>
      <c r="E569" s="16"/>
      <c r="F569" s="15"/>
      <c r="G569" s="15"/>
      <c r="H569" s="15"/>
      <c r="I569" s="15"/>
      <c r="J569" s="15"/>
      <c r="K569" s="15"/>
      <c r="L569" s="15"/>
      <c r="M569" s="15"/>
      <c r="N569" s="46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1:28" ht="15.75" customHeight="1">
      <c r="A570" s="15"/>
      <c r="B570" s="15"/>
      <c r="C570" s="15"/>
      <c r="D570" s="16"/>
      <c r="E570" s="16"/>
      <c r="F570" s="15"/>
      <c r="G570" s="15"/>
      <c r="H570" s="15"/>
      <c r="I570" s="15"/>
      <c r="J570" s="15"/>
      <c r="K570" s="15"/>
      <c r="L570" s="15"/>
      <c r="M570" s="15"/>
      <c r="N570" s="46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1:28" ht="15.75" customHeight="1">
      <c r="A571" s="15"/>
      <c r="B571" s="15"/>
      <c r="C571" s="15"/>
      <c r="D571" s="16"/>
      <c r="E571" s="16"/>
      <c r="F571" s="15"/>
      <c r="G571" s="15"/>
      <c r="H571" s="15"/>
      <c r="I571" s="15"/>
      <c r="J571" s="15"/>
      <c r="K571" s="15"/>
      <c r="L571" s="15"/>
      <c r="M571" s="15"/>
      <c r="N571" s="46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1:28" ht="15.75" customHeight="1">
      <c r="A572" s="15"/>
      <c r="B572" s="15"/>
      <c r="C572" s="15"/>
      <c r="D572" s="16"/>
      <c r="E572" s="16"/>
      <c r="F572" s="15"/>
      <c r="G572" s="15"/>
      <c r="H572" s="15"/>
      <c r="I572" s="15"/>
      <c r="J572" s="15"/>
      <c r="K572" s="15"/>
      <c r="L572" s="15"/>
      <c r="M572" s="15"/>
      <c r="N572" s="46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1:28" ht="15.75" customHeight="1">
      <c r="A573" s="15"/>
      <c r="B573" s="15"/>
      <c r="C573" s="15"/>
      <c r="D573" s="16"/>
      <c r="E573" s="16"/>
      <c r="F573" s="15"/>
      <c r="G573" s="15"/>
      <c r="H573" s="15"/>
      <c r="I573" s="15"/>
      <c r="J573" s="15"/>
      <c r="K573" s="15"/>
      <c r="L573" s="15"/>
      <c r="M573" s="15"/>
      <c r="N573" s="46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1:28" ht="15.75" customHeight="1">
      <c r="A574" s="15"/>
      <c r="B574" s="15"/>
      <c r="C574" s="15"/>
      <c r="D574" s="16"/>
      <c r="E574" s="16"/>
      <c r="F574" s="15"/>
      <c r="G574" s="15"/>
      <c r="H574" s="15"/>
      <c r="I574" s="15"/>
      <c r="J574" s="15"/>
      <c r="K574" s="15"/>
      <c r="L574" s="15"/>
      <c r="M574" s="15"/>
      <c r="N574" s="46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1:28" ht="15.75" customHeight="1">
      <c r="A575" s="15"/>
      <c r="B575" s="15"/>
      <c r="C575" s="15"/>
      <c r="D575" s="16"/>
      <c r="E575" s="16"/>
      <c r="F575" s="15"/>
      <c r="G575" s="15"/>
      <c r="H575" s="15"/>
      <c r="I575" s="15"/>
      <c r="J575" s="15"/>
      <c r="K575" s="15"/>
      <c r="L575" s="15"/>
      <c r="M575" s="15"/>
      <c r="N575" s="46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1:28" ht="15.75" customHeight="1">
      <c r="A576" s="15"/>
      <c r="B576" s="15"/>
      <c r="C576" s="15"/>
      <c r="D576" s="16"/>
      <c r="E576" s="16"/>
      <c r="F576" s="15"/>
      <c r="G576" s="15"/>
      <c r="H576" s="15"/>
      <c r="I576" s="15"/>
      <c r="J576" s="15"/>
      <c r="K576" s="15"/>
      <c r="L576" s="15"/>
      <c r="M576" s="15"/>
      <c r="N576" s="46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1:28" ht="15.75" customHeight="1">
      <c r="A577" s="15"/>
      <c r="B577" s="15"/>
      <c r="C577" s="15"/>
      <c r="D577" s="16"/>
      <c r="E577" s="16"/>
      <c r="F577" s="15"/>
      <c r="G577" s="15"/>
      <c r="H577" s="15"/>
      <c r="I577" s="15"/>
      <c r="J577" s="15"/>
      <c r="K577" s="15"/>
      <c r="L577" s="15"/>
      <c r="M577" s="15"/>
      <c r="N577" s="46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 ht="15.75" customHeight="1">
      <c r="A578" s="15"/>
      <c r="B578" s="15"/>
      <c r="C578" s="15"/>
      <c r="D578" s="16"/>
      <c r="E578" s="16"/>
      <c r="F578" s="15"/>
      <c r="G578" s="15"/>
      <c r="H578" s="15"/>
      <c r="I578" s="15"/>
      <c r="J578" s="15"/>
      <c r="K578" s="15"/>
      <c r="L578" s="15"/>
      <c r="M578" s="15"/>
      <c r="N578" s="46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1:28" ht="15.75" customHeight="1">
      <c r="A579" s="15"/>
      <c r="B579" s="15"/>
      <c r="C579" s="15"/>
      <c r="D579" s="16"/>
      <c r="E579" s="16"/>
      <c r="F579" s="15"/>
      <c r="G579" s="15"/>
      <c r="H579" s="15"/>
      <c r="I579" s="15"/>
      <c r="J579" s="15"/>
      <c r="K579" s="15"/>
      <c r="L579" s="15"/>
      <c r="M579" s="15"/>
      <c r="N579" s="46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1:28" ht="15.75" customHeight="1">
      <c r="A580" s="15"/>
      <c r="B580" s="15"/>
      <c r="C580" s="15"/>
      <c r="D580" s="16"/>
      <c r="E580" s="16"/>
      <c r="F580" s="15"/>
      <c r="G580" s="15"/>
      <c r="H580" s="15"/>
      <c r="I580" s="15"/>
      <c r="J580" s="15"/>
      <c r="K580" s="15"/>
      <c r="L580" s="15"/>
      <c r="M580" s="15"/>
      <c r="N580" s="46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 ht="15.75" customHeight="1">
      <c r="A581" s="15"/>
      <c r="B581" s="15"/>
      <c r="C581" s="15"/>
      <c r="D581" s="16"/>
      <c r="E581" s="16"/>
      <c r="F581" s="15"/>
      <c r="G581" s="15"/>
      <c r="H581" s="15"/>
      <c r="I581" s="15"/>
      <c r="J581" s="15"/>
      <c r="K581" s="15"/>
      <c r="L581" s="15"/>
      <c r="M581" s="15"/>
      <c r="N581" s="46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1:28" ht="15.75" customHeight="1">
      <c r="A582" s="15"/>
      <c r="B582" s="15"/>
      <c r="C582" s="15"/>
      <c r="D582" s="16"/>
      <c r="E582" s="16"/>
      <c r="F582" s="15"/>
      <c r="G582" s="15"/>
      <c r="H582" s="15"/>
      <c r="I582" s="15"/>
      <c r="J582" s="15"/>
      <c r="K582" s="15"/>
      <c r="L582" s="15"/>
      <c r="M582" s="15"/>
      <c r="N582" s="46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1:28" ht="15.75" customHeight="1">
      <c r="A583" s="15"/>
      <c r="B583" s="15"/>
      <c r="C583" s="15"/>
      <c r="D583" s="16"/>
      <c r="E583" s="16"/>
      <c r="F583" s="15"/>
      <c r="G583" s="15"/>
      <c r="H583" s="15"/>
      <c r="I583" s="15"/>
      <c r="J583" s="15"/>
      <c r="K583" s="15"/>
      <c r="L583" s="15"/>
      <c r="M583" s="15"/>
      <c r="N583" s="46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 ht="15.75" customHeight="1">
      <c r="A584" s="15"/>
      <c r="B584" s="15"/>
      <c r="C584" s="15"/>
      <c r="D584" s="16"/>
      <c r="E584" s="16"/>
      <c r="F584" s="15"/>
      <c r="G584" s="15"/>
      <c r="H584" s="15"/>
      <c r="I584" s="15"/>
      <c r="J584" s="15"/>
      <c r="K584" s="15"/>
      <c r="L584" s="15"/>
      <c r="M584" s="15"/>
      <c r="N584" s="46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 ht="15.75" customHeight="1">
      <c r="A585" s="15"/>
      <c r="B585" s="15"/>
      <c r="C585" s="15"/>
      <c r="D585" s="16"/>
      <c r="E585" s="16"/>
      <c r="F585" s="15"/>
      <c r="G585" s="15"/>
      <c r="H585" s="15"/>
      <c r="I585" s="15"/>
      <c r="J585" s="15"/>
      <c r="K585" s="15"/>
      <c r="L585" s="15"/>
      <c r="M585" s="15"/>
      <c r="N585" s="46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5.75" customHeight="1">
      <c r="A586" s="15"/>
      <c r="B586" s="15"/>
      <c r="C586" s="15"/>
      <c r="D586" s="16"/>
      <c r="E586" s="16"/>
      <c r="F586" s="15"/>
      <c r="G586" s="15"/>
      <c r="H586" s="15"/>
      <c r="I586" s="15"/>
      <c r="J586" s="15"/>
      <c r="K586" s="15"/>
      <c r="L586" s="15"/>
      <c r="M586" s="15"/>
      <c r="N586" s="46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1:28" ht="15.75" customHeight="1">
      <c r="A587" s="15"/>
      <c r="B587" s="15"/>
      <c r="C587" s="15"/>
      <c r="D587" s="16"/>
      <c r="E587" s="16"/>
      <c r="F587" s="15"/>
      <c r="G587" s="15"/>
      <c r="H587" s="15"/>
      <c r="I587" s="15"/>
      <c r="J587" s="15"/>
      <c r="K587" s="15"/>
      <c r="L587" s="15"/>
      <c r="M587" s="15"/>
      <c r="N587" s="46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1:28" ht="15.75" customHeight="1">
      <c r="A588" s="15"/>
      <c r="B588" s="15"/>
      <c r="C588" s="15"/>
      <c r="D588" s="16"/>
      <c r="E588" s="16"/>
      <c r="F588" s="15"/>
      <c r="G588" s="15"/>
      <c r="H588" s="15"/>
      <c r="I588" s="15"/>
      <c r="J588" s="15"/>
      <c r="K588" s="15"/>
      <c r="L588" s="15"/>
      <c r="M588" s="15"/>
      <c r="N588" s="46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1:28" ht="15.75" customHeight="1">
      <c r="A589" s="15"/>
      <c r="B589" s="15"/>
      <c r="C589" s="15"/>
      <c r="D589" s="16"/>
      <c r="E589" s="16"/>
      <c r="F589" s="15"/>
      <c r="G589" s="15"/>
      <c r="H589" s="15"/>
      <c r="I589" s="15"/>
      <c r="J589" s="15"/>
      <c r="K589" s="15"/>
      <c r="L589" s="15"/>
      <c r="M589" s="15"/>
      <c r="N589" s="46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1:28" ht="15.75" customHeight="1">
      <c r="A590" s="15"/>
      <c r="B590" s="15"/>
      <c r="C590" s="15"/>
      <c r="D590" s="16"/>
      <c r="E590" s="16"/>
      <c r="F590" s="15"/>
      <c r="G590" s="15"/>
      <c r="H590" s="15"/>
      <c r="I590" s="15"/>
      <c r="J590" s="15"/>
      <c r="K590" s="15"/>
      <c r="L590" s="15"/>
      <c r="M590" s="15"/>
      <c r="N590" s="46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1:28" ht="15.75" customHeight="1">
      <c r="A591" s="15"/>
      <c r="B591" s="15"/>
      <c r="C591" s="15"/>
      <c r="D591" s="16"/>
      <c r="E591" s="16"/>
      <c r="F591" s="15"/>
      <c r="G591" s="15"/>
      <c r="H591" s="15"/>
      <c r="I591" s="15"/>
      <c r="J591" s="15"/>
      <c r="K591" s="15"/>
      <c r="L591" s="15"/>
      <c r="M591" s="15"/>
      <c r="N591" s="46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1:28" ht="15.75" customHeight="1">
      <c r="A592" s="15"/>
      <c r="B592" s="15"/>
      <c r="C592" s="15"/>
      <c r="D592" s="16"/>
      <c r="E592" s="16"/>
      <c r="F592" s="15"/>
      <c r="G592" s="15"/>
      <c r="H592" s="15"/>
      <c r="I592" s="15"/>
      <c r="J592" s="15"/>
      <c r="K592" s="15"/>
      <c r="L592" s="15"/>
      <c r="M592" s="15"/>
      <c r="N592" s="46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1:28" ht="15.75" customHeight="1">
      <c r="A593" s="15"/>
      <c r="B593" s="15"/>
      <c r="C593" s="15"/>
      <c r="D593" s="16"/>
      <c r="E593" s="16"/>
      <c r="F593" s="15"/>
      <c r="G593" s="15"/>
      <c r="H593" s="15"/>
      <c r="I593" s="15"/>
      <c r="J593" s="15"/>
      <c r="K593" s="15"/>
      <c r="L593" s="15"/>
      <c r="M593" s="15"/>
      <c r="N593" s="46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1:28" ht="15.75" customHeight="1">
      <c r="A594" s="15"/>
      <c r="B594" s="15"/>
      <c r="C594" s="15"/>
      <c r="D594" s="16"/>
      <c r="E594" s="16"/>
      <c r="F594" s="15"/>
      <c r="G594" s="15"/>
      <c r="H594" s="15"/>
      <c r="I594" s="15"/>
      <c r="J594" s="15"/>
      <c r="K594" s="15"/>
      <c r="L594" s="15"/>
      <c r="M594" s="15"/>
      <c r="N594" s="46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1:28" ht="15.75" customHeight="1">
      <c r="A595" s="15"/>
      <c r="B595" s="15"/>
      <c r="C595" s="15"/>
      <c r="D595" s="16"/>
      <c r="E595" s="16"/>
      <c r="F595" s="15"/>
      <c r="G595" s="15"/>
      <c r="H595" s="15"/>
      <c r="I595" s="15"/>
      <c r="J595" s="15"/>
      <c r="K595" s="15"/>
      <c r="L595" s="15"/>
      <c r="M595" s="15"/>
      <c r="N595" s="46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1:28" ht="15.75" customHeight="1">
      <c r="A596" s="15"/>
      <c r="B596" s="15"/>
      <c r="C596" s="15"/>
      <c r="D596" s="16"/>
      <c r="E596" s="16"/>
      <c r="F596" s="15"/>
      <c r="G596" s="15"/>
      <c r="H596" s="15"/>
      <c r="I596" s="15"/>
      <c r="J596" s="15"/>
      <c r="K596" s="15"/>
      <c r="L596" s="15"/>
      <c r="M596" s="15"/>
      <c r="N596" s="46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1:28" ht="15.75" customHeight="1">
      <c r="A597" s="15"/>
      <c r="B597" s="15"/>
      <c r="C597" s="15"/>
      <c r="D597" s="16"/>
      <c r="E597" s="16"/>
      <c r="F597" s="15"/>
      <c r="G597" s="15"/>
      <c r="H597" s="15"/>
      <c r="I597" s="15"/>
      <c r="J597" s="15"/>
      <c r="K597" s="15"/>
      <c r="L597" s="15"/>
      <c r="M597" s="15"/>
      <c r="N597" s="46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1:28" ht="15.75" customHeight="1">
      <c r="A598" s="15"/>
      <c r="B598" s="15"/>
      <c r="C598" s="15"/>
      <c r="D598" s="16"/>
      <c r="E598" s="16"/>
      <c r="F598" s="15"/>
      <c r="G598" s="15"/>
      <c r="H598" s="15"/>
      <c r="I598" s="15"/>
      <c r="J598" s="15"/>
      <c r="K598" s="15"/>
      <c r="L598" s="15"/>
      <c r="M598" s="15"/>
      <c r="N598" s="46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1:28" ht="15.75" customHeight="1">
      <c r="A599" s="15"/>
      <c r="B599" s="15"/>
      <c r="C599" s="15"/>
      <c r="D599" s="16"/>
      <c r="E599" s="16"/>
      <c r="F599" s="15"/>
      <c r="G599" s="15"/>
      <c r="H599" s="15"/>
      <c r="I599" s="15"/>
      <c r="J599" s="15"/>
      <c r="K599" s="15"/>
      <c r="L599" s="15"/>
      <c r="M599" s="15"/>
      <c r="N599" s="46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1:28" ht="15.75" customHeight="1">
      <c r="A600" s="15"/>
      <c r="B600" s="15"/>
      <c r="C600" s="15"/>
      <c r="D600" s="16"/>
      <c r="E600" s="16"/>
      <c r="F600" s="15"/>
      <c r="G600" s="15"/>
      <c r="H600" s="15"/>
      <c r="I600" s="15"/>
      <c r="J600" s="15"/>
      <c r="K600" s="15"/>
      <c r="L600" s="15"/>
      <c r="M600" s="15"/>
      <c r="N600" s="46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1:28" ht="15.75" customHeight="1">
      <c r="A601" s="15"/>
      <c r="B601" s="15"/>
      <c r="C601" s="15"/>
      <c r="D601" s="16"/>
      <c r="E601" s="16"/>
      <c r="F601" s="15"/>
      <c r="G601" s="15"/>
      <c r="H601" s="15"/>
      <c r="I601" s="15"/>
      <c r="J601" s="15"/>
      <c r="K601" s="15"/>
      <c r="L601" s="15"/>
      <c r="M601" s="15"/>
      <c r="N601" s="46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1:28" ht="15.75" customHeight="1">
      <c r="A602" s="15"/>
      <c r="B602" s="15"/>
      <c r="C602" s="15"/>
      <c r="D602" s="16"/>
      <c r="E602" s="16"/>
      <c r="F602" s="15"/>
      <c r="G602" s="15"/>
      <c r="H602" s="15"/>
      <c r="I602" s="15"/>
      <c r="J602" s="15"/>
      <c r="K602" s="15"/>
      <c r="L602" s="15"/>
      <c r="M602" s="15"/>
      <c r="N602" s="46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1:28" ht="15.75" customHeight="1">
      <c r="A603" s="15"/>
      <c r="B603" s="15"/>
      <c r="C603" s="15"/>
      <c r="D603" s="16"/>
      <c r="E603" s="16"/>
      <c r="F603" s="15"/>
      <c r="G603" s="15"/>
      <c r="H603" s="15"/>
      <c r="I603" s="15"/>
      <c r="J603" s="15"/>
      <c r="K603" s="15"/>
      <c r="L603" s="15"/>
      <c r="M603" s="15"/>
      <c r="N603" s="46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1:28" ht="15.75" customHeight="1">
      <c r="A604" s="15"/>
      <c r="B604" s="15"/>
      <c r="C604" s="15"/>
      <c r="D604" s="16"/>
      <c r="E604" s="16"/>
      <c r="F604" s="15"/>
      <c r="G604" s="15"/>
      <c r="H604" s="15"/>
      <c r="I604" s="15"/>
      <c r="J604" s="15"/>
      <c r="K604" s="15"/>
      <c r="L604" s="15"/>
      <c r="M604" s="15"/>
      <c r="N604" s="46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1:28" ht="15.75" customHeight="1">
      <c r="A605" s="15"/>
      <c r="B605" s="15"/>
      <c r="C605" s="15"/>
      <c r="D605" s="16"/>
      <c r="E605" s="16"/>
      <c r="F605" s="15"/>
      <c r="G605" s="15"/>
      <c r="H605" s="15"/>
      <c r="I605" s="15"/>
      <c r="J605" s="15"/>
      <c r="K605" s="15"/>
      <c r="L605" s="15"/>
      <c r="M605" s="15"/>
      <c r="N605" s="46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1:28" ht="15.75" customHeight="1">
      <c r="A606" s="15"/>
      <c r="B606" s="15"/>
      <c r="C606" s="15"/>
      <c r="D606" s="16"/>
      <c r="E606" s="16"/>
      <c r="F606" s="15"/>
      <c r="G606" s="15"/>
      <c r="H606" s="15"/>
      <c r="I606" s="15"/>
      <c r="J606" s="15"/>
      <c r="K606" s="15"/>
      <c r="L606" s="15"/>
      <c r="M606" s="15"/>
      <c r="N606" s="46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1:28" ht="15.75" customHeight="1">
      <c r="A607" s="15"/>
      <c r="B607" s="15"/>
      <c r="C607" s="15"/>
      <c r="D607" s="16"/>
      <c r="E607" s="16"/>
      <c r="F607" s="15"/>
      <c r="G607" s="15"/>
      <c r="H607" s="15"/>
      <c r="I607" s="15"/>
      <c r="J607" s="15"/>
      <c r="K607" s="15"/>
      <c r="L607" s="15"/>
      <c r="M607" s="15"/>
      <c r="N607" s="46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1:28" ht="15.75" customHeight="1">
      <c r="A608" s="15"/>
      <c r="B608" s="15"/>
      <c r="C608" s="15"/>
      <c r="D608" s="16"/>
      <c r="E608" s="16"/>
      <c r="F608" s="15"/>
      <c r="G608" s="15"/>
      <c r="H608" s="15"/>
      <c r="I608" s="15"/>
      <c r="J608" s="15"/>
      <c r="K608" s="15"/>
      <c r="L608" s="15"/>
      <c r="M608" s="15"/>
      <c r="N608" s="46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1:28" ht="15.75" customHeight="1">
      <c r="A609" s="15"/>
      <c r="B609" s="15"/>
      <c r="C609" s="15"/>
      <c r="D609" s="16"/>
      <c r="E609" s="16"/>
      <c r="F609" s="15"/>
      <c r="G609" s="15"/>
      <c r="H609" s="15"/>
      <c r="I609" s="15"/>
      <c r="J609" s="15"/>
      <c r="K609" s="15"/>
      <c r="L609" s="15"/>
      <c r="M609" s="15"/>
      <c r="N609" s="46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1:28" ht="15.75" customHeight="1">
      <c r="A610" s="15"/>
      <c r="B610" s="15"/>
      <c r="C610" s="15"/>
      <c r="D610" s="16"/>
      <c r="E610" s="16"/>
      <c r="F610" s="15"/>
      <c r="G610" s="15"/>
      <c r="H610" s="15"/>
      <c r="I610" s="15"/>
      <c r="J610" s="15"/>
      <c r="K610" s="15"/>
      <c r="L610" s="15"/>
      <c r="M610" s="15"/>
      <c r="N610" s="46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1:28" ht="15.75" customHeight="1">
      <c r="A611" s="15"/>
      <c r="B611" s="15"/>
      <c r="C611" s="15"/>
      <c r="D611" s="16"/>
      <c r="E611" s="16"/>
      <c r="F611" s="15"/>
      <c r="G611" s="15"/>
      <c r="H611" s="15"/>
      <c r="I611" s="15"/>
      <c r="J611" s="15"/>
      <c r="K611" s="15"/>
      <c r="L611" s="15"/>
      <c r="M611" s="15"/>
      <c r="N611" s="46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1:28" ht="15.75" customHeight="1">
      <c r="A612" s="15"/>
      <c r="B612" s="15"/>
      <c r="C612" s="15"/>
      <c r="D612" s="16"/>
      <c r="E612" s="16"/>
      <c r="F612" s="15"/>
      <c r="G612" s="15"/>
      <c r="H612" s="15"/>
      <c r="I612" s="15"/>
      <c r="J612" s="15"/>
      <c r="K612" s="15"/>
      <c r="L612" s="15"/>
      <c r="M612" s="15"/>
      <c r="N612" s="46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1:28" ht="15.75" customHeight="1">
      <c r="A613" s="15"/>
      <c r="B613" s="15"/>
      <c r="C613" s="15"/>
      <c r="D613" s="16"/>
      <c r="E613" s="16"/>
      <c r="F613" s="15"/>
      <c r="G613" s="15"/>
      <c r="H613" s="15"/>
      <c r="I613" s="15"/>
      <c r="J613" s="15"/>
      <c r="K613" s="15"/>
      <c r="L613" s="15"/>
      <c r="M613" s="15"/>
      <c r="N613" s="46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1:28" ht="15.75" customHeight="1">
      <c r="A614" s="15"/>
      <c r="B614" s="15"/>
      <c r="C614" s="15"/>
      <c r="D614" s="16"/>
      <c r="E614" s="16"/>
      <c r="F614" s="15"/>
      <c r="G614" s="15"/>
      <c r="H614" s="15"/>
      <c r="I614" s="15"/>
      <c r="J614" s="15"/>
      <c r="K614" s="15"/>
      <c r="L614" s="15"/>
      <c r="M614" s="15"/>
      <c r="N614" s="46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1:28" ht="15.75" customHeight="1">
      <c r="A615" s="15"/>
      <c r="B615" s="15"/>
      <c r="C615" s="15"/>
      <c r="D615" s="16"/>
      <c r="E615" s="16"/>
      <c r="F615" s="15"/>
      <c r="G615" s="15"/>
      <c r="H615" s="15"/>
      <c r="I615" s="15"/>
      <c r="J615" s="15"/>
      <c r="K615" s="15"/>
      <c r="L615" s="15"/>
      <c r="M615" s="15"/>
      <c r="N615" s="46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1:28" ht="15.75" customHeight="1">
      <c r="A616" s="15"/>
      <c r="B616" s="15"/>
      <c r="C616" s="15"/>
      <c r="D616" s="16"/>
      <c r="E616" s="16"/>
      <c r="F616" s="15"/>
      <c r="G616" s="15"/>
      <c r="H616" s="15"/>
      <c r="I616" s="15"/>
      <c r="J616" s="15"/>
      <c r="K616" s="15"/>
      <c r="L616" s="15"/>
      <c r="M616" s="15"/>
      <c r="N616" s="46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1:28" ht="15.75" customHeight="1">
      <c r="A617" s="15"/>
      <c r="B617" s="15"/>
      <c r="C617" s="15"/>
      <c r="D617" s="16"/>
      <c r="E617" s="16"/>
      <c r="F617" s="15"/>
      <c r="G617" s="15"/>
      <c r="H617" s="15"/>
      <c r="I617" s="15"/>
      <c r="J617" s="15"/>
      <c r="K617" s="15"/>
      <c r="L617" s="15"/>
      <c r="M617" s="15"/>
      <c r="N617" s="46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1:28" ht="15.75" customHeight="1">
      <c r="A618" s="15"/>
      <c r="B618" s="15"/>
      <c r="C618" s="15"/>
      <c r="D618" s="16"/>
      <c r="E618" s="16"/>
      <c r="F618" s="15"/>
      <c r="G618" s="15"/>
      <c r="H618" s="15"/>
      <c r="I618" s="15"/>
      <c r="J618" s="15"/>
      <c r="K618" s="15"/>
      <c r="L618" s="15"/>
      <c r="M618" s="15"/>
      <c r="N618" s="46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1:28" ht="15.75" customHeight="1">
      <c r="A619" s="15"/>
      <c r="B619" s="15"/>
      <c r="C619" s="15"/>
      <c r="D619" s="16"/>
      <c r="E619" s="16"/>
      <c r="F619" s="15"/>
      <c r="G619" s="15"/>
      <c r="H619" s="15"/>
      <c r="I619" s="15"/>
      <c r="J619" s="15"/>
      <c r="K619" s="15"/>
      <c r="L619" s="15"/>
      <c r="M619" s="15"/>
      <c r="N619" s="46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1:28" ht="15.75" customHeight="1">
      <c r="A620" s="15"/>
      <c r="B620" s="15"/>
      <c r="C620" s="15"/>
      <c r="D620" s="16"/>
      <c r="E620" s="16"/>
      <c r="F620" s="15"/>
      <c r="G620" s="15"/>
      <c r="H620" s="15"/>
      <c r="I620" s="15"/>
      <c r="J620" s="15"/>
      <c r="K620" s="15"/>
      <c r="L620" s="15"/>
      <c r="M620" s="15"/>
      <c r="N620" s="46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1:28" ht="15.75" customHeight="1">
      <c r="A621" s="15"/>
      <c r="B621" s="15"/>
      <c r="C621" s="15"/>
      <c r="D621" s="16"/>
      <c r="E621" s="16"/>
      <c r="F621" s="15"/>
      <c r="G621" s="15"/>
      <c r="H621" s="15"/>
      <c r="I621" s="15"/>
      <c r="J621" s="15"/>
      <c r="K621" s="15"/>
      <c r="L621" s="15"/>
      <c r="M621" s="15"/>
      <c r="N621" s="46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1:28" ht="15.75" customHeight="1">
      <c r="A622" s="15"/>
      <c r="B622" s="15"/>
      <c r="C622" s="15"/>
      <c r="D622" s="16"/>
      <c r="E622" s="16"/>
      <c r="F622" s="15"/>
      <c r="G622" s="15"/>
      <c r="H622" s="15"/>
      <c r="I622" s="15"/>
      <c r="J622" s="15"/>
      <c r="K622" s="15"/>
      <c r="L622" s="15"/>
      <c r="M622" s="15"/>
      <c r="N622" s="46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1:28" ht="15.75" customHeight="1">
      <c r="A623" s="15"/>
      <c r="B623" s="15"/>
      <c r="C623" s="15"/>
      <c r="D623" s="16"/>
      <c r="E623" s="16"/>
      <c r="F623" s="15"/>
      <c r="G623" s="15"/>
      <c r="H623" s="15"/>
      <c r="I623" s="15"/>
      <c r="J623" s="15"/>
      <c r="K623" s="15"/>
      <c r="L623" s="15"/>
      <c r="M623" s="15"/>
      <c r="N623" s="46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1:28" ht="15.75" customHeight="1">
      <c r="A624" s="15"/>
      <c r="B624" s="15"/>
      <c r="C624" s="15"/>
      <c r="D624" s="16"/>
      <c r="E624" s="16"/>
      <c r="F624" s="15"/>
      <c r="G624" s="15"/>
      <c r="H624" s="15"/>
      <c r="I624" s="15"/>
      <c r="J624" s="15"/>
      <c r="K624" s="15"/>
      <c r="L624" s="15"/>
      <c r="M624" s="15"/>
      <c r="N624" s="46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1:28" ht="15.75" customHeight="1">
      <c r="A625" s="15"/>
      <c r="B625" s="15"/>
      <c r="C625" s="15"/>
      <c r="D625" s="16"/>
      <c r="E625" s="16"/>
      <c r="F625" s="15"/>
      <c r="G625" s="15"/>
      <c r="H625" s="15"/>
      <c r="I625" s="15"/>
      <c r="J625" s="15"/>
      <c r="K625" s="15"/>
      <c r="L625" s="15"/>
      <c r="M625" s="15"/>
      <c r="N625" s="46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1:28" ht="15.75" customHeight="1">
      <c r="A626" s="15"/>
      <c r="B626" s="15"/>
      <c r="C626" s="15"/>
      <c r="D626" s="16"/>
      <c r="E626" s="16"/>
      <c r="F626" s="15"/>
      <c r="G626" s="15"/>
      <c r="H626" s="15"/>
      <c r="I626" s="15"/>
      <c r="J626" s="15"/>
      <c r="K626" s="15"/>
      <c r="L626" s="15"/>
      <c r="M626" s="15"/>
      <c r="N626" s="46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1:28" ht="15.75" customHeight="1">
      <c r="A627" s="15"/>
      <c r="B627" s="15"/>
      <c r="C627" s="15"/>
      <c r="D627" s="16"/>
      <c r="E627" s="16"/>
      <c r="F627" s="15"/>
      <c r="G627" s="15"/>
      <c r="H627" s="15"/>
      <c r="I627" s="15"/>
      <c r="J627" s="15"/>
      <c r="K627" s="15"/>
      <c r="L627" s="15"/>
      <c r="M627" s="15"/>
      <c r="N627" s="46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15.75" customHeight="1">
      <c r="A628" s="15"/>
      <c r="B628" s="15"/>
      <c r="C628" s="15"/>
      <c r="D628" s="16"/>
      <c r="E628" s="16"/>
      <c r="F628" s="15"/>
      <c r="G628" s="15"/>
      <c r="H628" s="15"/>
      <c r="I628" s="15"/>
      <c r="J628" s="15"/>
      <c r="K628" s="15"/>
      <c r="L628" s="15"/>
      <c r="M628" s="15"/>
      <c r="N628" s="46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1:28" ht="15.75" customHeight="1">
      <c r="A629" s="15"/>
      <c r="B629" s="15"/>
      <c r="C629" s="15"/>
      <c r="D629" s="16"/>
      <c r="E629" s="16"/>
      <c r="F629" s="15"/>
      <c r="G629" s="15"/>
      <c r="H629" s="15"/>
      <c r="I629" s="15"/>
      <c r="J629" s="15"/>
      <c r="K629" s="15"/>
      <c r="L629" s="15"/>
      <c r="M629" s="15"/>
      <c r="N629" s="46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1:28" ht="15.75" customHeight="1">
      <c r="A630" s="15"/>
      <c r="B630" s="15"/>
      <c r="C630" s="15"/>
      <c r="D630" s="16"/>
      <c r="E630" s="16"/>
      <c r="F630" s="15"/>
      <c r="G630" s="15"/>
      <c r="H630" s="15"/>
      <c r="I630" s="15"/>
      <c r="J630" s="15"/>
      <c r="K630" s="15"/>
      <c r="L630" s="15"/>
      <c r="M630" s="15"/>
      <c r="N630" s="46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1:28" ht="15.75" customHeight="1">
      <c r="A631" s="15"/>
      <c r="B631" s="15"/>
      <c r="C631" s="15"/>
      <c r="D631" s="16"/>
      <c r="E631" s="16"/>
      <c r="F631" s="15"/>
      <c r="G631" s="15"/>
      <c r="H631" s="15"/>
      <c r="I631" s="15"/>
      <c r="J631" s="15"/>
      <c r="K631" s="15"/>
      <c r="L631" s="15"/>
      <c r="M631" s="15"/>
      <c r="N631" s="46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1:28" ht="15.75" customHeight="1">
      <c r="A632" s="15"/>
      <c r="B632" s="15"/>
      <c r="C632" s="15"/>
      <c r="D632" s="16"/>
      <c r="E632" s="16"/>
      <c r="F632" s="15"/>
      <c r="G632" s="15"/>
      <c r="H632" s="15"/>
      <c r="I632" s="15"/>
      <c r="J632" s="15"/>
      <c r="K632" s="15"/>
      <c r="L632" s="15"/>
      <c r="M632" s="15"/>
      <c r="N632" s="46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1:28" ht="15.75" customHeight="1">
      <c r="A633" s="15"/>
      <c r="B633" s="15"/>
      <c r="C633" s="15"/>
      <c r="D633" s="16"/>
      <c r="E633" s="16"/>
      <c r="F633" s="15"/>
      <c r="G633" s="15"/>
      <c r="H633" s="15"/>
      <c r="I633" s="15"/>
      <c r="J633" s="15"/>
      <c r="K633" s="15"/>
      <c r="L633" s="15"/>
      <c r="M633" s="15"/>
      <c r="N633" s="46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1:28" ht="15.75" customHeight="1">
      <c r="A634" s="15"/>
      <c r="B634" s="15"/>
      <c r="C634" s="15"/>
      <c r="D634" s="16"/>
      <c r="E634" s="16"/>
      <c r="F634" s="15"/>
      <c r="G634" s="15"/>
      <c r="H634" s="15"/>
      <c r="I634" s="15"/>
      <c r="J634" s="15"/>
      <c r="K634" s="15"/>
      <c r="L634" s="15"/>
      <c r="M634" s="15"/>
      <c r="N634" s="46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1:28" ht="15.75" customHeight="1">
      <c r="A635" s="15"/>
      <c r="B635" s="15"/>
      <c r="C635" s="15"/>
      <c r="D635" s="16"/>
      <c r="E635" s="16"/>
      <c r="F635" s="15"/>
      <c r="G635" s="15"/>
      <c r="H635" s="15"/>
      <c r="I635" s="15"/>
      <c r="J635" s="15"/>
      <c r="K635" s="15"/>
      <c r="L635" s="15"/>
      <c r="M635" s="15"/>
      <c r="N635" s="46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1:28" ht="15.75" customHeight="1">
      <c r="A636" s="15"/>
      <c r="B636" s="15"/>
      <c r="C636" s="15"/>
      <c r="D636" s="16"/>
      <c r="E636" s="16"/>
      <c r="F636" s="15"/>
      <c r="G636" s="15"/>
      <c r="H636" s="15"/>
      <c r="I636" s="15"/>
      <c r="J636" s="15"/>
      <c r="K636" s="15"/>
      <c r="L636" s="15"/>
      <c r="M636" s="15"/>
      <c r="N636" s="46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spans="1:28" ht="15.75" customHeight="1">
      <c r="A637" s="15"/>
      <c r="B637" s="15"/>
      <c r="C637" s="15"/>
      <c r="D637" s="16"/>
      <c r="E637" s="16"/>
      <c r="F637" s="15"/>
      <c r="G637" s="15"/>
      <c r="H637" s="15"/>
      <c r="I637" s="15"/>
      <c r="J637" s="15"/>
      <c r="K637" s="15"/>
      <c r="L637" s="15"/>
      <c r="M637" s="15"/>
      <c r="N637" s="46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spans="1:28" ht="15.75" customHeight="1">
      <c r="A638" s="15"/>
      <c r="B638" s="15"/>
      <c r="C638" s="15"/>
      <c r="D638" s="16"/>
      <c r="E638" s="16"/>
      <c r="F638" s="15"/>
      <c r="G638" s="15"/>
      <c r="H638" s="15"/>
      <c r="I638" s="15"/>
      <c r="J638" s="15"/>
      <c r="K638" s="15"/>
      <c r="L638" s="15"/>
      <c r="M638" s="15"/>
      <c r="N638" s="46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spans="1:28" ht="15.75" customHeight="1">
      <c r="A639" s="15"/>
      <c r="B639" s="15"/>
      <c r="C639" s="15"/>
      <c r="D639" s="16"/>
      <c r="E639" s="16"/>
      <c r="F639" s="15"/>
      <c r="G639" s="15"/>
      <c r="H639" s="15"/>
      <c r="I639" s="15"/>
      <c r="J639" s="15"/>
      <c r="K639" s="15"/>
      <c r="L639" s="15"/>
      <c r="M639" s="15"/>
      <c r="N639" s="46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spans="1:28" ht="15.75" customHeight="1">
      <c r="A640" s="15"/>
      <c r="B640" s="15"/>
      <c r="C640" s="15"/>
      <c r="D640" s="16"/>
      <c r="E640" s="16"/>
      <c r="F640" s="15"/>
      <c r="G640" s="15"/>
      <c r="H640" s="15"/>
      <c r="I640" s="15"/>
      <c r="J640" s="15"/>
      <c r="K640" s="15"/>
      <c r="L640" s="15"/>
      <c r="M640" s="15"/>
      <c r="N640" s="46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spans="1:28" ht="15.75" customHeight="1">
      <c r="A641" s="15"/>
      <c r="B641" s="15"/>
      <c r="C641" s="15"/>
      <c r="D641" s="16"/>
      <c r="E641" s="16"/>
      <c r="F641" s="15"/>
      <c r="G641" s="15"/>
      <c r="H641" s="15"/>
      <c r="I641" s="15"/>
      <c r="J641" s="15"/>
      <c r="K641" s="15"/>
      <c r="L641" s="15"/>
      <c r="M641" s="15"/>
      <c r="N641" s="46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spans="1:28" ht="15.75" customHeight="1">
      <c r="A642" s="15"/>
      <c r="B642" s="15"/>
      <c r="C642" s="15"/>
      <c r="D642" s="16"/>
      <c r="E642" s="16"/>
      <c r="F642" s="15"/>
      <c r="G642" s="15"/>
      <c r="H642" s="15"/>
      <c r="I642" s="15"/>
      <c r="J642" s="15"/>
      <c r="K642" s="15"/>
      <c r="L642" s="15"/>
      <c r="M642" s="15"/>
      <c r="N642" s="46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spans="1:28" ht="15.75" customHeight="1">
      <c r="A643" s="15"/>
      <c r="B643" s="15"/>
      <c r="C643" s="15"/>
      <c r="D643" s="16"/>
      <c r="E643" s="16"/>
      <c r="F643" s="15"/>
      <c r="G643" s="15"/>
      <c r="H643" s="15"/>
      <c r="I643" s="15"/>
      <c r="J643" s="15"/>
      <c r="K643" s="15"/>
      <c r="L643" s="15"/>
      <c r="M643" s="15"/>
      <c r="N643" s="46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spans="1:28" ht="15.75" customHeight="1">
      <c r="A644" s="15"/>
      <c r="B644" s="15"/>
      <c r="C644" s="15"/>
      <c r="D644" s="16"/>
      <c r="E644" s="16"/>
      <c r="F644" s="15"/>
      <c r="G644" s="15"/>
      <c r="H644" s="15"/>
      <c r="I644" s="15"/>
      <c r="J644" s="15"/>
      <c r="K644" s="15"/>
      <c r="L644" s="15"/>
      <c r="M644" s="15"/>
      <c r="N644" s="46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spans="1:28" ht="15.75" customHeight="1">
      <c r="A645" s="15"/>
      <c r="B645" s="15"/>
      <c r="C645" s="15"/>
      <c r="D645" s="16"/>
      <c r="E645" s="16"/>
      <c r="F645" s="15"/>
      <c r="G645" s="15"/>
      <c r="H645" s="15"/>
      <c r="I645" s="15"/>
      <c r="J645" s="15"/>
      <c r="K645" s="15"/>
      <c r="L645" s="15"/>
      <c r="M645" s="15"/>
      <c r="N645" s="46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spans="1:28" ht="15.75" customHeight="1">
      <c r="A646" s="15"/>
      <c r="B646" s="15"/>
      <c r="C646" s="15"/>
      <c r="D646" s="16"/>
      <c r="E646" s="16"/>
      <c r="F646" s="15"/>
      <c r="G646" s="15"/>
      <c r="H646" s="15"/>
      <c r="I646" s="15"/>
      <c r="J646" s="15"/>
      <c r="K646" s="15"/>
      <c r="L646" s="15"/>
      <c r="M646" s="15"/>
      <c r="N646" s="46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spans="1:28" ht="15.75" customHeight="1">
      <c r="A647" s="15"/>
      <c r="B647" s="15"/>
      <c r="C647" s="15"/>
      <c r="D647" s="16"/>
      <c r="E647" s="16"/>
      <c r="F647" s="15"/>
      <c r="G647" s="15"/>
      <c r="H647" s="15"/>
      <c r="I647" s="15"/>
      <c r="J647" s="15"/>
      <c r="K647" s="15"/>
      <c r="L647" s="15"/>
      <c r="M647" s="15"/>
      <c r="N647" s="46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spans="1:28" ht="15.75" customHeight="1">
      <c r="A648" s="15"/>
      <c r="B648" s="15"/>
      <c r="C648" s="15"/>
      <c r="D648" s="16"/>
      <c r="E648" s="16"/>
      <c r="F648" s="15"/>
      <c r="G648" s="15"/>
      <c r="H648" s="15"/>
      <c r="I648" s="15"/>
      <c r="J648" s="15"/>
      <c r="K648" s="15"/>
      <c r="L648" s="15"/>
      <c r="M648" s="15"/>
      <c r="N648" s="46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spans="1:28" ht="15.75" customHeight="1">
      <c r="A649" s="15"/>
      <c r="B649" s="15"/>
      <c r="C649" s="15"/>
      <c r="D649" s="16"/>
      <c r="E649" s="16"/>
      <c r="F649" s="15"/>
      <c r="G649" s="15"/>
      <c r="H649" s="15"/>
      <c r="I649" s="15"/>
      <c r="J649" s="15"/>
      <c r="K649" s="15"/>
      <c r="L649" s="15"/>
      <c r="M649" s="15"/>
      <c r="N649" s="46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spans="1:28" ht="15.75" customHeight="1">
      <c r="A650" s="15"/>
      <c r="B650" s="15"/>
      <c r="C650" s="15"/>
      <c r="D650" s="16"/>
      <c r="E650" s="16"/>
      <c r="F650" s="15"/>
      <c r="G650" s="15"/>
      <c r="H650" s="15"/>
      <c r="I650" s="15"/>
      <c r="J650" s="15"/>
      <c r="K650" s="15"/>
      <c r="L650" s="15"/>
      <c r="M650" s="15"/>
      <c r="N650" s="46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spans="1:28" ht="15.75" customHeight="1">
      <c r="A651" s="15"/>
      <c r="B651" s="15"/>
      <c r="C651" s="15"/>
      <c r="D651" s="16"/>
      <c r="E651" s="16"/>
      <c r="F651" s="15"/>
      <c r="G651" s="15"/>
      <c r="H651" s="15"/>
      <c r="I651" s="15"/>
      <c r="J651" s="15"/>
      <c r="K651" s="15"/>
      <c r="L651" s="15"/>
      <c r="M651" s="15"/>
      <c r="N651" s="46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spans="1:28" ht="15.75" customHeight="1">
      <c r="A652" s="15"/>
      <c r="B652" s="15"/>
      <c r="C652" s="15"/>
      <c r="D652" s="16"/>
      <c r="E652" s="16"/>
      <c r="F652" s="15"/>
      <c r="G652" s="15"/>
      <c r="H652" s="15"/>
      <c r="I652" s="15"/>
      <c r="J652" s="15"/>
      <c r="K652" s="15"/>
      <c r="L652" s="15"/>
      <c r="M652" s="15"/>
      <c r="N652" s="46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spans="1:28" ht="15.75" customHeight="1">
      <c r="A653" s="15"/>
      <c r="B653" s="15"/>
      <c r="C653" s="15"/>
      <c r="D653" s="16"/>
      <c r="E653" s="16"/>
      <c r="F653" s="15"/>
      <c r="G653" s="15"/>
      <c r="H653" s="15"/>
      <c r="I653" s="15"/>
      <c r="J653" s="15"/>
      <c r="K653" s="15"/>
      <c r="L653" s="15"/>
      <c r="M653" s="15"/>
      <c r="N653" s="46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spans="1:28" ht="15.75" customHeight="1">
      <c r="A654" s="15"/>
      <c r="B654" s="15"/>
      <c r="C654" s="15"/>
      <c r="D654" s="16"/>
      <c r="E654" s="16"/>
      <c r="F654" s="15"/>
      <c r="G654" s="15"/>
      <c r="H654" s="15"/>
      <c r="I654" s="15"/>
      <c r="J654" s="15"/>
      <c r="K654" s="15"/>
      <c r="L654" s="15"/>
      <c r="M654" s="15"/>
      <c r="N654" s="46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spans="1:28" ht="15.75" customHeight="1">
      <c r="A655" s="15"/>
      <c r="B655" s="15"/>
      <c r="C655" s="15"/>
      <c r="D655" s="16"/>
      <c r="E655" s="16"/>
      <c r="F655" s="15"/>
      <c r="G655" s="15"/>
      <c r="H655" s="15"/>
      <c r="I655" s="15"/>
      <c r="J655" s="15"/>
      <c r="K655" s="15"/>
      <c r="L655" s="15"/>
      <c r="M655" s="15"/>
      <c r="N655" s="46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spans="1:28" ht="15.75" customHeight="1">
      <c r="A656" s="15"/>
      <c r="B656" s="15"/>
      <c r="C656" s="15"/>
      <c r="D656" s="16"/>
      <c r="E656" s="16"/>
      <c r="F656" s="15"/>
      <c r="G656" s="15"/>
      <c r="H656" s="15"/>
      <c r="I656" s="15"/>
      <c r="J656" s="15"/>
      <c r="K656" s="15"/>
      <c r="L656" s="15"/>
      <c r="M656" s="15"/>
      <c r="N656" s="46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spans="1:28" ht="15.75" customHeight="1">
      <c r="A657" s="15"/>
      <c r="B657" s="15"/>
      <c r="C657" s="15"/>
      <c r="D657" s="16"/>
      <c r="E657" s="16"/>
      <c r="F657" s="15"/>
      <c r="G657" s="15"/>
      <c r="H657" s="15"/>
      <c r="I657" s="15"/>
      <c r="J657" s="15"/>
      <c r="K657" s="15"/>
      <c r="L657" s="15"/>
      <c r="M657" s="15"/>
      <c r="N657" s="46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spans="1:28" ht="15.75" customHeight="1">
      <c r="A658" s="15"/>
      <c r="B658" s="15"/>
      <c r="C658" s="15"/>
      <c r="D658" s="16"/>
      <c r="E658" s="16"/>
      <c r="F658" s="15"/>
      <c r="G658" s="15"/>
      <c r="H658" s="15"/>
      <c r="I658" s="15"/>
      <c r="J658" s="15"/>
      <c r="K658" s="15"/>
      <c r="L658" s="15"/>
      <c r="M658" s="15"/>
      <c r="N658" s="46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spans="1:28" ht="15.75" customHeight="1">
      <c r="A659" s="15"/>
      <c r="B659" s="15"/>
      <c r="C659" s="15"/>
      <c r="D659" s="16"/>
      <c r="E659" s="16"/>
      <c r="F659" s="15"/>
      <c r="G659" s="15"/>
      <c r="H659" s="15"/>
      <c r="I659" s="15"/>
      <c r="J659" s="15"/>
      <c r="K659" s="15"/>
      <c r="L659" s="15"/>
      <c r="M659" s="15"/>
      <c r="N659" s="46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spans="1:28" ht="15.75" customHeight="1">
      <c r="A660" s="15"/>
      <c r="B660" s="15"/>
      <c r="C660" s="15"/>
      <c r="D660" s="16"/>
      <c r="E660" s="16"/>
      <c r="F660" s="15"/>
      <c r="G660" s="15"/>
      <c r="H660" s="15"/>
      <c r="I660" s="15"/>
      <c r="J660" s="15"/>
      <c r="K660" s="15"/>
      <c r="L660" s="15"/>
      <c r="M660" s="15"/>
      <c r="N660" s="46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spans="1:28" ht="15.75" customHeight="1">
      <c r="A661" s="15"/>
      <c r="B661" s="15"/>
      <c r="C661" s="15"/>
      <c r="D661" s="16"/>
      <c r="E661" s="16"/>
      <c r="F661" s="15"/>
      <c r="G661" s="15"/>
      <c r="H661" s="15"/>
      <c r="I661" s="15"/>
      <c r="J661" s="15"/>
      <c r="K661" s="15"/>
      <c r="L661" s="15"/>
      <c r="M661" s="15"/>
      <c r="N661" s="46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spans="1:28" ht="15.75" customHeight="1">
      <c r="A662" s="15"/>
      <c r="B662" s="15"/>
      <c r="C662" s="15"/>
      <c r="D662" s="16"/>
      <c r="E662" s="16"/>
      <c r="F662" s="15"/>
      <c r="G662" s="15"/>
      <c r="H662" s="15"/>
      <c r="I662" s="15"/>
      <c r="J662" s="15"/>
      <c r="K662" s="15"/>
      <c r="L662" s="15"/>
      <c r="M662" s="15"/>
      <c r="N662" s="46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spans="1:28" ht="15.75" customHeight="1">
      <c r="A663" s="15"/>
      <c r="B663" s="15"/>
      <c r="C663" s="15"/>
      <c r="D663" s="16"/>
      <c r="E663" s="16"/>
      <c r="F663" s="15"/>
      <c r="G663" s="15"/>
      <c r="H663" s="15"/>
      <c r="I663" s="15"/>
      <c r="J663" s="15"/>
      <c r="K663" s="15"/>
      <c r="L663" s="15"/>
      <c r="M663" s="15"/>
      <c r="N663" s="46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spans="1:28" ht="15.75" customHeight="1">
      <c r="A664" s="15"/>
      <c r="B664" s="15"/>
      <c r="C664" s="15"/>
      <c r="D664" s="16"/>
      <c r="E664" s="16"/>
      <c r="F664" s="15"/>
      <c r="G664" s="15"/>
      <c r="H664" s="15"/>
      <c r="I664" s="15"/>
      <c r="J664" s="15"/>
      <c r="K664" s="15"/>
      <c r="L664" s="15"/>
      <c r="M664" s="15"/>
      <c r="N664" s="46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spans="1:28" ht="15.75" customHeight="1">
      <c r="A665" s="15"/>
      <c r="B665" s="15"/>
      <c r="C665" s="15"/>
      <c r="D665" s="16"/>
      <c r="E665" s="16"/>
      <c r="F665" s="15"/>
      <c r="G665" s="15"/>
      <c r="H665" s="15"/>
      <c r="I665" s="15"/>
      <c r="J665" s="15"/>
      <c r="K665" s="15"/>
      <c r="L665" s="15"/>
      <c r="M665" s="15"/>
      <c r="N665" s="46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spans="1:28" ht="15.75" customHeight="1">
      <c r="A666" s="15"/>
      <c r="B666" s="15"/>
      <c r="C666" s="15"/>
      <c r="D666" s="16"/>
      <c r="E666" s="16"/>
      <c r="F666" s="15"/>
      <c r="G666" s="15"/>
      <c r="H666" s="15"/>
      <c r="I666" s="15"/>
      <c r="J666" s="15"/>
      <c r="K666" s="15"/>
      <c r="L666" s="15"/>
      <c r="M666" s="15"/>
      <c r="N666" s="46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spans="1:28" ht="15.75" customHeight="1">
      <c r="A667" s="15"/>
      <c r="B667" s="15"/>
      <c r="C667" s="15"/>
      <c r="D667" s="16"/>
      <c r="E667" s="16"/>
      <c r="F667" s="15"/>
      <c r="G667" s="15"/>
      <c r="H667" s="15"/>
      <c r="I667" s="15"/>
      <c r="J667" s="15"/>
      <c r="K667" s="15"/>
      <c r="L667" s="15"/>
      <c r="M667" s="15"/>
      <c r="N667" s="46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spans="1:28" ht="15.75" customHeight="1">
      <c r="A668" s="15"/>
      <c r="B668" s="15"/>
      <c r="C668" s="15"/>
      <c r="D668" s="16"/>
      <c r="E668" s="16"/>
      <c r="F668" s="15"/>
      <c r="G668" s="15"/>
      <c r="H668" s="15"/>
      <c r="I668" s="15"/>
      <c r="J668" s="15"/>
      <c r="K668" s="15"/>
      <c r="L668" s="15"/>
      <c r="M668" s="15"/>
      <c r="N668" s="46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spans="1:28" ht="15.75" customHeight="1">
      <c r="A669" s="15"/>
      <c r="B669" s="15"/>
      <c r="C669" s="15"/>
      <c r="D669" s="16"/>
      <c r="E669" s="16"/>
      <c r="F669" s="15"/>
      <c r="G669" s="15"/>
      <c r="H669" s="15"/>
      <c r="I669" s="15"/>
      <c r="J669" s="15"/>
      <c r="K669" s="15"/>
      <c r="L669" s="15"/>
      <c r="M669" s="15"/>
      <c r="N669" s="46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spans="1:28" ht="15.75" customHeight="1">
      <c r="A670" s="15"/>
      <c r="B670" s="15"/>
      <c r="C670" s="15"/>
      <c r="D670" s="16"/>
      <c r="E670" s="16"/>
      <c r="F670" s="15"/>
      <c r="G670" s="15"/>
      <c r="H670" s="15"/>
      <c r="I670" s="15"/>
      <c r="J670" s="15"/>
      <c r="K670" s="15"/>
      <c r="L670" s="15"/>
      <c r="M670" s="15"/>
      <c r="N670" s="46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spans="1:28" ht="15.75" customHeight="1">
      <c r="A671" s="15"/>
      <c r="B671" s="15"/>
      <c r="C671" s="15"/>
      <c r="D671" s="16"/>
      <c r="E671" s="16"/>
      <c r="F671" s="15"/>
      <c r="G671" s="15"/>
      <c r="H671" s="15"/>
      <c r="I671" s="15"/>
      <c r="J671" s="15"/>
      <c r="K671" s="15"/>
      <c r="L671" s="15"/>
      <c r="M671" s="15"/>
      <c r="N671" s="46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spans="1:28" ht="15.75" customHeight="1">
      <c r="A672" s="15"/>
      <c r="B672" s="15"/>
      <c r="C672" s="15"/>
      <c r="D672" s="16"/>
      <c r="E672" s="16"/>
      <c r="F672" s="15"/>
      <c r="G672" s="15"/>
      <c r="H672" s="15"/>
      <c r="I672" s="15"/>
      <c r="J672" s="15"/>
      <c r="K672" s="15"/>
      <c r="L672" s="15"/>
      <c r="M672" s="15"/>
      <c r="N672" s="46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spans="1:28" ht="15.75" customHeight="1">
      <c r="A673" s="15"/>
      <c r="B673" s="15"/>
      <c r="C673" s="15"/>
      <c r="D673" s="16"/>
      <c r="E673" s="16"/>
      <c r="F673" s="15"/>
      <c r="G673" s="15"/>
      <c r="H673" s="15"/>
      <c r="I673" s="15"/>
      <c r="J673" s="15"/>
      <c r="K673" s="15"/>
      <c r="L673" s="15"/>
      <c r="M673" s="15"/>
      <c r="N673" s="46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spans="1:28" ht="15.75" customHeight="1">
      <c r="A674" s="15"/>
      <c r="B674" s="15"/>
      <c r="C674" s="15"/>
      <c r="D674" s="16"/>
      <c r="E674" s="16"/>
      <c r="F674" s="15"/>
      <c r="G674" s="15"/>
      <c r="H674" s="15"/>
      <c r="I674" s="15"/>
      <c r="J674" s="15"/>
      <c r="K674" s="15"/>
      <c r="L674" s="15"/>
      <c r="M674" s="15"/>
      <c r="N674" s="46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spans="1:28" ht="15.75" customHeight="1">
      <c r="A675" s="15"/>
      <c r="B675" s="15"/>
      <c r="C675" s="15"/>
      <c r="D675" s="16"/>
      <c r="E675" s="16"/>
      <c r="F675" s="15"/>
      <c r="G675" s="15"/>
      <c r="H675" s="15"/>
      <c r="I675" s="15"/>
      <c r="J675" s="15"/>
      <c r="K675" s="15"/>
      <c r="L675" s="15"/>
      <c r="M675" s="15"/>
      <c r="N675" s="46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spans="1:28" ht="15.75" customHeight="1">
      <c r="A676" s="15"/>
      <c r="B676" s="15"/>
      <c r="C676" s="15"/>
      <c r="D676" s="16"/>
      <c r="E676" s="16"/>
      <c r="F676" s="15"/>
      <c r="G676" s="15"/>
      <c r="H676" s="15"/>
      <c r="I676" s="15"/>
      <c r="J676" s="15"/>
      <c r="K676" s="15"/>
      <c r="L676" s="15"/>
      <c r="M676" s="15"/>
      <c r="N676" s="46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spans="1:28" ht="15.75" customHeight="1">
      <c r="A677" s="15"/>
      <c r="B677" s="15"/>
      <c r="C677" s="15"/>
      <c r="D677" s="16"/>
      <c r="E677" s="16"/>
      <c r="F677" s="15"/>
      <c r="G677" s="15"/>
      <c r="H677" s="15"/>
      <c r="I677" s="15"/>
      <c r="J677" s="15"/>
      <c r="K677" s="15"/>
      <c r="L677" s="15"/>
      <c r="M677" s="15"/>
      <c r="N677" s="46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5.75" customHeight="1">
      <c r="A678" s="15"/>
      <c r="B678" s="15"/>
      <c r="C678" s="15"/>
      <c r="D678" s="16"/>
      <c r="E678" s="16"/>
      <c r="F678" s="15"/>
      <c r="G678" s="15"/>
      <c r="H678" s="15"/>
      <c r="I678" s="15"/>
      <c r="J678" s="15"/>
      <c r="K678" s="15"/>
      <c r="L678" s="15"/>
      <c r="M678" s="15"/>
      <c r="N678" s="46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spans="1:28" ht="15.75" customHeight="1">
      <c r="A679" s="15"/>
      <c r="B679" s="15"/>
      <c r="C679" s="15"/>
      <c r="D679" s="16"/>
      <c r="E679" s="16"/>
      <c r="F679" s="15"/>
      <c r="G679" s="15"/>
      <c r="H679" s="15"/>
      <c r="I679" s="15"/>
      <c r="J679" s="15"/>
      <c r="K679" s="15"/>
      <c r="L679" s="15"/>
      <c r="M679" s="15"/>
      <c r="N679" s="46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spans="1:28" ht="15.75" customHeight="1">
      <c r="A680" s="15"/>
      <c r="B680" s="15"/>
      <c r="C680" s="15"/>
      <c r="D680" s="16"/>
      <c r="E680" s="16"/>
      <c r="F680" s="15"/>
      <c r="G680" s="15"/>
      <c r="H680" s="15"/>
      <c r="I680" s="15"/>
      <c r="J680" s="15"/>
      <c r="K680" s="15"/>
      <c r="L680" s="15"/>
      <c r="M680" s="15"/>
      <c r="N680" s="46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spans="1:28" ht="15.75" customHeight="1">
      <c r="A681" s="15"/>
      <c r="B681" s="15"/>
      <c r="C681" s="15"/>
      <c r="D681" s="16"/>
      <c r="E681" s="16"/>
      <c r="F681" s="15"/>
      <c r="G681" s="15"/>
      <c r="H681" s="15"/>
      <c r="I681" s="15"/>
      <c r="J681" s="15"/>
      <c r="K681" s="15"/>
      <c r="L681" s="15"/>
      <c r="M681" s="15"/>
      <c r="N681" s="46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spans="1:28" ht="15.75" customHeight="1">
      <c r="A682" s="15"/>
      <c r="B682" s="15"/>
      <c r="C682" s="15"/>
      <c r="D682" s="16"/>
      <c r="E682" s="16"/>
      <c r="F682" s="15"/>
      <c r="G682" s="15"/>
      <c r="H682" s="15"/>
      <c r="I682" s="15"/>
      <c r="J682" s="15"/>
      <c r="K682" s="15"/>
      <c r="L682" s="15"/>
      <c r="M682" s="15"/>
      <c r="N682" s="46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spans="1:28" ht="15.75" customHeight="1">
      <c r="A683" s="15"/>
      <c r="B683" s="15"/>
      <c r="C683" s="15"/>
      <c r="D683" s="16"/>
      <c r="E683" s="16"/>
      <c r="F683" s="15"/>
      <c r="G683" s="15"/>
      <c r="H683" s="15"/>
      <c r="I683" s="15"/>
      <c r="J683" s="15"/>
      <c r="K683" s="15"/>
      <c r="L683" s="15"/>
      <c r="M683" s="15"/>
      <c r="N683" s="46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spans="1:28" ht="15.75" customHeight="1">
      <c r="A684" s="15"/>
      <c r="B684" s="15"/>
      <c r="C684" s="15"/>
      <c r="D684" s="16"/>
      <c r="E684" s="16"/>
      <c r="F684" s="15"/>
      <c r="G684" s="15"/>
      <c r="H684" s="15"/>
      <c r="I684" s="15"/>
      <c r="J684" s="15"/>
      <c r="K684" s="15"/>
      <c r="L684" s="15"/>
      <c r="M684" s="15"/>
      <c r="N684" s="46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spans="1:28" ht="15.75" customHeight="1">
      <c r="A685" s="15"/>
      <c r="B685" s="15"/>
      <c r="C685" s="15"/>
      <c r="D685" s="16"/>
      <c r="E685" s="16"/>
      <c r="F685" s="15"/>
      <c r="G685" s="15"/>
      <c r="H685" s="15"/>
      <c r="I685" s="15"/>
      <c r="J685" s="15"/>
      <c r="K685" s="15"/>
      <c r="L685" s="15"/>
      <c r="M685" s="15"/>
      <c r="N685" s="46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spans="1:28" ht="15.75" customHeight="1">
      <c r="A686" s="15"/>
      <c r="B686" s="15"/>
      <c r="C686" s="15"/>
      <c r="D686" s="16"/>
      <c r="E686" s="16"/>
      <c r="F686" s="15"/>
      <c r="G686" s="15"/>
      <c r="H686" s="15"/>
      <c r="I686" s="15"/>
      <c r="J686" s="15"/>
      <c r="K686" s="15"/>
      <c r="L686" s="15"/>
      <c r="M686" s="15"/>
      <c r="N686" s="46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spans="1:28" ht="15.75" customHeight="1">
      <c r="A687" s="15"/>
      <c r="B687" s="15"/>
      <c r="C687" s="15"/>
      <c r="D687" s="16"/>
      <c r="E687" s="16"/>
      <c r="F687" s="15"/>
      <c r="G687" s="15"/>
      <c r="H687" s="15"/>
      <c r="I687" s="15"/>
      <c r="J687" s="15"/>
      <c r="K687" s="15"/>
      <c r="L687" s="15"/>
      <c r="M687" s="15"/>
      <c r="N687" s="46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spans="1:28" ht="15.75" customHeight="1">
      <c r="A688" s="15"/>
      <c r="B688" s="15"/>
      <c r="C688" s="15"/>
      <c r="D688" s="16"/>
      <c r="E688" s="16"/>
      <c r="F688" s="15"/>
      <c r="G688" s="15"/>
      <c r="H688" s="15"/>
      <c r="I688" s="15"/>
      <c r="J688" s="15"/>
      <c r="K688" s="15"/>
      <c r="L688" s="15"/>
      <c r="M688" s="15"/>
      <c r="N688" s="46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spans="1:28" ht="15.75" customHeight="1">
      <c r="A689" s="15"/>
      <c r="B689" s="15"/>
      <c r="C689" s="15"/>
      <c r="D689" s="16"/>
      <c r="E689" s="16"/>
      <c r="F689" s="15"/>
      <c r="G689" s="15"/>
      <c r="H689" s="15"/>
      <c r="I689" s="15"/>
      <c r="J689" s="15"/>
      <c r="K689" s="15"/>
      <c r="L689" s="15"/>
      <c r="M689" s="15"/>
      <c r="N689" s="46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spans="1:28" ht="15.75" customHeight="1">
      <c r="A690" s="15"/>
      <c r="B690" s="15"/>
      <c r="C690" s="15"/>
      <c r="D690" s="16"/>
      <c r="E690" s="16"/>
      <c r="F690" s="15"/>
      <c r="G690" s="15"/>
      <c r="H690" s="15"/>
      <c r="I690" s="15"/>
      <c r="J690" s="15"/>
      <c r="K690" s="15"/>
      <c r="L690" s="15"/>
      <c r="M690" s="15"/>
      <c r="N690" s="46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spans="1:28" ht="15.75" customHeight="1">
      <c r="A691" s="15"/>
      <c r="B691" s="15"/>
      <c r="C691" s="15"/>
      <c r="D691" s="16"/>
      <c r="E691" s="16"/>
      <c r="F691" s="15"/>
      <c r="G691" s="15"/>
      <c r="H691" s="15"/>
      <c r="I691" s="15"/>
      <c r="J691" s="15"/>
      <c r="K691" s="15"/>
      <c r="L691" s="15"/>
      <c r="M691" s="15"/>
      <c r="N691" s="46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spans="1:28" ht="15.75" customHeight="1">
      <c r="A692" s="15"/>
      <c r="B692" s="15"/>
      <c r="C692" s="15"/>
      <c r="D692" s="16"/>
      <c r="E692" s="16"/>
      <c r="F692" s="15"/>
      <c r="G692" s="15"/>
      <c r="H692" s="15"/>
      <c r="I692" s="15"/>
      <c r="J692" s="15"/>
      <c r="K692" s="15"/>
      <c r="L692" s="15"/>
      <c r="M692" s="15"/>
      <c r="N692" s="46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spans="1:28" ht="15.75" customHeight="1">
      <c r="A693" s="15"/>
      <c r="B693" s="15"/>
      <c r="C693" s="15"/>
      <c r="D693" s="16"/>
      <c r="E693" s="16"/>
      <c r="F693" s="15"/>
      <c r="G693" s="15"/>
      <c r="H693" s="15"/>
      <c r="I693" s="15"/>
      <c r="J693" s="15"/>
      <c r="K693" s="15"/>
      <c r="L693" s="15"/>
      <c r="M693" s="15"/>
      <c r="N693" s="46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spans="1:28" ht="15.75" customHeight="1">
      <c r="A694" s="15"/>
      <c r="B694" s="15"/>
      <c r="C694" s="15"/>
      <c r="D694" s="16"/>
      <c r="E694" s="16"/>
      <c r="F694" s="15"/>
      <c r="G694" s="15"/>
      <c r="H694" s="15"/>
      <c r="I694" s="15"/>
      <c r="J694" s="15"/>
      <c r="K694" s="15"/>
      <c r="L694" s="15"/>
      <c r="M694" s="15"/>
      <c r="N694" s="46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spans="1:28" ht="15.75" customHeight="1">
      <c r="A695" s="15"/>
      <c r="B695" s="15"/>
      <c r="C695" s="15"/>
      <c r="D695" s="16"/>
      <c r="E695" s="16"/>
      <c r="F695" s="15"/>
      <c r="G695" s="15"/>
      <c r="H695" s="15"/>
      <c r="I695" s="15"/>
      <c r="J695" s="15"/>
      <c r="K695" s="15"/>
      <c r="L695" s="15"/>
      <c r="M695" s="15"/>
      <c r="N695" s="46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spans="1:28" ht="15.75" customHeight="1">
      <c r="A696" s="15"/>
      <c r="B696" s="15"/>
      <c r="C696" s="15"/>
      <c r="D696" s="16"/>
      <c r="E696" s="16"/>
      <c r="F696" s="15"/>
      <c r="G696" s="15"/>
      <c r="H696" s="15"/>
      <c r="I696" s="15"/>
      <c r="J696" s="15"/>
      <c r="K696" s="15"/>
      <c r="L696" s="15"/>
      <c r="M696" s="15"/>
      <c r="N696" s="46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spans="1:28" ht="15.75" customHeight="1">
      <c r="A697" s="15"/>
      <c r="B697" s="15"/>
      <c r="C697" s="15"/>
      <c r="D697" s="16"/>
      <c r="E697" s="16"/>
      <c r="F697" s="15"/>
      <c r="G697" s="15"/>
      <c r="H697" s="15"/>
      <c r="I697" s="15"/>
      <c r="J697" s="15"/>
      <c r="K697" s="15"/>
      <c r="L697" s="15"/>
      <c r="M697" s="15"/>
      <c r="N697" s="46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spans="1:28" ht="15.75" customHeight="1">
      <c r="A698" s="15"/>
      <c r="B698" s="15"/>
      <c r="C698" s="15"/>
      <c r="D698" s="16"/>
      <c r="E698" s="16"/>
      <c r="F698" s="15"/>
      <c r="G698" s="15"/>
      <c r="H698" s="15"/>
      <c r="I698" s="15"/>
      <c r="J698" s="15"/>
      <c r="K698" s="15"/>
      <c r="L698" s="15"/>
      <c r="M698" s="15"/>
      <c r="N698" s="46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spans="1:28" ht="15.75" customHeight="1">
      <c r="A699" s="15"/>
      <c r="B699" s="15"/>
      <c r="C699" s="15"/>
      <c r="D699" s="16"/>
      <c r="E699" s="16"/>
      <c r="F699" s="15"/>
      <c r="G699" s="15"/>
      <c r="H699" s="15"/>
      <c r="I699" s="15"/>
      <c r="J699" s="15"/>
      <c r="K699" s="15"/>
      <c r="L699" s="15"/>
      <c r="M699" s="15"/>
      <c r="N699" s="46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spans="1:28" ht="15.75" customHeight="1">
      <c r="A700" s="15"/>
      <c r="B700" s="15"/>
      <c r="C700" s="15"/>
      <c r="D700" s="16"/>
      <c r="E700" s="16"/>
      <c r="F700" s="15"/>
      <c r="G700" s="15"/>
      <c r="H700" s="15"/>
      <c r="I700" s="15"/>
      <c r="J700" s="15"/>
      <c r="K700" s="15"/>
      <c r="L700" s="15"/>
      <c r="M700" s="15"/>
      <c r="N700" s="46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spans="1:28" ht="15.75" customHeight="1">
      <c r="A701" s="15"/>
      <c r="B701" s="15"/>
      <c r="C701" s="15"/>
      <c r="D701" s="16"/>
      <c r="E701" s="16"/>
      <c r="F701" s="15"/>
      <c r="G701" s="15"/>
      <c r="H701" s="15"/>
      <c r="I701" s="15"/>
      <c r="J701" s="15"/>
      <c r="K701" s="15"/>
      <c r="L701" s="15"/>
      <c r="M701" s="15"/>
      <c r="N701" s="46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spans="1:28" ht="15.75" customHeight="1">
      <c r="A702" s="15"/>
      <c r="B702" s="15"/>
      <c r="C702" s="15"/>
      <c r="D702" s="16"/>
      <c r="E702" s="16"/>
      <c r="F702" s="15"/>
      <c r="G702" s="15"/>
      <c r="H702" s="15"/>
      <c r="I702" s="15"/>
      <c r="J702" s="15"/>
      <c r="K702" s="15"/>
      <c r="L702" s="15"/>
      <c r="M702" s="15"/>
      <c r="N702" s="46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spans="1:28" ht="15.75" customHeight="1">
      <c r="A703" s="15"/>
      <c r="B703" s="15"/>
      <c r="C703" s="15"/>
      <c r="D703" s="16"/>
      <c r="E703" s="16"/>
      <c r="F703" s="15"/>
      <c r="G703" s="15"/>
      <c r="H703" s="15"/>
      <c r="I703" s="15"/>
      <c r="J703" s="15"/>
      <c r="K703" s="15"/>
      <c r="L703" s="15"/>
      <c r="M703" s="15"/>
      <c r="N703" s="46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spans="1:28" ht="15.75" customHeight="1">
      <c r="A704" s="15"/>
      <c r="B704" s="15"/>
      <c r="C704" s="15"/>
      <c r="D704" s="16"/>
      <c r="E704" s="16"/>
      <c r="F704" s="15"/>
      <c r="G704" s="15"/>
      <c r="H704" s="15"/>
      <c r="I704" s="15"/>
      <c r="J704" s="15"/>
      <c r="K704" s="15"/>
      <c r="L704" s="15"/>
      <c r="M704" s="15"/>
      <c r="N704" s="46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spans="1:28" ht="15.75" customHeight="1">
      <c r="A705" s="15"/>
      <c r="B705" s="15"/>
      <c r="C705" s="15"/>
      <c r="D705" s="16"/>
      <c r="E705" s="16"/>
      <c r="F705" s="15"/>
      <c r="G705" s="15"/>
      <c r="H705" s="15"/>
      <c r="I705" s="15"/>
      <c r="J705" s="15"/>
      <c r="K705" s="15"/>
      <c r="L705" s="15"/>
      <c r="M705" s="15"/>
      <c r="N705" s="46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spans="1:28" ht="15.75" customHeight="1">
      <c r="A706" s="15"/>
      <c r="B706" s="15"/>
      <c r="C706" s="15"/>
      <c r="D706" s="16"/>
      <c r="E706" s="16"/>
      <c r="F706" s="15"/>
      <c r="G706" s="15"/>
      <c r="H706" s="15"/>
      <c r="I706" s="15"/>
      <c r="J706" s="15"/>
      <c r="K706" s="15"/>
      <c r="L706" s="15"/>
      <c r="M706" s="15"/>
      <c r="N706" s="46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spans="1:28" ht="15.75" customHeight="1">
      <c r="A707" s="15"/>
      <c r="B707" s="15"/>
      <c r="C707" s="15"/>
      <c r="D707" s="16"/>
      <c r="E707" s="16"/>
      <c r="F707" s="15"/>
      <c r="G707" s="15"/>
      <c r="H707" s="15"/>
      <c r="I707" s="15"/>
      <c r="J707" s="15"/>
      <c r="K707" s="15"/>
      <c r="L707" s="15"/>
      <c r="M707" s="15"/>
      <c r="N707" s="46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spans="1:28" ht="15.75" customHeight="1">
      <c r="A708" s="15"/>
      <c r="B708" s="15"/>
      <c r="C708" s="15"/>
      <c r="D708" s="16"/>
      <c r="E708" s="16"/>
      <c r="F708" s="15"/>
      <c r="G708" s="15"/>
      <c r="H708" s="15"/>
      <c r="I708" s="15"/>
      <c r="J708" s="15"/>
      <c r="K708" s="15"/>
      <c r="L708" s="15"/>
      <c r="M708" s="15"/>
      <c r="N708" s="46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spans="1:28" ht="15.75" customHeight="1">
      <c r="A709" s="15"/>
      <c r="B709" s="15"/>
      <c r="C709" s="15"/>
      <c r="D709" s="16"/>
      <c r="E709" s="16"/>
      <c r="F709" s="15"/>
      <c r="G709" s="15"/>
      <c r="H709" s="15"/>
      <c r="I709" s="15"/>
      <c r="J709" s="15"/>
      <c r="K709" s="15"/>
      <c r="L709" s="15"/>
      <c r="M709" s="15"/>
      <c r="N709" s="46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spans="1:28" ht="15.75" customHeight="1">
      <c r="A710" s="15"/>
      <c r="B710" s="15"/>
      <c r="C710" s="15"/>
      <c r="D710" s="16"/>
      <c r="E710" s="16"/>
      <c r="F710" s="15"/>
      <c r="G710" s="15"/>
      <c r="H710" s="15"/>
      <c r="I710" s="15"/>
      <c r="J710" s="15"/>
      <c r="K710" s="15"/>
      <c r="L710" s="15"/>
      <c r="M710" s="15"/>
      <c r="N710" s="46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spans="1:28" ht="15.75" customHeight="1">
      <c r="A711" s="15"/>
      <c r="B711" s="15"/>
      <c r="C711" s="15"/>
      <c r="D711" s="16"/>
      <c r="E711" s="16"/>
      <c r="F711" s="15"/>
      <c r="G711" s="15"/>
      <c r="H711" s="15"/>
      <c r="I711" s="15"/>
      <c r="J711" s="15"/>
      <c r="K711" s="15"/>
      <c r="L711" s="15"/>
      <c r="M711" s="15"/>
      <c r="N711" s="46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5.75" customHeight="1">
      <c r="A712" s="15"/>
      <c r="B712" s="15"/>
      <c r="C712" s="15"/>
      <c r="D712" s="16"/>
      <c r="E712" s="16"/>
      <c r="F712" s="15"/>
      <c r="G712" s="15"/>
      <c r="H712" s="15"/>
      <c r="I712" s="15"/>
      <c r="J712" s="15"/>
      <c r="K712" s="15"/>
      <c r="L712" s="15"/>
      <c r="M712" s="15"/>
      <c r="N712" s="46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spans="1:28" ht="15.75" customHeight="1">
      <c r="A713" s="15"/>
      <c r="B713" s="15"/>
      <c r="C713" s="15"/>
      <c r="D713" s="16"/>
      <c r="E713" s="16"/>
      <c r="F713" s="15"/>
      <c r="G713" s="15"/>
      <c r="H713" s="15"/>
      <c r="I713" s="15"/>
      <c r="J713" s="15"/>
      <c r="K713" s="15"/>
      <c r="L713" s="15"/>
      <c r="M713" s="15"/>
      <c r="N713" s="46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spans="1:28" ht="15.75" customHeight="1">
      <c r="A714" s="15"/>
      <c r="B714" s="15"/>
      <c r="C714" s="15"/>
      <c r="D714" s="16"/>
      <c r="E714" s="16"/>
      <c r="F714" s="15"/>
      <c r="G714" s="15"/>
      <c r="H714" s="15"/>
      <c r="I714" s="15"/>
      <c r="J714" s="15"/>
      <c r="K714" s="15"/>
      <c r="L714" s="15"/>
      <c r="M714" s="15"/>
      <c r="N714" s="46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spans="1:28" ht="15.75" customHeight="1">
      <c r="A715" s="15"/>
      <c r="B715" s="15"/>
      <c r="C715" s="15"/>
      <c r="D715" s="16"/>
      <c r="E715" s="16"/>
      <c r="F715" s="15"/>
      <c r="G715" s="15"/>
      <c r="H715" s="15"/>
      <c r="I715" s="15"/>
      <c r="J715" s="15"/>
      <c r="K715" s="15"/>
      <c r="L715" s="15"/>
      <c r="M715" s="15"/>
      <c r="N715" s="46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spans="1:28" ht="15.75" customHeight="1">
      <c r="A716" s="15"/>
      <c r="B716" s="15"/>
      <c r="C716" s="15"/>
      <c r="D716" s="16"/>
      <c r="E716" s="16"/>
      <c r="F716" s="15"/>
      <c r="G716" s="15"/>
      <c r="H716" s="15"/>
      <c r="I716" s="15"/>
      <c r="J716" s="15"/>
      <c r="K716" s="15"/>
      <c r="L716" s="15"/>
      <c r="M716" s="15"/>
      <c r="N716" s="46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spans="1:28" ht="15.75" customHeight="1">
      <c r="A717" s="15"/>
      <c r="B717" s="15"/>
      <c r="C717" s="15"/>
      <c r="D717" s="16"/>
      <c r="E717" s="16"/>
      <c r="F717" s="15"/>
      <c r="G717" s="15"/>
      <c r="H717" s="15"/>
      <c r="I717" s="15"/>
      <c r="J717" s="15"/>
      <c r="K717" s="15"/>
      <c r="L717" s="15"/>
      <c r="M717" s="15"/>
      <c r="N717" s="46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spans="1:28" ht="15.75" customHeight="1">
      <c r="A718" s="15"/>
      <c r="B718" s="15"/>
      <c r="C718" s="15"/>
      <c r="D718" s="16"/>
      <c r="E718" s="16"/>
      <c r="F718" s="15"/>
      <c r="G718" s="15"/>
      <c r="H718" s="15"/>
      <c r="I718" s="15"/>
      <c r="J718" s="15"/>
      <c r="K718" s="15"/>
      <c r="L718" s="15"/>
      <c r="M718" s="15"/>
      <c r="N718" s="46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spans="1:28" ht="15.75" customHeight="1">
      <c r="A719" s="15"/>
      <c r="B719" s="15"/>
      <c r="C719" s="15"/>
      <c r="D719" s="16"/>
      <c r="E719" s="16"/>
      <c r="F719" s="15"/>
      <c r="G719" s="15"/>
      <c r="H719" s="15"/>
      <c r="I719" s="15"/>
      <c r="J719" s="15"/>
      <c r="K719" s="15"/>
      <c r="L719" s="15"/>
      <c r="M719" s="15"/>
      <c r="N719" s="46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spans="1:28" ht="15.75" customHeight="1">
      <c r="A720" s="15"/>
      <c r="B720" s="15"/>
      <c r="C720" s="15"/>
      <c r="D720" s="16"/>
      <c r="E720" s="16"/>
      <c r="F720" s="15"/>
      <c r="G720" s="15"/>
      <c r="H720" s="15"/>
      <c r="I720" s="15"/>
      <c r="J720" s="15"/>
      <c r="K720" s="15"/>
      <c r="L720" s="15"/>
      <c r="M720" s="15"/>
      <c r="N720" s="46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spans="1:28" ht="15.75" customHeight="1">
      <c r="A721" s="15"/>
      <c r="B721" s="15"/>
      <c r="C721" s="15"/>
      <c r="D721" s="16"/>
      <c r="E721" s="16"/>
      <c r="F721" s="15"/>
      <c r="G721" s="15"/>
      <c r="H721" s="15"/>
      <c r="I721" s="15"/>
      <c r="J721" s="15"/>
      <c r="K721" s="15"/>
      <c r="L721" s="15"/>
      <c r="M721" s="15"/>
      <c r="N721" s="46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spans="1:28" ht="15.75" customHeight="1">
      <c r="A722" s="15"/>
      <c r="B722" s="15"/>
      <c r="C722" s="15"/>
      <c r="D722" s="16"/>
      <c r="E722" s="16"/>
      <c r="F722" s="15"/>
      <c r="G722" s="15"/>
      <c r="H722" s="15"/>
      <c r="I722" s="15"/>
      <c r="J722" s="15"/>
      <c r="K722" s="15"/>
      <c r="L722" s="15"/>
      <c r="M722" s="15"/>
      <c r="N722" s="46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spans="1:28" ht="15.75" customHeight="1">
      <c r="A723" s="15"/>
      <c r="B723" s="15"/>
      <c r="C723" s="15"/>
      <c r="D723" s="16"/>
      <c r="E723" s="16"/>
      <c r="F723" s="15"/>
      <c r="G723" s="15"/>
      <c r="H723" s="15"/>
      <c r="I723" s="15"/>
      <c r="J723" s="15"/>
      <c r="K723" s="15"/>
      <c r="L723" s="15"/>
      <c r="M723" s="15"/>
      <c r="N723" s="46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spans="1:28" ht="15.75" customHeight="1">
      <c r="A724" s="15"/>
      <c r="B724" s="15"/>
      <c r="C724" s="15"/>
      <c r="D724" s="16"/>
      <c r="E724" s="16"/>
      <c r="F724" s="15"/>
      <c r="G724" s="15"/>
      <c r="H724" s="15"/>
      <c r="I724" s="15"/>
      <c r="J724" s="15"/>
      <c r="K724" s="15"/>
      <c r="L724" s="15"/>
      <c r="M724" s="15"/>
      <c r="N724" s="46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spans="1:28" ht="15.75" customHeight="1">
      <c r="A725" s="15"/>
      <c r="B725" s="15"/>
      <c r="C725" s="15"/>
      <c r="D725" s="16"/>
      <c r="E725" s="16"/>
      <c r="F725" s="15"/>
      <c r="G725" s="15"/>
      <c r="H725" s="15"/>
      <c r="I725" s="15"/>
      <c r="J725" s="15"/>
      <c r="K725" s="15"/>
      <c r="L725" s="15"/>
      <c r="M725" s="15"/>
      <c r="N725" s="46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spans="1:28" ht="15.75" customHeight="1">
      <c r="A726" s="15"/>
      <c r="B726" s="15"/>
      <c r="C726" s="15"/>
      <c r="D726" s="16"/>
      <c r="E726" s="16"/>
      <c r="F726" s="15"/>
      <c r="G726" s="15"/>
      <c r="H726" s="15"/>
      <c r="I726" s="15"/>
      <c r="J726" s="15"/>
      <c r="K726" s="15"/>
      <c r="L726" s="15"/>
      <c r="M726" s="15"/>
      <c r="N726" s="46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spans="1:28" ht="15.75" customHeight="1">
      <c r="A727" s="15"/>
      <c r="B727" s="15"/>
      <c r="C727" s="15"/>
      <c r="D727" s="16"/>
      <c r="E727" s="16"/>
      <c r="F727" s="15"/>
      <c r="G727" s="15"/>
      <c r="H727" s="15"/>
      <c r="I727" s="15"/>
      <c r="J727" s="15"/>
      <c r="K727" s="15"/>
      <c r="L727" s="15"/>
      <c r="M727" s="15"/>
      <c r="N727" s="46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spans="1:28" ht="15.75" customHeight="1">
      <c r="A728" s="15"/>
      <c r="B728" s="15"/>
      <c r="C728" s="15"/>
      <c r="D728" s="16"/>
      <c r="E728" s="16"/>
      <c r="F728" s="15"/>
      <c r="G728" s="15"/>
      <c r="H728" s="15"/>
      <c r="I728" s="15"/>
      <c r="J728" s="15"/>
      <c r="K728" s="15"/>
      <c r="L728" s="15"/>
      <c r="M728" s="15"/>
      <c r="N728" s="46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spans="1:28" ht="15.75" customHeight="1">
      <c r="A729" s="15"/>
      <c r="B729" s="15"/>
      <c r="C729" s="15"/>
      <c r="D729" s="16"/>
      <c r="E729" s="16"/>
      <c r="F729" s="15"/>
      <c r="G729" s="15"/>
      <c r="H729" s="15"/>
      <c r="I729" s="15"/>
      <c r="J729" s="15"/>
      <c r="K729" s="15"/>
      <c r="L729" s="15"/>
      <c r="M729" s="15"/>
      <c r="N729" s="46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spans="1:28" ht="15.75" customHeight="1">
      <c r="A730" s="15"/>
      <c r="B730" s="15"/>
      <c r="C730" s="15"/>
      <c r="D730" s="16"/>
      <c r="E730" s="16"/>
      <c r="F730" s="15"/>
      <c r="G730" s="15"/>
      <c r="H730" s="15"/>
      <c r="I730" s="15"/>
      <c r="J730" s="15"/>
      <c r="K730" s="15"/>
      <c r="L730" s="15"/>
      <c r="M730" s="15"/>
      <c r="N730" s="46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spans="1:28" ht="15.75" customHeight="1">
      <c r="A731" s="15"/>
      <c r="B731" s="15"/>
      <c r="C731" s="15"/>
      <c r="D731" s="16"/>
      <c r="E731" s="16"/>
      <c r="F731" s="15"/>
      <c r="G731" s="15"/>
      <c r="H731" s="15"/>
      <c r="I731" s="15"/>
      <c r="J731" s="15"/>
      <c r="K731" s="15"/>
      <c r="L731" s="15"/>
      <c r="M731" s="15"/>
      <c r="N731" s="46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spans="1:28" ht="15.75" customHeight="1">
      <c r="A732" s="15"/>
      <c r="B732" s="15"/>
      <c r="C732" s="15"/>
      <c r="D732" s="16"/>
      <c r="E732" s="16"/>
      <c r="F732" s="15"/>
      <c r="G732" s="15"/>
      <c r="H732" s="15"/>
      <c r="I732" s="15"/>
      <c r="J732" s="15"/>
      <c r="K732" s="15"/>
      <c r="L732" s="15"/>
      <c r="M732" s="15"/>
      <c r="N732" s="46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spans="1:28" ht="15.75" customHeight="1">
      <c r="A733" s="15"/>
      <c r="B733" s="15"/>
      <c r="C733" s="15"/>
      <c r="D733" s="16"/>
      <c r="E733" s="16"/>
      <c r="F733" s="15"/>
      <c r="G733" s="15"/>
      <c r="H733" s="15"/>
      <c r="I733" s="15"/>
      <c r="J733" s="15"/>
      <c r="K733" s="15"/>
      <c r="L733" s="15"/>
      <c r="M733" s="15"/>
      <c r="N733" s="46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spans="1:28" ht="15.75" customHeight="1">
      <c r="A734" s="15"/>
      <c r="B734" s="15"/>
      <c r="C734" s="15"/>
      <c r="D734" s="16"/>
      <c r="E734" s="16"/>
      <c r="F734" s="15"/>
      <c r="G734" s="15"/>
      <c r="H734" s="15"/>
      <c r="I734" s="15"/>
      <c r="J734" s="15"/>
      <c r="K734" s="15"/>
      <c r="L734" s="15"/>
      <c r="M734" s="15"/>
      <c r="N734" s="46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spans="1:28" ht="15.75" customHeight="1">
      <c r="A735" s="15"/>
      <c r="B735" s="15"/>
      <c r="C735" s="15"/>
      <c r="D735" s="16"/>
      <c r="E735" s="16"/>
      <c r="F735" s="15"/>
      <c r="G735" s="15"/>
      <c r="H735" s="15"/>
      <c r="I735" s="15"/>
      <c r="J735" s="15"/>
      <c r="K735" s="15"/>
      <c r="L735" s="15"/>
      <c r="M735" s="15"/>
      <c r="N735" s="46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spans="1:28" ht="15.75" customHeight="1">
      <c r="A736" s="15"/>
      <c r="B736" s="15"/>
      <c r="C736" s="15"/>
      <c r="D736" s="16"/>
      <c r="E736" s="16"/>
      <c r="F736" s="15"/>
      <c r="G736" s="15"/>
      <c r="H736" s="15"/>
      <c r="I736" s="15"/>
      <c r="J736" s="15"/>
      <c r="K736" s="15"/>
      <c r="L736" s="15"/>
      <c r="M736" s="15"/>
      <c r="N736" s="46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spans="1:28" ht="15.75" customHeight="1">
      <c r="A737" s="15"/>
      <c r="B737" s="15"/>
      <c r="C737" s="15"/>
      <c r="D737" s="16"/>
      <c r="E737" s="16"/>
      <c r="F737" s="15"/>
      <c r="G737" s="15"/>
      <c r="H737" s="15"/>
      <c r="I737" s="15"/>
      <c r="J737" s="15"/>
      <c r="K737" s="15"/>
      <c r="L737" s="15"/>
      <c r="M737" s="15"/>
      <c r="N737" s="46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spans="1:28" ht="15.75" customHeight="1">
      <c r="A738" s="15"/>
      <c r="B738" s="15"/>
      <c r="C738" s="15"/>
      <c r="D738" s="16"/>
      <c r="E738" s="16"/>
      <c r="F738" s="15"/>
      <c r="G738" s="15"/>
      <c r="H738" s="15"/>
      <c r="I738" s="15"/>
      <c r="J738" s="15"/>
      <c r="K738" s="15"/>
      <c r="L738" s="15"/>
      <c r="M738" s="15"/>
      <c r="N738" s="46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spans="1:28" ht="15.75" customHeight="1">
      <c r="A739" s="15"/>
      <c r="B739" s="15"/>
      <c r="C739" s="15"/>
      <c r="D739" s="16"/>
      <c r="E739" s="16"/>
      <c r="F739" s="15"/>
      <c r="G739" s="15"/>
      <c r="H739" s="15"/>
      <c r="I739" s="15"/>
      <c r="J739" s="15"/>
      <c r="K739" s="15"/>
      <c r="L739" s="15"/>
      <c r="M739" s="15"/>
      <c r="N739" s="46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spans="1:28" ht="15.75" customHeight="1">
      <c r="A740" s="15"/>
      <c r="B740" s="15"/>
      <c r="C740" s="15"/>
      <c r="D740" s="16"/>
      <c r="E740" s="16"/>
      <c r="F740" s="15"/>
      <c r="G740" s="15"/>
      <c r="H740" s="15"/>
      <c r="I740" s="15"/>
      <c r="J740" s="15"/>
      <c r="K740" s="15"/>
      <c r="L740" s="15"/>
      <c r="M740" s="15"/>
      <c r="N740" s="46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spans="1:28" ht="15.75" customHeight="1">
      <c r="A741" s="15"/>
      <c r="B741" s="15"/>
      <c r="C741" s="15"/>
      <c r="D741" s="16"/>
      <c r="E741" s="16"/>
      <c r="F741" s="15"/>
      <c r="G741" s="15"/>
      <c r="H741" s="15"/>
      <c r="I741" s="15"/>
      <c r="J741" s="15"/>
      <c r="K741" s="15"/>
      <c r="L741" s="15"/>
      <c r="M741" s="15"/>
      <c r="N741" s="46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spans="1:28" ht="15.75" customHeight="1">
      <c r="A742" s="15"/>
      <c r="B742" s="15"/>
      <c r="C742" s="15"/>
      <c r="D742" s="16"/>
      <c r="E742" s="16"/>
      <c r="F742" s="15"/>
      <c r="G742" s="15"/>
      <c r="H742" s="15"/>
      <c r="I742" s="15"/>
      <c r="J742" s="15"/>
      <c r="K742" s="15"/>
      <c r="L742" s="15"/>
      <c r="M742" s="15"/>
      <c r="N742" s="46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spans="1:28" ht="15.75" customHeight="1">
      <c r="A743" s="15"/>
      <c r="B743" s="15"/>
      <c r="C743" s="15"/>
      <c r="D743" s="16"/>
      <c r="E743" s="16"/>
      <c r="F743" s="15"/>
      <c r="G743" s="15"/>
      <c r="H743" s="15"/>
      <c r="I743" s="15"/>
      <c r="J743" s="15"/>
      <c r="K743" s="15"/>
      <c r="L743" s="15"/>
      <c r="M743" s="15"/>
      <c r="N743" s="46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spans="1:28" ht="15.75" customHeight="1">
      <c r="A744" s="15"/>
      <c r="B744" s="15"/>
      <c r="C744" s="15"/>
      <c r="D744" s="16"/>
      <c r="E744" s="16"/>
      <c r="F744" s="15"/>
      <c r="G744" s="15"/>
      <c r="H744" s="15"/>
      <c r="I744" s="15"/>
      <c r="J744" s="15"/>
      <c r="K744" s="15"/>
      <c r="L744" s="15"/>
      <c r="M744" s="15"/>
      <c r="N744" s="46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spans="1:28" ht="15.75" customHeight="1">
      <c r="A745" s="15"/>
      <c r="B745" s="15"/>
      <c r="C745" s="15"/>
      <c r="D745" s="16"/>
      <c r="E745" s="16"/>
      <c r="F745" s="15"/>
      <c r="G745" s="15"/>
      <c r="H745" s="15"/>
      <c r="I745" s="15"/>
      <c r="J745" s="15"/>
      <c r="K745" s="15"/>
      <c r="L745" s="15"/>
      <c r="M745" s="15"/>
      <c r="N745" s="46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spans="1:28" ht="15.75" customHeight="1">
      <c r="A746" s="15"/>
      <c r="B746" s="15"/>
      <c r="C746" s="15"/>
      <c r="D746" s="16"/>
      <c r="E746" s="16"/>
      <c r="F746" s="15"/>
      <c r="G746" s="15"/>
      <c r="H746" s="15"/>
      <c r="I746" s="15"/>
      <c r="J746" s="15"/>
      <c r="K746" s="15"/>
      <c r="L746" s="15"/>
      <c r="M746" s="15"/>
      <c r="N746" s="46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spans="1:28" ht="15.75" customHeight="1">
      <c r="A747" s="15"/>
      <c r="B747" s="15"/>
      <c r="C747" s="15"/>
      <c r="D747" s="16"/>
      <c r="E747" s="16"/>
      <c r="F747" s="15"/>
      <c r="G747" s="15"/>
      <c r="H747" s="15"/>
      <c r="I747" s="15"/>
      <c r="J747" s="15"/>
      <c r="K747" s="15"/>
      <c r="L747" s="15"/>
      <c r="M747" s="15"/>
      <c r="N747" s="46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spans="1:28" ht="15.75" customHeight="1">
      <c r="A748" s="15"/>
      <c r="B748" s="15"/>
      <c r="C748" s="15"/>
      <c r="D748" s="16"/>
      <c r="E748" s="16"/>
      <c r="F748" s="15"/>
      <c r="G748" s="15"/>
      <c r="H748" s="15"/>
      <c r="I748" s="15"/>
      <c r="J748" s="15"/>
      <c r="K748" s="15"/>
      <c r="L748" s="15"/>
      <c r="M748" s="15"/>
      <c r="N748" s="46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spans="1:28" ht="15.75" customHeight="1">
      <c r="A749" s="15"/>
      <c r="B749" s="15"/>
      <c r="C749" s="15"/>
      <c r="D749" s="16"/>
      <c r="E749" s="16"/>
      <c r="F749" s="15"/>
      <c r="G749" s="15"/>
      <c r="H749" s="15"/>
      <c r="I749" s="15"/>
      <c r="J749" s="15"/>
      <c r="K749" s="15"/>
      <c r="L749" s="15"/>
      <c r="M749" s="15"/>
      <c r="N749" s="46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spans="1:28" ht="15.75" customHeight="1">
      <c r="A750" s="15"/>
      <c r="B750" s="15"/>
      <c r="C750" s="15"/>
      <c r="D750" s="16"/>
      <c r="E750" s="16"/>
      <c r="F750" s="15"/>
      <c r="G750" s="15"/>
      <c r="H750" s="15"/>
      <c r="I750" s="15"/>
      <c r="J750" s="15"/>
      <c r="K750" s="15"/>
      <c r="L750" s="15"/>
      <c r="M750" s="15"/>
      <c r="N750" s="46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spans="1:28" ht="15.75" customHeight="1">
      <c r="A751" s="15"/>
      <c r="B751" s="15"/>
      <c r="C751" s="15"/>
      <c r="D751" s="16"/>
      <c r="E751" s="16"/>
      <c r="F751" s="15"/>
      <c r="G751" s="15"/>
      <c r="H751" s="15"/>
      <c r="I751" s="15"/>
      <c r="J751" s="15"/>
      <c r="K751" s="15"/>
      <c r="L751" s="15"/>
      <c r="M751" s="15"/>
      <c r="N751" s="46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spans="1:28" ht="15.75" customHeight="1">
      <c r="A752" s="15"/>
      <c r="B752" s="15"/>
      <c r="C752" s="15"/>
      <c r="D752" s="16"/>
      <c r="E752" s="16"/>
      <c r="F752" s="15"/>
      <c r="G752" s="15"/>
      <c r="H752" s="15"/>
      <c r="I752" s="15"/>
      <c r="J752" s="15"/>
      <c r="K752" s="15"/>
      <c r="L752" s="15"/>
      <c r="M752" s="15"/>
      <c r="N752" s="46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spans="1:28" ht="15.75" customHeight="1">
      <c r="A753" s="15"/>
      <c r="B753" s="15"/>
      <c r="C753" s="15"/>
      <c r="D753" s="16"/>
      <c r="E753" s="16"/>
      <c r="F753" s="15"/>
      <c r="G753" s="15"/>
      <c r="H753" s="15"/>
      <c r="I753" s="15"/>
      <c r="J753" s="15"/>
      <c r="K753" s="15"/>
      <c r="L753" s="15"/>
      <c r="M753" s="15"/>
      <c r="N753" s="46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spans="1:28" ht="15.75" customHeight="1">
      <c r="A754" s="15"/>
      <c r="B754" s="15"/>
      <c r="C754" s="15"/>
      <c r="D754" s="16"/>
      <c r="E754" s="16"/>
      <c r="F754" s="15"/>
      <c r="G754" s="15"/>
      <c r="H754" s="15"/>
      <c r="I754" s="15"/>
      <c r="J754" s="15"/>
      <c r="K754" s="15"/>
      <c r="L754" s="15"/>
      <c r="M754" s="15"/>
      <c r="N754" s="46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spans="1:28" ht="15.75" customHeight="1">
      <c r="A755" s="15"/>
      <c r="B755" s="15"/>
      <c r="C755" s="15"/>
      <c r="D755" s="16"/>
      <c r="E755" s="16"/>
      <c r="F755" s="15"/>
      <c r="G755" s="15"/>
      <c r="H755" s="15"/>
      <c r="I755" s="15"/>
      <c r="J755" s="15"/>
      <c r="K755" s="15"/>
      <c r="L755" s="15"/>
      <c r="M755" s="15"/>
      <c r="N755" s="46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15.75" customHeight="1">
      <c r="A756" s="15"/>
      <c r="B756" s="15"/>
      <c r="C756" s="15"/>
      <c r="D756" s="16"/>
      <c r="E756" s="16"/>
      <c r="F756" s="15"/>
      <c r="G756" s="15"/>
      <c r="H756" s="15"/>
      <c r="I756" s="15"/>
      <c r="J756" s="15"/>
      <c r="K756" s="15"/>
      <c r="L756" s="15"/>
      <c r="M756" s="15"/>
      <c r="N756" s="46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spans="1:28" ht="15.75" customHeight="1">
      <c r="A757" s="15"/>
      <c r="B757" s="15"/>
      <c r="C757" s="15"/>
      <c r="D757" s="16"/>
      <c r="E757" s="16"/>
      <c r="F757" s="15"/>
      <c r="G757" s="15"/>
      <c r="H757" s="15"/>
      <c r="I757" s="15"/>
      <c r="J757" s="15"/>
      <c r="K757" s="15"/>
      <c r="L757" s="15"/>
      <c r="M757" s="15"/>
      <c r="N757" s="46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spans="1:28" ht="15.75" customHeight="1">
      <c r="A758" s="15"/>
      <c r="B758" s="15"/>
      <c r="C758" s="15"/>
      <c r="D758" s="16"/>
      <c r="E758" s="16"/>
      <c r="F758" s="15"/>
      <c r="G758" s="15"/>
      <c r="H758" s="15"/>
      <c r="I758" s="15"/>
      <c r="J758" s="15"/>
      <c r="K758" s="15"/>
      <c r="L758" s="15"/>
      <c r="M758" s="15"/>
      <c r="N758" s="46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spans="1:28" ht="15.75" customHeight="1">
      <c r="A759" s="15"/>
      <c r="B759" s="15"/>
      <c r="C759" s="15"/>
      <c r="D759" s="16"/>
      <c r="E759" s="16"/>
      <c r="F759" s="15"/>
      <c r="G759" s="15"/>
      <c r="H759" s="15"/>
      <c r="I759" s="15"/>
      <c r="J759" s="15"/>
      <c r="K759" s="15"/>
      <c r="L759" s="15"/>
      <c r="M759" s="15"/>
      <c r="N759" s="46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spans="1:28" ht="15.75" customHeight="1">
      <c r="A760" s="15"/>
      <c r="B760" s="15"/>
      <c r="C760" s="15"/>
      <c r="D760" s="16"/>
      <c r="E760" s="16"/>
      <c r="F760" s="15"/>
      <c r="G760" s="15"/>
      <c r="H760" s="15"/>
      <c r="I760" s="15"/>
      <c r="J760" s="15"/>
      <c r="K760" s="15"/>
      <c r="L760" s="15"/>
      <c r="M760" s="15"/>
      <c r="N760" s="46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spans="1:28" ht="15.75" customHeight="1">
      <c r="A761" s="15"/>
      <c r="B761" s="15"/>
      <c r="C761" s="15"/>
      <c r="D761" s="16"/>
      <c r="E761" s="16"/>
      <c r="F761" s="15"/>
      <c r="G761" s="15"/>
      <c r="H761" s="15"/>
      <c r="I761" s="15"/>
      <c r="J761" s="15"/>
      <c r="K761" s="15"/>
      <c r="L761" s="15"/>
      <c r="M761" s="15"/>
      <c r="N761" s="46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spans="1:28" ht="15.75" customHeight="1">
      <c r="A762" s="15"/>
      <c r="B762" s="15"/>
      <c r="C762" s="15"/>
      <c r="D762" s="16"/>
      <c r="E762" s="16"/>
      <c r="F762" s="15"/>
      <c r="G762" s="15"/>
      <c r="H762" s="15"/>
      <c r="I762" s="15"/>
      <c r="J762" s="15"/>
      <c r="K762" s="15"/>
      <c r="L762" s="15"/>
      <c r="M762" s="15"/>
      <c r="N762" s="46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spans="1:28" ht="15.75" customHeight="1">
      <c r="A763" s="15"/>
      <c r="B763" s="15"/>
      <c r="C763" s="15"/>
      <c r="D763" s="16"/>
      <c r="E763" s="16"/>
      <c r="F763" s="15"/>
      <c r="G763" s="15"/>
      <c r="H763" s="15"/>
      <c r="I763" s="15"/>
      <c r="J763" s="15"/>
      <c r="K763" s="15"/>
      <c r="L763" s="15"/>
      <c r="M763" s="15"/>
      <c r="N763" s="46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spans="1:28" ht="15.75" customHeight="1">
      <c r="A764" s="15"/>
      <c r="B764" s="15"/>
      <c r="C764" s="15"/>
      <c r="D764" s="16"/>
      <c r="E764" s="16"/>
      <c r="F764" s="15"/>
      <c r="G764" s="15"/>
      <c r="H764" s="15"/>
      <c r="I764" s="15"/>
      <c r="J764" s="15"/>
      <c r="K764" s="15"/>
      <c r="L764" s="15"/>
      <c r="M764" s="15"/>
      <c r="N764" s="46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spans="1:28" ht="15.75" customHeight="1">
      <c r="A765" s="15"/>
      <c r="B765" s="15"/>
      <c r="C765" s="15"/>
      <c r="D765" s="16"/>
      <c r="E765" s="16"/>
      <c r="F765" s="15"/>
      <c r="G765" s="15"/>
      <c r="H765" s="15"/>
      <c r="I765" s="15"/>
      <c r="J765" s="15"/>
      <c r="K765" s="15"/>
      <c r="L765" s="15"/>
      <c r="M765" s="15"/>
      <c r="N765" s="46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spans="1:28" ht="15.75" customHeight="1">
      <c r="A766" s="15"/>
      <c r="B766" s="15"/>
      <c r="C766" s="15"/>
      <c r="D766" s="16"/>
      <c r="E766" s="16"/>
      <c r="F766" s="15"/>
      <c r="G766" s="15"/>
      <c r="H766" s="15"/>
      <c r="I766" s="15"/>
      <c r="J766" s="15"/>
      <c r="K766" s="15"/>
      <c r="L766" s="15"/>
      <c r="M766" s="15"/>
      <c r="N766" s="46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spans="1:28" ht="15.75" customHeight="1">
      <c r="A767" s="15"/>
      <c r="B767" s="15"/>
      <c r="C767" s="15"/>
      <c r="D767" s="16"/>
      <c r="E767" s="16"/>
      <c r="F767" s="15"/>
      <c r="G767" s="15"/>
      <c r="H767" s="15"/>
      <c r="I767" s="15"/>
      <c r="J767" s="15"/>
      <c r="K767" s="15"/>
      <c r="L767" s="15"/>
      <c r="M767" s="15"/>
      <c r="N767" s="46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spans="1:28" ht="15.75" customHeight="1">
      <c r="A768" s="15"/>
      <c r="B768" s="15"/>
      <c r="C768" s="15"/>
      <c r="D768" s="16"/>
      <c r="E768" s="16"/>
      <c r="F768" s="15"/>
      <c r="G768" s="15"/>
      <c r="H768" s="15"/>
      <c r="I768" s="15"/>
      <c r="J768" s="15"/>
      <c r="K768" s="15"/>
      <c r="L768" s="15"/>
      <c r="M768" s="15"/>
      <c r="N768" s="46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spans="1:28" ht="15.75" customHeight="1">
      <c r="A769" s="15"/>
      <c r="B769" s="15"/>
      <c r="C769" s="15"/>
      <c r="D769" s="16"/>
      <c r="E769" s="16"/>
      <c r="F769" s="15"/>
      <c r="G769" s="15"/>
      <c r="H769" s="15"/>
      <c r="I769" s="15"/>
      <c r="J769" s="15"/>
      <c r="K769" s="15"/>
      <c r="L769" s="15"/>
      <c r="M769" s="15"/>
      <c r="N769" s="46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spans="1:28" ht="15.75" customHeight="1">
      <c r="A770" s="15"/>
      <c r="B770" s="15"/>
      <c r="C770" s="15"/>
      <c r="D770" s="16"/>
      <c r="E770" s="16"/>
      <c r="F770" s="15"/>
      <c r="G770" s="15"/>
      <c r="H770" s="15"/>
      <c r="I770" s="15"/>
      <c r="J770" s="15"/>
      <c r="K770" s="15"/>
      <c r="L770" s="15"/>
      <c r="M770" s="15"/>
      <c r="N770" s="46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spans="1:28" ht="15.75" customHeight="1">
      <c r="A771" s="15"/>
      <c r="B771" s="15"/>
      <c r="C771" s="15"/>
      <c r="D771" s="16"/>
      <c r="E771" s="16"/>
      <c r="F771" s="15"/>
      <c r="G771" s="15"/>
      <c r="H771" s="15"/>
      <c r="I771" s="15"/>
      <c r="J771" s="15"/>
      <c r="K771" s="15"/>
      <c r="L771" s="15"/>
      <c r="M771" s="15"/>
      <c r="N771" s="46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spans="1:28" ht="15.75" customHeight="1">
      <c r="A772" s="15"/>
      <c r="B772" s="15"/>
      <c r="C772" s="15"/>
      <c r="D772" s="16"/>
      <c r="E772" s="16"/>
      <c r="F772" s="15"/>
      <c r="G772" s="15"/>
      <c r="H772" s="15"/>
      <c r="I772" s="15"/>
      <c r="J772" s="15"/>
      <c r="K772" s="15"/>
      <c r="L772" s="15"/>
      <c r="M772" s="15"/>
      <c r="N772" s="46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spans="1:28" ht="15.75" customHeight="1">
      <c r="A773" s="15"/>
      <c r="B773" s="15"/>
      <c r="C773" s="15"/>
      <c r="D773" s="16"/>
      <c r="E773" s="16"/>
      <c r="F773" s="15"/>
      <c r="G773" s="15"/>
      <c r="H773" s="15"/>
      <c r="I773" s="15"/>
      <c r="J773" s="15"/>
      <c r="K773" s="15"/>
      <c r="L773" s="15"/>
      <c r="M773" s="15"/>
      <c r="N773" s="46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spans="1:28" ht="15.75" customHeight="1">
      <c r="A774" s="15"/>
      <c r="B774" s="15"/>
      <c r="C774" s="15"/>
      <c r="D774" s="16"/>
      <c r="E774" s="16"/>
      <c r="F774" s="15"/>
      <c r="G774" s="15"/>
      <c r="H774" s="15"/>
      <c r="I774" s="15"/>
      <c r="J774" s="15"/>
      <c r="K774" s="15"/>
      <c r="L774" s="15"/>
      <c r="M774" s="15"/>
      <c r="N774" s="46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spans="1:28" ht="15.75" customHeight="1">
      <c r="A775" s="15"/>
      <c r="B775" s="15"/>
      <c r="C775" s="15"/>
      <c r="D775" s="16"/>
      <c r="E775" s="16"/>
      <c r="F775" s="15"/>
      <c r="G775" s="15"/>
      <c r="H775" s="15"/>
      <c r="I775" s="15"/>
      <c r="J775" s="15"/>
      <c r="K775" s="15"/>
      <c r="L775" s="15"/>
      <c r="M775" s="15"/>
      <c r="N775" s="46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spans="1:28" ht="15.75" customHeight="1">
      <c r="A776" s="15"/>
      <c r="B776" s="15"/>
      <c r="C776" s="15"/>
      <c r="D776" s="16"/>
      <c r="E776" s="16"/>
      <c r="F776" s="15"/>
      <c r="G776" s="15"/>
      <c r="H776" s="15"/>
      <c r="I776" s="15"/>
      <c r="J776" s="15"/>
      <c r="K776" s="15"/>
      <c r="L776" s="15"/>
      <c r="M776" s="15"/>
      <c r="N776" s="46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spans="1:28" ht="15.75" customHeight="1">
      <c r="A777" s="15"/>
      <c r="B777" s="15"/>
      <c r="C777" s="15"/>
      <c r="D777" s="16"/>
      <c r="E777" s="16"/>
      <c r="F777" s="15"/>
      <c r="G777" s="15"/>
      <c r="H777" s="15"/>
      <c r="I777" s="15"/>
      <c r="J777" s="15"/>
      <c r="K777" s="15"/>
      <c r="L777" s="15"/>
      <c r="M777" s="15"/>
      <c r="N777" s="46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spans="1:28" ht="15.75" customHeight="1">
      <c r="A778" s="15"/>
      <c r="B778" s="15"/>
      <c r="C778" s="15"/>
      <c r="D778" s="16"/>
      <c r="E778" s="16"/>
      <c r="F778" s="15"/>
      <c r="G778" s="15"/>
      <c r="H778" s="15"/>
      <c r="I778" s="15"/>
      <c r="J778" s="15"/>
      <c r="K778" s="15"/>
      <c r="L778" s="15"/>
      <c r="M778" s="15"/>
      <c r="N778" s="46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spans="1:28" ht="15.75" customHeight="1">
      <c r="A779" s="15"/>
      <c r="B779" s="15"/>
      <c r="C779" s="15"/>
      <c r="D779" s="16"/>
      <c r="E779" s="16"/>
      <c r="F779" s="15"/>
      <c r="G779" s="15"/>
      <c r="H779" s="15"/>
      <c r="I779" s="15"/>
      <c r="J779" s="15"/>
      <c r="K779" s="15"/>
      <c r="L779" s="15"/>
      <c r="M779" s="15"/>
      <c r="N779" s="46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spans="1:28" ht="15.75" customHeight="1">
      <c r="A780" s="15"/>
      <c r="B780" s="15"/>
      <c r="C780" s="15"/>
      <c r="D780" s="16"/>
      <c r="E780" s="16"/>
      <c r="F780" s="15"/>
      <c r="G780" s="15"/>
      <c r="H780" s="15"/>
      <c r="I780" s="15"/>
      <c r="J780" s="15"/>
      <c r="K780" s="15"/>
      <c r="L780" s="15"/>
      <c r="M780" s="15"/>
      <c r="N780" s="46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spans="1:28" ht="15.75" customHeight="1">
      <c r="A781" s="15"/>
      <c r="B781" s="15"/>
      <c r="C781" s="15"/>
      <c r="D781" s="16"/>
      <c r="E781" s="16"/>
      <c r="F781" s="15"/>
      <c r="G781" s="15"/>
      <c r="H781" s="15"/>
      <c r="I781" s="15"/>
      <c r="J781" s="15"/>
      <c r="K781" s="15"/>
      <c r="L781" s="15"/>
      <c r="M781" s="15"/>
      <c r="N781" s="46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spans="1:28" ht="15.75" customHeight="1">
      <c r="A782" s="15"/>
      <c r="B782" s="15"/>
      <c r="C782" s="15"/>
      <c r="D782" s="16"/>
      <c r="E782" s="16"/>
      <c r="F782" s="15"/>
      <c r="G782" s="15"/>
      <c r="H782" s="15"/>
      <c r="I782" s="15"/>
      <c r="J782" s="15"/>
      <c r="K782" s="15"/>
      <c r="L782" s="15"/>
      <c r="M782" s="15"/>
      <c r="N782" s="46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spans="1:28" ht="15.75" customHeight="1">
      <c r="A783" s="15"/>
      <c r="B783" s="15"/>
      <c r="C783" s="15"/>
      <c r="D783" s="16"/>
      <c r="E783" s="16"/>
      <c r="F783" s="15"/>
      <c r="G783" s="15"/>
      <c r="H783" s="15"/>
      <c r="I783" s="15"/>
      <c r="J783" s="15"/>
      <c r="K783" s="15"/>
      <c r="L783" s="15"/>
      <c r="M783" s="15"/>
      <c r="N783" s="46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spans="1:28" ht="15.75" customHeight="1">
      <c r="A784" s="15"/>
      <c r="B784" s="15"/>
      <c r="C784" s="15"/>
      <c r="D784" s="16"/>
      <c r="E784" s="16"/>
      <c r="F784" s="15"/>
      <c r="G784" s="15"/>
      <c r="H784" s="15"/>
      <c r="I784" s="15"/>
      <c r="J784" s="15"/>
      <c r="K784" s="15"/>
      <c r="L784" s="15"/>
      <c r="M784" s="15"/>
      <c r="N784" s="46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spans="1:28" ht="15.75" customHeight="1">
      <c r="A785" s="15"/>
      <c r="B785" s="15"/>
      <c r="C785" s="15"/>
      <c r="D785" s="16"/>
      <c r="E785" s="16"/>
      <c r="F785" s="15"/>
      <c r="G785" s="15"/>
      <c r="H785" s="15"/>
      <c r="I785" s="15"/>
      <c r="J785" s="15"/>
      <c r="K785" s="15"/>
      <c r="L785" s="15"/>
      <c r="M785" s="15"/>
      <c r="N785" s="46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spans="1:28" ht="15.75" customHeight="1">
      <c r="A786" s="15"/>
      <c r="B786" s="15"/>
      <c r="C786" s="15"/>
      <c r="D786" s="16"/>
      <c r="E786" s="16"/>
      <c r="F786" s="15"/>
      <c r="G786" s="15"/>
      <c r="H786" s="15"/>
      <c r="I786" s="15"/>
      <c r="J786" s="15"/>
      <c r="K786" s="15"/>
      <c r="L786" s="15"/>
      <c r="M786" s="15"/>
      <c r="N786" s="46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spans="1:28" ht="15.75" customHeight="1">
      <c r="A787" s="15"/>
      <c r="B787" s="15"/>
      <c r="C787" s="15"/>
      <c r="D787" s="16"/>
      <c r="E787" s="16"/>
      <c r="F787" s="15"/>
      <c r="G787" s="15"/>
      <c r="H787" s="15"/>
      <c r="I787" s="15"/>
      <c r="J787" s="15"/>
      <c r="K787" s="15"/>
      <c r="L787" s="15"/>
      <c r="M787" s="15"/>
      <c r="N787" s="46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spans="1:28" ht="15.75" customHeight="1">
      <c r="A788" s="15"/>
      <c r="B788" s="15"/>
      <c r="C788" s="15"/>
      <c r="D788" s="16"/>
      <c r="E788" s="16"/>
      <c r="F788" s="15"/>
      <c r="G788" s="15"/>
      <c r="H788" s="15"/>
      <c r="I788" s="15"/>
      <c r="J788" s="15"/>
      <c r="K788" s="15"/>
      <c r="L788" s="15"/>
      <c r="M788" s="15"/>
      <c r="N788" s="46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spans="1:28" ht="15.75" customHeight="1">
      <c r="A789" s="15"/>
      <c r="B789" s="15"/>
      <c r="C789" s="15"/>
      <c r="D789" s="16"/>
      <c r="E789" s="16"/>
      <c r="F789" s="15"/>
      <c r="G789" s="15"/>
      <c r="H789" s="15"/>
      <c r="I789" s="15"/>
      <c r="J789" s="15"/>
      <c r="K789" s="15"/>
      <c r="L789" s="15"/>
      <c r="M789" s="15"/>
      <c r="N789" s="46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spans="1:28" ht="15.75" customHeight="1">
      <c r="A790" s="15"/>
      <c r="B790" s="15"/>
      <c r="C790" s="15"/>
      <c r="D790" s="16"/>
      <c r="E790" s="16"/>
      <c r="F790" s="15"/>
      <c r="G790" s="15"/>
      <c r="H790" s="15"/>
      <c r="I790" s="15"/>
      <c r="J790" s="15"/>
      <c r="K790" s="15"/>
      <c r="L790" s="15"/>
      <c r="M790" s="15"/>
      <c r="N790" s="46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spans="1:28" ht="15.75" customHeight="1">
      <c r="A791" s="15"/>
      <c r="B791" s="15"/>
      <c r="C791" s="15"/>
      <c r="D791" s="16"/>
      <c r="E791" s="16"/>
      <c r="F791" s="15"/>
      <c r="G791" s="15"/>
      <c r="H791" s="15"/>
      <c r="I791" s="15"/>
      <c r="J791" s="15"/>
      <c r="K791" s="15"/>
      <c r="L791" s="15"/>
      <c r="M791" s="15"/>
      <c r="N791" s="46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spans="1:28" ht="15.75" customHeight="1">
      <c r="A792" s="15"/>
      <c r="B792" s="15"/>
      <c r="C792" s="15"/>
      <c r="D792" s="16"/>
      <c r="E792" s="16"/>
      <c r="F792" s="15"/>
      <c r="G792" s="15"/>
      <c r="H792" s="15"/>
      <c r="I792" s="15"/>
      <c r="J792" s="15"/>
      <c r="K792" s="15"/>
      <c r="L792" s="15"/>
      <c r="M792" s="15"/>
      <c r="N792" s="46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spans="1:28" ht="15.75" customHeight="1">
      <c r="A793" s="15"/>
      <c r="B793" s="15"/>
      <c r="C793" s="15"/>
      <c r="D793" s="16"/>
      <c r="E793" s="16"/>
      <c r="F793" s="15"/>
      <c r="G793" s="15"/>
      <c r="H793" s="15"/>
      <c r="I793" s="15"/>
      <c r="J793" s="15"/>
      <c r="K793" s="15"/>
      <c r="L793" s="15"/>
      <c r="M793" s="15"/>
      <c r="N793" s="46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spans="1:28" ht="15.75" customHeight="1">
      <c r="A794" s="15"/>
      <c r="B794" s="15"/>
      <c r="C794" s="15"/>
      <c r="D794" s="16"/>
      <c r="E794" s="16"/>
      <c r="F794" s="15"/>
      <c r="G794" s="15"/>
      <c r="H794" s="15"/>
      <c r="I794" s="15"/>
      <c r="J794" s="15"/>
      <c r="K794" s="15"/>
      <c r="L794" s="15"/>
      <c r="M794" s="15"/>
      <c r="N794" s="46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spans="1:28" ht="15.75" customHeight="1">
      <c r="A795" s="15"/>
      <c r="B795" s="15"/>
      <c r="C795" s="15"/>
      <c r="D795" s="16"/>
      <c r="E795" s="16"/>
      <c r="F795" s="15"/>
      <c r="G795" s="15"/>
      <c r="H795" s="15"/>
      <c r="I795" s="15"/>
      <c r="J795" s="15"/>
      <c r="K795" s="15"/>
      <c r="L795" s="15"/>
      <c r="M795" s="15"/>
      <c r="N795" s="46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spans="1:28" ht="15.75" customHeight="1">
      <c r="A796" s="15"/>
      <c r="B796" s="15"/>
      <c r="C796" s="15"/>
      <c r="D796" s="16"/>
      <c r="E796" s="16"/>
      <c r="F796" s="15"/>
      <c r="G796" s="15"/>
      <c r="H796" s="15"/>
      <c r="I796" s="15"/>
      <c r="J796" s="15"/>
      <c r="K796" s="15"/>
      <c r="L796" s="15"/>
      <c r="M796" s="15"/>
      <c r="N796" s="46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spans="1:28" ht="15.75" customHeight="1">
      <c r="A797" s="15"/>
      <c r="B797" s="15"/>
      <c r="C797" s="15"/>
      <c r="D797" s="16"/>
      <c r="E797" s="16"/>
      <c r="F797" s="15"/>
      <c r="G797" s="15"/>
      <c r="H797" s="15"/>
      <c r="I797" s="15"/>
      <c r="J797" s="15"/>
      <c r="K797" s="15"/>
      <c r="L797" s="15"/>
      <c r="M797" s="15"/>
      <c r="N797" s="46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spans="1:28" ht="15.75" customHeight="1">
      <c r="A798" s="15"/>
      <c r="B798" s="15"/>
      <c r="C798" s="15"/>
      <c r="D798" s="16"/>
      <c r="E798" s="16"/>
      <c r="F798" s="15"/>
      <c r="G798" s="15"/>
      <c r="H798" s="15"/>
      <c r="I798" s="15"/>
      <c r="J798" s="15"/>
      <c r="K798" s="15"/>
      <c r="L798" s="15"/>
      <c r="M798" s="15"/>
      <c r="N798" s="46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spans="1:28" ht="15.75" customHeight="1">
      <c r="A799" s="15"/>
      <c r="B799" s="15"/>
      <c r="C799" s="15"/>
      <c r="D799" s="16"/>
      <c r="E799" s="16"/>
      <c r="F799" s="15"/>
      <c r="G799" s="15"/>
      <c r="H799" s="15"/>
      <c r="I799" s="15"/>
      <c r="J799" s="15"/>
      <c r="K799" s="15"/>
      <c r="L799" s="15"/>
      <c r="M799" s="15"/>
      <c r="N799" s="46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5.75" customHeight="1">
      <c r="A800" s="15"/>
      <c r="B800" s="15"/>
      <c r="C800" s="15"/>
      <c r="D800" s="16"/>
      <c r="E800" s="16"/>
      <c r="F800" s="15"/>
      <c r="G800" s="15"/>
      <c r="H800" s="15"/>
      <c r="I800" s="15"/>
      <c r="J800" s="15"/>
      <c r="K800" s="15"/>
      <c r="L800" s="15"/>
      <c r="M800" s="15"/>
      <c r="N800" s="46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spans="1:28" ht="15.75" customHeight="1">
      <c r="A801" s="15"/>
      <c r="B801" s="15"/>
      <c r="C801" s="15"/>
      <c r="D801" s="16"/>
      <c r="E801" s="16"/>
      <c r="F801" s="15"/>
      <c r="G801" s="15"/>
      <c r="H801" s="15"/>
      <c r="I801" s="15"/>
      <c r="J801" s="15"/>
      <c r="K801" s="15"/>
      <c r="L801" s="15"/>
      <c r="M801" s="15"/>
      <c r="N801" s="46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spans="1:28" ht="15.75" customHeight="1">
      <c r="A802" s="15"/>
      <c r="B802" s="15"/>
      <c r="C802" s="15"/>
      <c r="D802" s="16"/>
      <c r="E802" s="16"/>
      <c r="F802" s="15"/>
      <c r="G802" s="15"/>
      <c r="H802" s="15"/>
      <c r="I802" s="15"/>
      <c r="J802" s="15"/>
      <c r="K802" s="15"/>
      <c r="L802" s="15"/>
      <c r="M802" s="15"/>
      <c r="N802" s="46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spans="1:28" ht="15.75" customHeight="1">
      <c r="A803" s="15"/>
      <c r="B803" s="15"/>
      <c r="C803" s="15"/>
      <c r="D803" s="16"/>
      <c r="E803" s="16"/>
      <c r="F803" s="15"/>
      <c r="G803" s="15"/>
      <c r="H803" s="15"/>
      <c r="I803" s="15"/>
      <c r="J803" s="15"/>
      <c r="K803" s="15"/>
      <c r="L803" s="15"/>
      <c r="M803" s="15"/>
      <c r="N803" s="46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spans="1:28" ht="15.75" customHeight="1">
      <c r="A804" s="15"/>
      <c r="B804" s="15"/>
      <c r="C804" s="15"/>
      <c r="D804" s="16"/>
      <c r="E804" s="16"/>
      <c r="F804" s="15"/>
      <c r="G804" s="15"/>
      <c r="H804" s="15"/>
      <c r="I804" s="15"/>
      <c r="J804" s="15"/>
      <c r="K804" s="15"/>
      <c r="L804" s="15"/>
      <c r="M804" s="15"/>
      <c r="N804" s="46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spans="1:28" ht="15.75" customHeight="1">
      <c r="A805" s="15"/>
      <c r="B805" s="15"/>
      <c r="C805" s="15"/>
      <c r="D805" s="16"/>
      <c r="E805" s="16"/>
      <c r="F805" s="15"/>
      <c r="G805" s="15"/>
      <c r="H805" s="15"/>
      <c r="I805" s="15"/>
      <c r="J805" s="15"/>
      <c r="K805" s="15"/>
      <c r="L805" s="15"/>
      <c r="M805" s="15"/>
      <c r="N805" s="46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spans="1:28" ht="15.75" customHeight="1">
      <c r="A806" s="15"/>
      <c r="B806" s="15"/>
      <c r="C806" s="15"/>
      <c r="D806" s="16"/>
      <c r="E806" s="16"/>
      <c r="F806" s="15"/>
      <c r="G806" s="15"/>
      <c r="H806" s="15"/>
      <c r="I806" s="15"/>
      <c r="J806" s="15"/>
      <c r="K806" s="15"/>
      <c r="L806" s="15"/>
      <c r="M806" s="15"/>
      <c r="N806" s="46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spans="1:28" ht="15.75" customHeight="1">
      <c r="A807" s="15"/>
      <c r="B807" s="15"/>
      <c r="C807" s="15"/>
      <c r="D807" s="16"/>
      <c r="E807" s="16"/>
      <c r="F807" s="15"/>
      <c r="G807" s="15"/>
      <c r="H807" s="15"/>
      <c r="I807" s="15"/>
      <c r="J807" s="15"/>
      <c r="K807" s="15"/>
      <c r="L807" s="15"/>
      <c r="M807" s="15"/>
      <c r="N807" s="46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spans="1:28" ht="15.75" customHeight="1">
      <c r="A808" s="15"/>
      <c r="B808" s="15"/>
      <c r="C808" s="15"/>
      <c r="D808" s="16"/>
      <c r="E808" s="16"/>
      <c r="F808" s="15"/>
      <c r="G808" s="15"/>
      <c r="H808" s="15"/>
      <c r="I808" s="15"/>
      <c r="J808" s="15"/>
      <c r="K808" s="15"/>
      <c r="L808" s="15"/>
      <c r="M808" s="15"/>
      <c r="N808" s="46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spans="1:28" ht="15.75" customHeight="1">
      <c r="A809" s="15"/>
      <c r="B809" s="15"/>
      <c r="C809" s="15"/>
      <c r="D809" s="16"/>
      <c r="E809" s="16"/>
      <c r="F809" s="15"/>
      <c r="G809" s="15"/>
      <c r="H809" s="15"/>
      <c r="I809" s="15"/>
      <c r="J809" s="15"/>
      <c r="K809" s="15"/>
      <c r="L809" s="15"/>
      <c r="M809" s="15"/>
      <c r="N809" s="46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spans="1:28" ht="15.75" customHeight="1">
      <c r="A810" s="15"/>
      <c r="B810" s="15"/>
      <c r="C810" s="15"/>
      <c r="D810" s="16"/>
      <c r="E810" s="16"/>
      <c r="F810" s="15"/>
      <c r="G810" s="15"/>
      <c r="H810" s="15"/>
      <c r="I810" s="15"/>
      <c r="J810" s="15"/>
      <c r="K810" s="15"/>
      <c r="L810" s="15"/>
      <c r="M810" s="15"/>
      <c r="N810" s="46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spans="1:28" ht="15.75" customHeight="1">
      <c r="A811" s="15"/>
      <c r="B811" s="15"/>
      <c r="C811" s="15"/>
      <c r="D811" s="16"/>
      <c r="E811" s="16"/>
      <c r="F811" s="15"/>
      <c r="G811" s="15"/>
      <c r="H811" s="15"/>
      <c r="I811" s="15"/>
      <c r="J811" s="15"/>
      <c r="K811" s="15"/>
      <c r="L811" s="15"/>
      <c r="M811" s="15"/>
      <c r="N811" s="46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spans="1:28" ht="15.75" customHeight="1">
      <c r="A812" s="15"/>
      <c r="B812" s="15"/>
      <c r="C812" s="15"/>
      <c r="D812" s="16"/>
      <c r="E812" s="16"/>
      <c r="F812" s="15"/>
      <c r="G812" s="15"/>
      <c r="H812" s="15"/>
      <c r="I812" s="15"/>
      <c r="J812" s="15"/>
      <c r="K812" s="15"/>
      <c r="L812" s="15"/>
      <c r="M812" s="15"/>
      <c r="N812" s="46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spans="1:28" ht="15.75" customHeight="1">
      <c r="A813" s="15"/>
      <c r="B813" s="15"/>
      <c r="C813" s="15"/>
      <c r="D813" s="16"/>
      <c r="E813" s="16"/>
      <c r="F813" s="15"/>
      <c r="G813" s="15"/>
      <c r="H813" s="15"/>
      <c r="I813" s="15"/>
      <c r="J813" s="15"/>
      <c r="K813" s="15"/>
      <c r="L813" s="15"/>
      <c r="M813" s="15"/>
      <c r="N813" s="46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spans="1:28" ht="15.75" customHeight="1">
      <c r="A814" s="15"/>
      <c r="B814" s="15"/>
      <c r="C814" s="15"/>
      <c r="D814" s="16"/>
      <c r="E814" s="16"/>
      <c r="F814" s="15"/>
      <c r="G814" s="15"/>
      <c r="H814" s="15"/>
      <c r="I814" s="15"/>
      <c r="J814" s="15"/>
      <c r="K814" s="15"/>
      <c r="L814" s="15"/>
      <c r="M814" s="15"/>
      <c r="N814" s="46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spans="1:28" ht="15.75" customHeight="1">
      <c r="A815" s="15"/>
      <c r="B815" s="15"/>
      <c r="C815" s="15"/>
      <c r="D815" s="16"/>
      <c r="E815" s="16"/>
      <c r="F815" s="15"/>
      <c r="G815" s="15"/>
      <c r="H815" s="15"/>
      <c r="I815" s="15"/>
      <c r="J815" s="15"/>
      <c r="K815" s="15"/>
      <c r="L815" s="15"/>
      <c r="M815" s="15"/>
      <c r="N815" s="46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spans="1:28" ht="15.75" customHeight="1">
      <c r="A816" s="15"/>
      <c r="B816" s="15"/>
      <c r="C816" s="15"/>
      <c r="D816" s="16"/>
      <c r="E816" s="16"/>
      <c r="F816" s="15"/>
      <c r="G816" s="15"/>
      <c r="H816" s="15"/>
      <c r="I816" s="15"/>
      <c r="J816" s="15"/>
      <c r="K816" s="15"/>
      <c r="L816" s="15"/>
      <c r="M816" s="15"/>
      <c r="N816" s="46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spans="1:28" ht="15.75" customHeight="1">
      <c r="A817" s="15"/>
      <c r="B817" s="15"/>
      <c r="C817" s="15"/>
      <c r="D817" s="16"/>
      <c r="E817" s="16"/>
      <c r="F817" s="15"/>
      <c r="G817" s="15"/>
      <c r="H817" s="15"/>
      <c r="I817" s="15"/>
      <c r="J817" s="15"/>
      <c r="K817" s="15"/>
      <c r="L817" s="15"/>
      <c r="M817" s="15"/>
      <c r="N817" s="46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spans="1:28" ht="15.75" customHeight="1">
      <c r="A818" s="15"/>
      <c r="B818" s="15"/>
      <c r="C818" s="15"/>
      <c r="D818" s="16"/>
      <c r="E818" s="16"/>
      <c r="F818" s="15"/>
      <c r="G818" s="15"/>
      <c r="H818" s="15"/>
      <c r="I818" s="15"/>
      <c r="J818" s="15"/>
      <c r="K818" s="15"/>
      <c r="L818" s="15"/>
      <c r="M818" s="15"/>
      <c r="N818" s="46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spans="1:28" ht="15.75" customHeight="1">
      <c r="A819" s="15"/>
      <c r="B819" s="15"/>
      <c r="C819" s="15"/>
      <c r="D819" s="16"/>
      <c r="E819" s="16"/>
      <c r="F819" s="15"/>
      <c r="G819" s="15"/>
      <c r="H819" s="15"/>
      <c r="I819" s="15"/>
      <c r="J819" s="15"/>
      <c r="K819" s="15"/>
      <c r="L819" s="15"/>
      <c r="M819" s="15"/>
      <c r="N819" s="46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spans="1:28" ht="15.75" customHeight="1">
      <c r="A820" s="15"/>
      <c r="B820" s="15"/>
      <c r="C820" s="15"/>
      <c r="D820" s="16"/>
      <c r="E820" s="16"/>
      <c r="F820" s="15"/>
      <c r="G820" s="15"/>
      <c r="H820" s="15"/>
      <c r="I820" s="15"/>
      <c r="J820" s="15"/>
      <c r="K820" s="15"/>
      <c r="L820" s="15"/>
      <c r="M820" s="15"/>
      <c r="N820" s="46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spans="1:28" ht="15.75" customHeight="1">
      <c r="A821" s="15"/>
      <c r="B821" s="15"/>
      <c r="C821" s="15"/>
      <c r="D821" s="16"/>
      <c r="E821" s="16"/>
      <c r="F821" s="15"/>
      <c r="G821" s="15"/>
      <c r="H821" s="15"/>
      <c r="I821" s="15"/>
      <c r="J821" s="15"/>
      <c r="K821" s="15"/>
      <c r="L821" s="15"/>
      <c r="M821" s="15"/>
      <c r="N821" s="46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spans="1:28" ht="15.75" customHeight="1">
      <c r="A822" s="15"/>
      <c r="B822" s="15"/>
      <c r="C822" s="15"/>
      <c r="D822" s="16"/>
      <c r="E822" s="16"/>
      <c r="F822" s="15"/>
      <c r="G822" s="15"/>
      <c r="H822" s="15"/>
      <c r="I822" s="15"/>
      <c r="J822" s="15"/>
      <c r="K822" s="15"/>
      <c r="L822" s="15"/>
      <c r="M822" s="15"/>
      <c r="N822" s="46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spans="1:28" ht="15.75" customHeight="1">
      <c r="A823" s="15"/>
      <c r="B823" s="15"/>
      <c r="C823" s="15"/>
      <c r="D823" s="16"/>
      <c r="E823" s="16"/>
      <c r="F823" s="15"/>
      <c r="G823" s="15"/>
      <c r="H823" s="15"/>
      <c r="I823" s="15"/>
      <c r="J823" s="15"/>
      <c r="K823" s="15"/>
      <c r="L823" s="15"/>
      <c r="M823" s="15"/>
      <c r="N823" s="46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spans="1:28" ht="15.75" customHeight="1">
      <c r="A824" s="15"/>
      <c r="B824" s="15"/>
      <c r="C824" s="15"/>
      <c r="D824" s="16"/>
      <c r="E824" s="16"/>
      <c r="F824" s="15"/>
      <c r="G824" s="15"/>
      <c r="H824" s="15"/>
      <c r="I824" s="15"/>
      <c r="J824" s="15"/>
      <c r="K824" s="15"/>
      <c r="L824" s="15"/>
      <c r="M824" s="15"/>
      <c r="N824" s="46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spans="1:28" ht="15.75" customHeight="1">
      <c r="A825" s="15"/>
      <c r="B825" s="15"/>
      <c r="C825" s="15"/>
      <c r="D825" s="16"/>
      <c r="E825" s="16"/>
      <c r="F825" s="15"/>
      <c r="G825" s="15"/>
      <c r="H825" s="15"/>
      <c r="I825" s="15"/>
      <c r="J825" s="15"/>
      <c r="K825" s="15"/>
      <c r="L825" s="15"/>
      <c r="M825" s="15"/>
      <c r="N825" s="46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spans="1:28" ht="15.75" customHeight="1">
      <c r="A826" s="15"/>
      <c r="B826" s="15"/>
      <c r="C826" s="15"/>
      <c r="D826" s="16"/>
      <c r="E826" s="16"/>
      <c r="F826" s="15"/>
      <c r="G826" s="15"/>
      <c r="H826" s="15"/>
      <c r="I826" s="15"/>
      <c r="J826" s="15"/>
      <c r="K826" s="15"/>
      <c r="L826" s="15"/>
      <c r="M826" s="15"/>
      <c r="N826" s="46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spans="1:28" ht="15.75" customHeight="1">
      <c r="A827" s="15"/>
      <c r="B827" s="15"/>
      <c r="C827" s="15"/>
      <c r="D827" s="16"/>
      <c r="E827" s="16"/>
      <c r="F827" s="15"/>
      <c r="G827" s="15"/>
      <c r="H827" s="15"/>
      <c r="I827" s="15"/>
      <c r="J827" s="15"/>
      <c r="K827" s="15"/>
      <c r="L827" s="15"/>
      <c r="M827" s="15"/>
      <c r="N827" s="46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spans="1:28" ht="15.75" customHeight="1">
      <c r="A828" s="15"/>
      <c r="B828" s="15"/>
      <c r="C828" s="15"/>
      <c r="D828" s="16"/>
      <c r="E828" s="16"/>
      <c r="F828" s="15"/>
      <c r="G828" s="15"/>
      <c r="H828" s="15"/>
      <c r="I828" s="15"/>
      <c r="J828" s="15"/>
      <c r="K828" s="15"/>
      <c r="L828" s="15"/>
      <c r="M828" s="15"/>
      <c r="N828" s="46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spans="1:28" ht="15.75" customHeight="1">
      <c r="A829" s="15"/>
      <c r="B829" s="15"/>
      <c r="C829" s="15"/>
      <c r="D829" s="16"/>
      <c r="E829" s="16"/>
      <c r="F829" s="15"/>
      <c r="G829" s="15"/>
      <c r="H829" s="15"/>
      <c r="I829" s="15"/>
      <c r="J829" s="15"/>
      <c r="K829" s="15"/>
      <c r="L829" s="15"/>
      <c r="M829" s="15"/>
      <c r="N829" s="46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spans="1:28" ht="15.75" customHeight="1">
      <c r="A830" s="15"/>
      <c r="B830" s="15"/>
      <c r="C830" s="15"/>
      <c r="D830" s="16"/>
      <c r="E830" s="16"/>
      <c r="F830" s="15"/>
      <c r="G830" s="15"/>
      <c r="H830" s="15"/>
      <c r="I830" s="15"/>
      <c r="J830" s="15"/>
      <c r="K830" s="15"/>
      <c r="L830" s="15"/>
      <c r="M830" s="15"/>
      <c r="N830" s="46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spans="1:28" ht="15.75" customHeight="1">
      <c r="A831" s="15"/>
      <c r="B831" s="15"/>
      <c r="C831" s="15"/>
      <c r="D831" s="16"/>
      <c r="E831" s="16"/>
      <c r="F831" s="15"/>
      <c r="G831" s="15"/>
      <c r="H831" s="15"/>
      <c r="I831" s="15"/>
      <c r="J831" s="15"/>
      <c r="K831" s="15"/>
      <c r="L831" s="15"/>
      <c r="M831" s="15"/>
      <c r="N831" s="46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spans="1:28" ht="15.75" customHeight="1">
      <c r="A832" s="15"/>
      <c r="B832" s="15"/>
      <c r="C832" s="15"/>
      <c r="D832" s="16"/>
      <c r="E832" s="16"/>
      <c r="F832" s="15"/>
      <c r="G832" s="15"/>
      <c r="H832" s="15"/>
      <c r="I832" s="15"/>
      <c r="J832" s="15"/>
      <c r="K832" s="15"/>
      <c r="L832" s="15"/>
      <c r="M832" s="15"/>
      <c r="N832" s="46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spans="1:28" ht="15.75" customHeight="1">
      <c r="A833" s="15"/>
      <c r="B833" s="15"/>
      <c r="C833" s="15"/>
      <c r="D833" s="16"/>
      <c r="E833" s="16"/>
      <c r="F833" s="15"/>
      <c r="G833" s="15"/>
      <c r="H833" s="15"/>
      <c r="I833" s="15"/>
      <c r="J833" s="15"/>
      <c r="K833" s="15"/>
      <c r="L833" s="15"/>
      <c r="M833" s="15"/>
      <c r="N833" s="46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spans="1:28" ht="15.75" customHeight="1">
      <c r="A834" s="15"/>
      <c r="B834" s="15"/>
      <c r="C834" s="15"/>
      <c r="D834" s="16"/>
      <c r="E834" s="16"/>
      <c r="F834" s="15"/>
      <c r="G834" s="15"/>
      <c r="H834" s="15"/>
      <c r="I834" s="15"/>
      <c r="J834" s="15"/>
      <c r="K834" s="15"/>
      <c r="L834" s="15"/>
      <c r="M834" s="15"/>
      <c r="N834" s="46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spans="1:28" ht="15.75" customHeight="1">
      <c r="A835" s="15"/>
      <c r="B835" s="15"/>
      <c r="C835" s="15"/>
      <c r="D835" s="16"/>
      <c r="E835" s="16"/>
      <c r="F835" s="15"/>
      <c r="G835" s="15"/>
      <c r="H835" s="15"/>
      <c r="I835" s="15"/>
      <c r="J835" s="15"/>
      <c r="K835" s="15"/>
      <c r="L835" s="15"/>
      <c r="M835" s="15"/>
      <c r="N835" s="46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spans="1:28" ht="15.75" customHeight="1">
      <c r="A836" s="15"/>
      <c r="B836" s="15"/>
      <c r="C836" s="15"/>
      <c r="D836" s="16"/>
      <c r="E836" s="16"/>
      <c r="F836" s="15"/>
      <c r="G836" s="15"/>
      <c r="H836" s="15"/>
      <c r="I836" s="15"/>
      <c r="J836" s="15"/>
      <c r="K836" s="15"/>
      <c r="L836" s="15"/>
      <c r="M836" s="15"/>
      <c r="N836" s="46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spans="1:28" ht="15.75" customHeight="1">
      <c r="A837" s="15"/>
      <c r="B837" s="15"/>
      <c r="C837" s="15"/>
      <c r="D837" s="16"/>
      <c r="E837" s="16"/>
      <c r="F837" s="15"/>
      <c r="G837" s="15"/>
      <c r="H837" s="15"/>
      <c r="I837" s="15"/>
      <c r="J837" s="15"/>
      <c r="K837" s="15"/>
      <c r="L837" s="15"/>
      <c r="M837" s="15"/>
      <c r="N837" s="46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spans="1:28" ht="15.75" customHeight="1">
      <c r="A838" s="15"/>
      <c r="B838" s="15"/>
      <c r="C838" s="15"/>
      <c r="D838" s="16"/>
      <c r="E838" s="16"/>
      <c r="F838" s="15"/>
      <c r="G838" s="15"/>
      <c r="H838" s="15"/>
      <c r="I838" s="15"/>
      <c r="J838" s="15"/>
      <c r="K838" s="15"/>
      <c r="L838" s="15"/>
      <c r="M838" s="15"/>
      <c r="N838" s="46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spans="1:28" ht="15.75" customHeight="1">
      <c r="A839" s="15"/>
      <c r="B839" s="15"/>
      <c r="C839" s="15"/>
      <c r="D839" s="16"/>
      <c r="E839" s="16"/>
      <c r="F839" s="15"/>
      <c r="G839" s="15"/>
      <c r="H839" s="15"/>
      <c r="I839" s="15"/>
      <c r="J839" s="15"/>
      <c r="K839" s="15"/>
      <c r="L839" s="15"/>
      <c r="M839" s="15"/>
      <c r="N839" s="46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spans="1:28" ht="15.75" customHeight="1">
      <c r="A840" s="15"/>
      <c r="B840" s="15"/>
      <c r="C840" s="15"/>
      <c r="D840" s="16"/>
      <c r="E840" s="16"/>
      <c r="F840" s="15"/>
      <c r="G840" s="15"/>
      <c r="H840" s="15"/>
      <c r="I840" s="15"/>
      <c r="J840" s="15"/>
      <c r="K840" s="15"/>
      <c r="L840" s="15"/>
      <c r="M840" s="15"/>
      <c r="N840" s="46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spans="1:28" ht="15.75" customHeight="1">
      <c r="A841" s="15"/>
      <c r="B841" s="15"/>
      <c r="C841" s="15"/>
      <c r="D841" s="16"/>
      <c r="E841" s="16"/>
      <c r="F841" s="15"/>
      <c r="G841" s="15"/>
      <c r="H841" s="15"/>
      <c r="I841" s="15"/>
      <c r="J841" s="15"/>
      <c r="K841" s="15"/>
      <c r="L841" s="15"/>
      <c r="M841" s="15"/>
      <c r="N841" s="46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spans="1:28" ht="15.75" customHeight="1">
      <c r="A842" s="15"/>
      <c r="B842" s="15"/>
      <c r="C842" s="15"/>
      <c r="D842" s="16"/>
      <c r="E842" s="16"/>
      <c r="F842" s="15"/>
      <c r="G842" s="15"/>
      <c r="H842" s="15"/>
      <c r="I842" s="15"/>
      <c r="J842" s="15"/>
      <c r="K842" s="15"/>
      <c r="L842" s="15"/>
      <c r="M842" s="15"/>
      <c r="N842" s="46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spans="1:28" ht="15.75" customHeight="1">
      <c r="A843" s="15"/>
      <c r="B843" s="15"/>
      <c r="C843" s="15"/>
      <c r="D843" s="16"/>
      <c r="E843" s="16"/>
      <c r="F843" s="15"/>
      <c r="G843" s="15"/>
      <c r="H843" s="15"/>
      <c r="I843" s="15"/>
      <c r="J843" s="15"/>
      <c r="K843" s="15"/>
      <c r="L843" s="15"/>
      <c r="M843" s="15"/>
      <c r="N843" s="46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15.75" customHeight="1">
      <c r="A844" s="15"/>
      <c r="B844" s="15"/>
      <c r="C844" s="15"/>
      <c r="D844" s="16"/>
      <c r="E844" s="16"/>
      <c r="F844" s="15"/>
      <c r="G844" s="15"/>
      <c r="H844" s="15"/>
      <c r="I844" s="15"/>
      <c r="J844" s="15"/>
      <c r="K844" s="15"/>
      <c r="L844" s="15"/>
      <c r="M844" s="15"/>
      <c r="N844" s="46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spans="1:28" ht="15.75" customHeight="1">
      <c r="A845" s="15"/>
      <c r="B845" s="15"/>
      <c r="C845" s="15"/>
      <c r="D845" s="16"/>
      <c r="E845" s="16"/>
      <c r="F845" s="15"/>
      <c r="G845" s="15"/>
      <c r="H845" s="15"/>
      <c r="I845" s="15"/>
      <c r="J845" s="15"/>
      <c r="K845" s="15"/>
      <c r="L845" s="15"/>
      <c r="M845" s="15"/>
      <c r="N845" s="46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spans="1:28" ht="15.75" customHeight="1">
      <c r="A846" s="15"/>
      <c r="B846" s="15"/>
      <c r="C846" s="15"/>
      <c r="D846" s="16"/>
      <c r="E846" s="16"/>
      <c r="F846" s="15"/>
      <c r="G846" s="15"/>
      <c r="H846" s="15"/>
      <c r="I846" s="15"/>
      <c r="J846" s="15"/>
      <c r="K846" s="15"/>
      <c r="L846" s="15"/>
      <c r="M846" s="15"/>
      <c r="N846" s="46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spans="1:28" ht="15.75" customHeight="1">
      <c r="A847" s="15"/>
      <c r="B847" s="15"/>
      <c r="C847" s="15"/>
      <c r="D847" s="16"/>
      <c r="E847" s="16"/>
      <c r="F847" s="15"/>
      <c r="G847" s="15"/>
      <c r="H847" s="15"/>
      <c r="I847" s="15"/>
      <c r="J847" s="15"/>
      <c r="K847" s="15"/>
      <c r="L847" s="15"/>
      <c r="M847" s="15"/>
      <c r="N847" s="46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spans="1:28" ht="15.75" customHeight="1">
      <c r="A848" s="15"/>
      <c r="B848" s="15"/>
      <c r="C848" s="15"/>
      <c r="D848" s="16"/>
      <c r="E848" s="16"/>
      <c r="F848" s="15"/>
      <c r="G848" s="15"/>
      <c r="H848" s="15"/>
      <c r="I848" s="15"/>
      <c r="J848" s="15"/>
      <c r="K848" s="15"/>
      <c r="L848" s="15"/>
      <c r="M848" s="15"/>
      <c r="N848" s="46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spans="1:28" ht="15.75" customHeight="1">
      <c r="A849" s="15"/>
      <c r="B849" s="15"/>
      <c r="C849" s="15"/>
      <c r="D849" s="16"/>
      <c r="E849" s="16"/>
      <c r="F849" s="15"/>
      <c r="G849" s="15"/>
      <c r="H849" s="15"/>
      <c r="I849" s="15"/>
      <c r="J849" s="15"/>
      <c r="K849" s="15"/>
      <c r="L849" s="15"/>
      <c r="M849" s="15"/>
      <c r="N849" s="46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spans="1:28" ht="15.75" customHeight="1">
      <c r="A850" s="15"/>
      <c r="B850" s="15"/>
      <c r="C850" s="15"/>
      <c r="D850" s="16"/>
      <c r="E850" s="16"/>
      <c r="F850" s="15"/>
      <c r="G850" s="15"/>
      <c r="H850" s="15"/>
      <c r="I850" s="15"/>
      <c r="J850" s="15"/>
      <c r="K850" s="15"/>
      <c r="L850" s="15"/>
      <c r="M850" s="15"/>
      <c r="N850" s="46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spans="1:28" ht="15.75" customHeight="1">
      <c r="A851" s="15"/>
      <c r="B851" s="15"/>
      <c r="C851" s="15"/>
      <c r="D851" s="16"/>
      <c r="E851" s="16"/>
      <c r="F851" s="15"/>
      <c r="G851" s="15"/>
      <c r="H851" s="15"/>
      <c r="I851" s="15"/>
      <c r="J851" s="15"/>
      <c r="K851" s="15"/>
      <c r="L851" s="15"/>
      <c r="M851" s="15"/>
      <c r="N851" s="46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spans="1:28" ht="15.75" customHeight="1">
      <c r="A852" s="15"/>
      <c r="B852" s="15"/>
      <c r="C852" s="15"/>
      <c r="D852" s="16"/>
      <c r="E852" s="16"/>
      <c r="F852" s="15"/>
      <c r="G852" s="15"/>
      <c r="H852" s="15"/>
      <c r="I852" s="15"/>
      <c r="J852" s="15"/>
      <c r="K852" s="15"/>
      <c r="L852" s="15"/>
      <c r="M852" s="15"/>
      <c r="N852" s="46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spans="1:28" ht="15.75" customHeight="1">
      <c r="A853" s="15"/>
      <c r="B853" s="15"/>
      <c r="C853" s="15"/>
      <c r="D853" s="16"/>
      <c r="E853" s="16"/>
      <c r="F853" s="15"/>
      <c r="G853" s="15"/>
      <c r="H853" s="15"/>
      <c r="I853" s="15"/>
      <c r="J853" s="15"/>
      <c r="K853" s="15"/>
      <c r="L853" s="15"/>
      <c r="M853" s="15"/>
      <c r="N853" s="46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spans="1:28" ht="15.75" customHeight="1">
      <c r="A854" s="15"/>
      <c r="B854" s="15"/>
      <c r="C854" s="15"/>
      <c r="D854" s="16"/>
      <c r="E854" s="16"/>
      <c r="F854" s="15"/>
      <c r="G854" s="15"/>
      <c r="H854" s="15"/>
      <c r="I854" s="15"/>
      <c r="J854" s="15"/>
      <c r="K854" s="15"/>
      <c r="L854" s="15"/>
      <c r="M854" s="15"/>
      <c r="N854" s="46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spans="1:28" ht="15.75" customHeight="1">
      <c r="A855" s="15"/>
      <c r="B855" s="15"/>
      <c r="C855" s="15"/>
      <c r="D855" s="16"/>
      <c r="E855" s="16"/>
      <c r="F855" s="15"/>
      <c r="G855" s="15"/>
      <c r="H855" s="15"/>
      <c r="I855" s="15"/>
      <c r="J855" s="15"/>
      <c r="K855" s="15"/>
      <c r="L855" s="15"/>
      <c r="M855" s="15"/>
      <c r="N855" s="46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spans="1:28" ht="15.75" customHeight="1">
      <c r="A856" s="15"/>
      <c r="B856" s="15"/>
      <c r="C856" s="15"/>
      <c r="D856" s="16"/>
      <c r="E856" s="16"/>
      <c r="F856" s="15"/>
      <c r="G856" s="15"/>
      <c r="H856" s="15"/>
      <c r="I856" s="15"/>
      <c r="J856" s="15"/>
      <c r="K856" s="15"/>
      <c r="L856" s="15"/>
      <c r="M856" s="15"/>
      <c r="N856" s="46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spans="1:28" ht="15.75" customHeight="1">
      <c r="A857" s="15"/>
      <c r="B857" s="15"/>
      <c r="C857" s="15"/>
      <c r="D857" s="16"/>
      <c r="E857" s="16"/>
      <c r="F857" s="15"/>
      <c r="G857" s="15"/>
      <c r="H857" s="15"/>
      <c r="I857" s="15"/>
      <c r="J857" s="15"/>
      <c r="K857" s="15"/>
      <c r="L857" s="15"/>
      <c r="M857" s="15"/>
      <c r="N857" s="46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spans="1:28" ht="15.75" customHeight="1">
      <c r="A858" s="15"/>
      <c r="B858" s="15"/>
      <c r="C858" s="15"/>
      <c r="D858" s="16"/>
      <c r="E858" s="16"/>
      <c r="F858" s="15"/>
      <c r="G858" s="15"/>
      <c r="H858" s="15"/>
      <c r="I858" s="15"/>
      <c r="J858" s="15"/>
      <c r="K858" s="15"/>
      <c r="L858" s="15"/>
      <c r="M858" s="15"/>
      <c r="N858" s="46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spans="1:28" ht="15.75" customHeight="1">
      <c r="A859" s="15"/>
      <c r="B859" s="15"/>
      <c r="C859" s="15"/>
      <c r="D859" s="16"/>
      <c r="E859" s="16"/>
      <c r="F859" s="15"/>
      <c r="G859" s="15"/>
      <c r="H859" s="15"/>
      <c r="I859" s="15"/>
      <c r="J859" s="15"/>
      <c r="K859" s="15"/>
      <c r="L859" s="15"/>
      <c r="M859" s="15"/>
      <c r="N859" s="46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spans="1:28" ht="15.75" customHeight="1">
      <c r="A860" s="15"/>
      <c r="B860" s="15"/>
      <c r="C860" s="15"/>
      <c r="D860" s="16"/>
      <c r="E860" s="16"/>
      <c r="F860" s="15"/>
      <c r="G860" s="15"/>
      <c r="H860" s="15"/>
      <c r="I860" s="15"/>
      <c r="J860" s="15"/>
      <c r="K860" s="15"/>
      <c r="L860" s="15"/>
      <c r="M860" s="15"/>
      <c r="N860" s="46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spans="1:28" ht="15.75" customHeight="1">
      <c r="A861" s="15"/>
      <c r="B861" s="15"/>
      <c r="C861" s="15"/>
      <c r="D861" s="16"/>
      <c r="E861" s="16"/>
      <c r="F861" s="15"/>
      <c r="G861" s="15"/>
      <c r="H861" s="15"/>
      <c r="I861" s="15"/>
      <c r="J861" s="15"/>
      <c r="K861" s="15"/>
      <c r="L861" s="15"/>
      <c r="M861" s="15"/>
      <c r="N861" s="46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spans="1:28" ht="15.75" customHeight="1">
      <c r="A862" s="15"/>
      <c r="B862" s="15"/>
      <c r="C862" s="15"/>
      <c r="D862" s="16"/>
      <c r="E862" s="16"/>
      <c r="F862" s="15"/>
      <c r="G862" s="15"/>
      <c r="H862" s="15"/>
      <c r="I862" s="15"/>
      <c r="J862" s="15"/>
      <c r="K862" s="15"/>
      <c r="L862" s="15"/>
      <c r="M862" s="15"/>
      <c r="N862" s="46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spans="1:28" ht="15.75" customHeight="1">
      <c r="A863" s="15"/>
      <c r="B863" s="15"/>
      <c r="C863" s="15"/>
      <c r="D863" s="16"/>
      <c r="E863" s="16"/>
      <c r="F863" s="15"/>
      <c r="G863" s="15"/>
      <c r="H863" s="15"/>
      <c r="I863" s="15"/>
      <c r="J863" s="15"/>
      <c r="K863" s="15"/>
      <c r="L863" s="15"/>
      <c r="M863" s="15"/>
      <c r="N863" s="46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spans="1:28" ht="15.75" customHeight="1">
      <c r="A864" s="15"/>
      <c r="B864" s="15"/>
      <c r="C864" s="15"/>
      <c r="D864" s="16"/>
      <c r="E864" s="16"/>
      <c r="F864" s="15"/>
      <c r="G864" s="15"/>
      <c r="H864" s="15"/>
      <c r="I864" s="15"/>
      <c r="J864" s="15"/>
      <c r="K864" s="15"/>
      <c r="L864" s="15"/>
      <c r="M864" s="15"/>
      <c r="N864" s="46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spans="1:28" ht="15.75" customHeight="1">
      <c r="A865" s="15"/>
      <c r="B865" s="15"/>
      <c r="C865" s="15"/>
      <c r="D865" s="16"/>
      <c r="E865" s="16"/>
      <c r="F865" s="15"/>
      <c r="G865" s="15"/>
      <c r="H865" s="15"/>
      <c r="I865" s="15"/>
      <c r="J865" s="15"/>
      <c r="K865" s="15"/>
      <c r="L865" s="15"/>
      <c r="M865" s="15"/>
      <c r="N865" s="46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spans="1:28" ht="15.75" customHeight="1">
      <c r="A866" s="15"/>
      <c r="B866" s="15"/>
      <c r="C866" s="15"/>
      <c r="D866" s="16"/>
      <c r="E866" s="16"/>
      <c r="F866" s="15"/>
      <c r="G866" s="15"/>
      <c r="H866" s="15"/>
      <c r="I866" s="15"/>
      <c r="J866" s="15"/>
      <c r="K866" s="15"/>
      <c r="L866" s="15"/>
      <c r="M866" s="15"/>
      <c r="N866" s="46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spans="1:28" ht="15.75" customHeight="1">
      <c r="A867" s="15"/>
      <c r="B867" s="15"/>
      <c r="C867" s="15"/>
      <c r="D867" s="16"/>
      <c r="E867" s="16"/>
      <c r="F867" s="15"/>
      <c r="G867" s="15"/>
      <c r="H867" s="15"/>
      <c r="I867" s="15"/>
      <c r="J867" s="15"/>
      <c r="K867" s="15"/>
      <c r="L867" s="15"/>
      <c r="M867" s="15"/>
      <c r="N867" s="46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spans="1:28" ht="15.75" customHeight="1">
      <c r="A868" s="15"/>
      <c r="B868" s="15"/>
      <c r="C868" s="15"/>
      <c r="D868" s="16"/>
      <c r="E868" s="16"/>
      <c r="F868" s="15"/>
      <c r="G868" s="15"/>
      <c r="H868" s="15"/>
      <c r="I868" s="15"/>
      <c r="J868" s="15"/>
      <c r="K868" s="15"/>
      <c r="L868" s="15"/>
      <c r="M868" s="15"/>
      <c r="N868" s="46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spans="1:28" ht="15.75" customHeight="1">
      <c r="A869" s="15"/>
      <c r="B869" s="15"/>
      <c r="C869" s="15"/>
      <c r="D869" s="16"/>
      <c r="E869" s="16"/>
      <c r="F869" s="15"/>
      <c r="G869" s="15"/>
      <c r="H869" s="15"/>
      <c r="I869" s="15"/>
      <c r="J869" s="15"/>
      <c r="K869" s="15"/>
      <c r="L869" s="15"/>
      <c r="M869" s="15"/>
      <c r="N869" s="46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spans="1:28" ht="15.75" customHeight="1">
      <c r="A870" s="15"/>
      <c r="B870" s="15"/>
      <c r="C870" s="15"/>
      <c r="D870" s="16"/>
      <c r="E870" s="16"/>
      <c r="F870" s="15"/>
      <c r="G870" s="15"/>
      <c r="H870" s="15"/>
      <c r="I870" s="15"/>
      <c r="J870" s="15"/>
      <c r="K870" s="15"/>
      <c r="L870" s="15"/>
      <c r="M870" s="15"/>
      <c r="N870" s="46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spans="1:28" ht="15.75" customHeight="1">
      <c r="A871" s="15"/>
      <c r="B871" s="15"/>
      <c r="C871" s="15"/>
      <c r="D871" s="16"/>
      <c r="E871" s="16"/>
      <c r="F871" s="15"/>
      <c r="G871" s="15"/>
      <c r="H871" s="15"/>
      <c r="I871" s="15"/>
      <c r="J871" s="15"/>
      <c r="K871" s="15"/>
      <c r="L871" s="15"/>
      <c r="M871" s="15"/>
      <c r="N871" s="46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spans="1:28" ht="15.75" customHeight="1">
      <c r="A872" s="15"/>
      <c r="B872" s="15"/>
      <c r="C872" s="15"/>
      <c r="D872" s="16"/>
      <c r="E872" s="16"/>
      <c r="F872" s="15"/>
      <c r="G872" s="15"/>
      <c r="H872" s="15"/>
      <c r="I872" s="15"/>
      <c r="J872" s="15"/>
      <c r="K872" s="15"/>
      <c r="L872" s="15"/>
      <c r="M872" s="15"/>
      <c r="N872" s="46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spans="1:28" ht="15.75" customHeight="1">
      <c r="A873" s="15"/>
      <c r="B873" s="15"/>
      <c r="C873" s="15"/>
      <c r="D873" s="16"/>
      <c r="E873" s="16"/>
      <c r="F873" s="15"/>
      <c r="G873" s="15"/>
      <c r="H873" s="15"/>
      <c r="I873" s="15"/>
      <c r="J873" s="15"/>
      <c r="K873" s="15"/>
      <c r="L873" s="15"/>
      <c r="M873" s="15"/>
      <c r="N873" s="46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spans="1:28" ht="15.75" customHeight="1">
      <c r="A874" s="15"/>
      <c r="B874" s="15"/>
      <c r="C874" s="15"/>
      <c r="D874" s="16"/>
      <c r="E874" s="16"/>
      <c r="F874" s="15"/>
      <c r="G874" s="15"/>
      <c r="H874" s="15"/>
      <c r="I874" s="15"/>
      <c r="J874" s="15"/>
      <c r="K874" s="15"/>
      <c r="L874" s="15"/>
      <c r="M874" s="15"/>
      <c r="N874" s="46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spans="1:28" ht="15.75" customHeight="1">
      <c r="A875" s="15"/>
      <c r="B875" s="15"/>
      <c r="C875" s="15"/>
      <c r="D875" s="16"/>
      <c r="E875" s="16"/>
      <c r="F875" s="15"/>
      <c r="G875" s="15"/>
      <c r="H875" s="15"/>
      <c r="I875" s="15"/>
      <c r="J875" s="15"/>
      <c r="K875" s="15"/>
      <c r="L875" s="15"/>
      <c r="M875" s="15"/>
      <c r="N875" s="46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spans="1:28" ht="15.75" customHeight="1">
      <c r="A876" s="15"/>
      <c r="B876" s="15"/>
      <c r="C876" s="15"/>
      <c r="D876" s="16"/>
      <c r="E876" s="16"/>
      <c r="F876" s="15"/>
      <c r="G876" s="15"/>
      <c r="H876" s="15"/>
      <c r="I876" s="15"/>
      <c r="J876" s="15"/>
      <c r="K876" s="15"/>
      <c r="L876" s="15"/>
      <c r="M876" s="15"/>
      <c r="N876" s="46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spans="1:28" ht="15.75" customHeight="1">
      <c r="A877" s="15"/>
      <c r="B877" s="15"/>
      <c r="C877" s="15"/>
      <c r="D877" s="16"/>
      <c r="E877" s="16"/>
      <c r="F877" s="15"/>
      <c r="G877" s="15"/>
      <c r="H877" s="15"/>
      <c r="I877" s="15"/>
      <c r="J877" s="15"/>
      <c r="K877" s="15"/>
      <c r="L877" s="15"/>
      <c r="M877" s="15"/>
      <c r="N877" s="46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spans="1:28" ht="15.75" customHeight="1">
      <c r="A878" s="15"/>
      <c r="B878" s="15"/>
      <c r="C878" s="15"/>
      <c r="D878" s="16"/>
      <c r="E878" s="16"/>
      <c r="F878" s="15"/>
      <c r="G878" s="15"/>
      <c r="H878" s="15"/>
      <c r="I878" s="15"/>
      <c r="J878" s="15"/>
      <c r="K878" s="15"/>
      <c r="L878" s="15"/>
      <c r="M878" s="15"/>
      <c r="N878" s="46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spans="1:28" ht="15.75" customHeight="1">
      <c r="A879" s="15"/>
      <c r="B879" s="15"/>
      <c r="C879" s="15"/>
      <c r="D879" s="16"/>
      <c r="E879" s="16"/>
      <c r="F879" s="15"/>
      <c r="G879" s="15"/>
      <c r="H879" s="15"/>
      <c r="I879" s="15"/>
      <c r="J879" s="15"/>
      <c r="K879" s="15"/>
      <c r="L879" s="15"/>
      <c r="M879" s="15"/>
      <c r="N879" s="46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spans="1:28" ht="15.75" customHeight="1">
      <c r="A880" s="15"/>
      <c r="B880" s="15"/>
      <c r="C880" s="15"/>
      <c r="D880" s="16"/>
      <c r="E880" s="16"/>
      <c r="F880" s="15"/>
      <c r="G880" s="15"/>
      <c r="H880" s="15"/>
      <c r="I880" s="15"/>
      <c r="J880" s="15"/>
      <c r="K880" s="15"/>
      <c r="L880" s="15"/>
      <c r="M880" s="15"/>
      <c r="N880" s="46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spans="1:28" ht="15.75" customHeight="1">
      <c r="A881" s="15"/>
      <c r="B881" s="15"/>
      <c r="C881" s="15"/>
      <c r="D881" s="16"/>
      <c r="E881" s="16"/>
      <c r="F881" s="15"/>
      <c r="G881" s="15"/>
      <c r="H881" s="15"/>
      <c r="I881" s="15"/>
      <c r="J881" s="15"/>
      <c r="K881" s="15"/>
      <c r="L881" s="15"/>
      <c r="M881" s="15"/>
      <c r="N881" s="46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spans="1:28" ht="15.75" customHeight="1">
      <c r="A882" s="15"/>
      <c r="B882" s="15"/>
      <c r="C882" s="15"/>
      <c r="D882" s="16"/>
      <c r="E882" s="16"/>
      <c r="F882" s="15"/>
      <c r="G882" s="15"/>
      <c r="H882" s="15"/>
      <c r="I882" s="15"/>
      <c r="J882" s="15"/>
      <c r="K882" s="15"/>
      <c r="L882" s="15"/>
      <c r="M882" s="15"/>
      <c r="N882" s="46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spans="1:28" ht="15.75" customHeight="1">
      <c r="A883" s="15"/>
      <c r="B883" s="15"/>
      <c r="C883" s="15"/>
      <c r="D883" s="16"/>
      <c r="E883" s="16"/>
      <c r="F883" s="15"/>
      <c r="G883" s="15"/>
      <c r="H883" s="15"/>
      <c r="I883" s="15"/>
      <c r="J883" s="15"/>
      <c r="K883" s="15"/>
      <c r="L883" s="15"/>
      <c r="M883" s="15"/>
      <c r="N883" s="46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spans="1:28" ht="15.75" customHeight="1">
      <c r="A884" s="15"/>
      <c r="B884" s="15"/>
      <c r="C884" s="15"/>
      <c r="D884" s="16"/>
      <c r="E884" s="16"/>
      <c r="F884" s="15"/>
      <c r="G884" s="15"/>
      <c r="H884" s="15"/>
      <c r="I884" s="15"/>
      <c r="J884" s="15"/>
      <c r="K884" s="15"/>
      <c r="L884" s="15"/>
      <c r="M884" s="15"/>
      <c r="N884" s="46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spans="1:28" ht="15.75" customHeight="1">
      <c r="A885" s="15"/>
      <c r="B885" s="15"/>
      <c r="C885" s="15"/>
      <c r="D885" s="16"/>
      <c r="E885" s="16"/>
      <c r="F885" s="15"/>
      <c r="G885" s="15"/>
      <c r="H885" s="15"/>
      <c r="I885" s="15"/>
      <c r="J885" s="15"/>
      <c r="K885" s="15"/>
      <c r="L885" s="15"/>
      <c r="M885" s="15"/>
      <c r="N885" s="46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15.75" customHeight="1">
      <c r="A886" s="15"/>
      <c r="B886" s="15"/>
      <c r="C886" s="15"/>
      <c r="D886" s="16"/>
      <c r="E886" s="16"/>
      <c r="F886" s="15"/>
      <c r="G886" s="15"/>
      <c r="H886" s="15"/>
      <c r="I886" s="15"/>
      <c r="J886" s="15"/>
      <c r="K886" s="15"/>
      <c r="L886" s="15"/>
      <c r="M886" s="15"/>
      <c r="N886" s="46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spans="1:28" ht="15.75" customHeight="1">
      <c r="A887" s="15"/>
      <c r="B887" s="15"/>
      <c r="C887" s="15"/>
      <c r="D887" s="16"/>
      <c r="E887" s="16"/>
      <c r="F887" s="15"/>
      <c r="G887" s="15"/>
      <c r="H887" s="15"/>
      <c r="I887" s="15"/>
      <c r="J887" s="15"/>
      <c r="K887" s="15"/>
      <c r="L887" s="15"/>
      <c r="M887" s="15"/>
      <c r="N887" s="46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spans="1:28" ht="15.75" customHeight="1">
      <c r="A888" s="15"/>
      <c r="B888" s="15"/>
      <c r="C888" s="15"/>
      <c r="D888" s="16"/>
      <c r="E888" s="16"/>
      <c r="F888" s="15"/>
      <c r="G888" s="15"/>
      <c r="H888" s="15"/>
      <c r="I888" s="15"/>
      <c r="J888" s="15"/>
      <c r="K888" s="15"/>
      <c r="L888" s="15"/>
      <c r="M888" s="15"/>
      <c r="N888" s="46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spans="1:28" ht="15.75" customHeight="1">
      <c r="A889" s="15"/>
      <c r="B889" s="15"/>
      <c r="C889" s="15"/>
      <c r="D889" s="16"/>
      <c r="E889" s="16"/>
      <c r="F889" s="15"/>
      <c r="G889" s="15"/>
      <c r="H889" s="15"/>
      <c r="I889" s="15"/>
      <c r="J889" s="15"/>
      <c r="K889" s="15"/>
      <c r="L889" s="15"/>
      <c r="M889" s="15"/>
      <c r="N889" s="46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spans="1:28" ht="15.75" customHeight="1">
      <c r="A890" s="15"/>
      <c r="B890" s="15"/>
      <c r="C890" s="15"/>
      <c r="D890" s="16"/>
      <c r="E890" s="16"/>
      <c r="F890" s="15"/>
      <c r="G890" s="15"/>
      <c r="H890" s="15"/>
      <c r="I890" s="15"/>
      <c r="J890" s="15"/>
      <c r="K890" s="15"/>
      <c r="L890" s="15"/>
      <c r="M890" s="15"/>
      <c r="N890" s="46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spans="1:28" ht="15.75" customHeight="1">
      <c r="A891" s="15"/>
      <c r="B891" s="15"/>
      <c r="C891" s="15"/>
      <c r="D891" s="16"/>
      <c r="E891" s="16"/>
      <c r="F891" s="15"/>
      <c r="G891" s="15"/>
      <c r="H891" s="15"/>
      <c r="I891" s="15"/>
      <c r="J891" s="15"/>
      <c r="K891" s="15"/>
      <c r="L891" s="15"/>
      <c r="M891" s="15"/>
      <c r="N891" s="46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spans="1:28" ht="15.75" customHeight="1">
      <c r="A892" s="15"/>
      <c r="B892" s="15"/>
      <c r="C892" s="15"/>
      <c r="D892" s="16"/>
      <c r="E892" s="16"/>
      <c r="F892" s="15"/>
      <c r="G892" s="15"/>
      <c r="H892" s="15"/>
      <c r="I892" s="15"/>
      <c r="J892" s="15"/>
      <c r="K892" s="15"/>
      <c r="L892" s="15"/>
      <c r="M892" s="15"/>
      <c r="N892" s="46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spans="1:28" ht="15.75" customHeight="1">
      <c r="A893" s="15"/>
      <c r="B893" s="15"/>
      <c r="C893" s="15"/>
      <c r="D893" s="16"/>
      <c r="E893" s="16"/>
      <c r="F893" s="15"/>
      <c r="G893" s="15"/>
      <c r="H893" s="15"/>
      <c r="I893" s="15"/>
      <c r="J893" s="15"/>
      <c r="K893" s="15"/>
      <c r="L893" s="15"/>
      <c r="M893" s="15"/>
      <c r="N893" s="46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 ht="15.75" customHeight="1">
      <c r="A894" s="15"/>
      <c r="B894" s="15"/>
      <c r="C894" s="15"/>
      <c r="D894" s="16"/>
      <c r="E894" s="16"/>
      <c r="F894" s="15"/>
      <c r="G894" s="15"/>
      <c r="H894" s="15"/>
      <c r="I894" s="15"/>
      <c r="J894" s="15"/>
      <c r="K894" s="15"/>
      <c r="L894" s="15"/>
      <c r="M894" s="15"/>
      <c r="N894" s="46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 ht="15.75" customHeight="1">
      <c r="A895" s="15"/>
      <c r="B895" s="15"/>
      <c r="C895" s="15"/>
      <c r="D895" s="16"/>
      <c r="E895" s="16"/>
      <c r="F895" s="15"/>
      <c r="G895" s="15"/>
      <c r="H895" s="15"/>
      <c r="I895" s="15"/>
      <c r="J895" s="15"/>
      <c r="K895" s="15"/>
      <c r="L895" s="15"/>
      <c r="M895" s="15"/>
      <c r="N895" s="46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 ht="15.75" customHeight="1">
      <c r="A896" s="15"/>
      <c r="B896" s="15"/>
      <c r="C896" s="15"/>
      <c r="D896" s="16"/>
      <c r="E896" s="16"/>
      <c r="F896" s="15"/>
      <c r="G896" s="15"/>
      <c r="H896" s="15"/>
      <c r="I896" s="15"/>
      <c r="J896" s="15"/>
      <c r="K896" s="15"/>
      <c r="L896" s="15"/>
      <c r="M896" s="15"/>
      <c r="N896" s="46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 ht="15.75" customHeight="1">
      <c r="A897" s="15"/>
      <c r="B897" s="15"/>
      <c r="C897" s="15"/>
      <c r="D897" s="16"/>
      <c r="E897" s="16"/>
      <c r="F897" s="15"/>
      <c r="G897" s="15"/>
      <c r="H897" s="15"/>
      <c r="I897" s="15"/>
      <c r="J897" s="15"/>
      <c r="K897" s="15"/>
      <c r="L897" s="15"/>
      <c r="M897" s="15"/>
      <c r="N897" s="46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 ht="15.75" customHeight="1">
      <c r="A898" s="15"/>
      <c r="B898" s="15"/>
      <c r="C898" s="15"/>
      <c r="D898" s="16"/>
      <c r="E898" s="16"/>
      <c r="F898" s="15"/>
      <c r="G898" s="15"/>
      <c r="H898" s="15"/>
      <c r="I898" s="15"/>
      <c r="J898" s="15"/>
      <c r="K898" s="15"/>
      <c r="L898" s="15"/>
      <c r="M898" s="15"/>
      <c r="N898" s="46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 ht="15.75" customHeight="1">
      <c r="A899" s="15"/>
      <c r="B899" s="15"/>
      <c r="C899" s="15"/>
      <c r="D899" s="16"/>
      <c r="E899" s="16"/>
      <c r="F899" s="15"/>
      <c r="G899" s="15"/>
      <c r="H899" s="15"/>
      <c r="I899" s="15"/>
      <c r="J899" s="15"/>
      <c r="K899" s="15"/>
      <c r="L899" s="15"/>
      <c r="M899" s="15"/>
      <c r="N899" s="46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 ht="15.75" customHeight="1">
      <c r="A900" s="15"/>
      <c r="B900" s="15"/>
      <c r="C900" s="15"/>
      <c r="D900" s="16"/>
      <c r="E900" s="16"/>
      <c r="F900" s="15"/>
      <c r="G900" s="15"/>
      <c r="H900" s="15"/>
      <c r="I900" s="15"/>
      <c r="J900" s="15"/>
      <c r="K900" s="15"/>
      <c r="L900" s="15"/>
      <c r="M900" s="15"/>
      <c r="N900" s="46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 ht="15.75" customHeight="1">
      <c r="A901" s="15"/>
      <c r="B901" s="15"/>
      <c r="C901" s="15"/>
      <c r="D901" s="16"/>
      <c r="E901" s="16"/>
      <c r="F901" s="15"/>
      <c r="G901" s="15"/>
      <c r="H901" s="15"/>
      <c r="I901" s="15"/>
      <c r="J901" s="15"/>
      <c r="K901" s="15"/>
      <c r="L901" s="15"/>
      <c r="M901" s="15"/>
      <c r="N901" s="46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 ht="15.75" customHeight="1">
      <c r="A902" s="15"/>
      <c r="B902" s="15"/>
      <c r="C902" s="15"/>
      <c r="D902" s="16"/>
      <c r="E902" s="16"/>
      <c r="F902" s="15"/>
      <c r="G902" s="15"/>
      <c r="H902" s="15"/>
      <c r="I902" s="15"/>
      <c r="J902" s="15"/>
      <c r="K902" s="15"/>
      <c r="L902" s="15"/>
      <c r="M902" s="15"/>
      <c r="N902" s="46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 ht="15.75" customHeight="1">
      <c r="A903" s="15"/>
      <c r="B903" s="15"/>
      <c r="C903" s="15"/>
      <c r="D903" s="16"/>
      <c r="E903" s="16"/>
      <c r="F903" s="15"/>
      <c r="G903" s="15"/>
      <c r="H903" s="15"/>
      <c r="I903" s="15"/>
      <c r="J903" s="15"/>
      <c r="K903" s="15"/>
      <c r="L903" s="15"/>
      <c r="M903" s="15"/>
      <c r="N903" s="46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 ht="15.75" customHeight="1">
      <c r="A904" s="15"/>
      <c r="B904" s="15"/>
      <c r="C904" s="15"/>
      <c r="D904" s="16"/>
      <c r="E904" s="16"/>
      <c r="F904" s="15"/>
      <c r="G904" s="15"/>
      <c r="H904" s="15"/>
      <c r="I904" s="15"/>
      <c r="J904" s="15"/>
      <c r="K904" s="15"/>
      <c r="L904" s="15"/>
      <c r="M904" s="15"/>
      <c r="N904" s="46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spans="1:28" ht="15.75" customHeight="1">
      <c r="A905" s="15"/>
      <c r="B905" s="15"/>
      <c r="C905" s="15"/>
      <c r="D905" s="16"/>
      <c r="E905" s="16"/>
      <c r="F905" s="15"/>
      <c r="G905" s="15"/>
      <c r="H905" s="15"/>
      <c r="I905" s="15"/>
      <c r="J905" s="15"/>
      <c r="K905" s="15"/>
      <c r="L905" s="15"/>
      <c r="M905" s="15"/>
      <c r="N905" s="46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 ht="15.75" customHeight="1">
      <c r="A906" s="15"/>
      <c r="B906" s="15"/>
      <c r="C906" s="15"/>
      <c r="D906" s="16"/>
      <c r="E906" s="16"/>
      <c r="F906" s="15"/>
      <c r="G906" s="15"/>
      <c r="H906" s="15"/>
      <c r="I906" s="15"/>
      <c r="J906" s="15"/>
      <c r="K906" s="15"/>
      <c r="L906" s="15"/>
      <c r="M906" s="15"/>
      <c r="N906" s="46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 ht="15.75" customHeight="1">
      <c r="A907" s="15"/>
      <c r="B907" s="15"/>
      <c r="C907" s="15"/>
      <c r="D907" s="16"/>
      <c r="E907" s="16"/>
      <c r="F907" s="15"/>
      <c r="G907" s="15"/>
      <c r="H907" s="15"/>
      <c r="I907" s="15"/>
      <c r="J907" s="15"/>
      <c r="K907" s="15"/>
      <c r="L907" s="15"/>
      <c r="M907" s="15"/>
      <c r="N907" s="46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 ht="15.75" customHeight="1">
      <c r="A908" s="15"/>
      <c r="B908" s="15"/>
      <c r="C908" s="15"/>
      <c r="D908" s="16"/>
      <c r="E908" s="16"/>
      <c r="F908" s="15"/>
      <c r="G908" s="15"/>
      <c r="H908" s="15"/>
      <c r="I908" s="15"/>
      <c r="J908" s="15"/>
      <c r="K908" s="15"/>
      <c r="L908" s="15"/>
      <c r="M908" s="15"/>
      <c r="N908" s="46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 ht="15.75" customHeight="1">
      <c r="A909" s="15"/>
      <c r="B909" s="15"/>
      <c r="C909" s="15"/>
      <c r="D909" s="16"/>
      <c r="E909" s="16"/>
      <c r="F909" s="15"/>
      <c r="G909" s="15"/>
      <c r="H909" s="15"/>
      <c r="I909" s="15"/>
      <c r="J909" s="15"/>
      <c r="K909" s="15"/>
      <c r="L909" s="15"/>
      <c r="M909" s="15"/>
      <c r="N909" s="46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 ht="15.75" customHeight="1">
      <c r="A910" s="15"/>
      <c r="B910" s="15"/>
      <c r="C910" s="15"/>
      <c r="D910" s="16"/>
      <c r="E910" s="16"/>
      <c r="F910" s="15"/>
      <c r="G910" s="15"/>
      <c r="H910" s="15"/>
      <c r="I910" s="15"/>
      <c r="J910" s="15"/>
      <c r="K910" s="15"/>
      <c r="L910" s="15"/>
      <c r="M910" s="15"/>
      <c r="N910" s="46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 ht="15.75" customHeight="1">
      <c r="A911" s="15"/>
      <c r="B911" s="15"/>
      <c r="C911" s="15"/>
      <c r="D911" s="16"/>
      <c r="E911" s="16"/>
      <c r="F911" s="15"/>
      <c r="G911" s="15"/>
      <c r="H911" s="15"/>
      <c r="I911" s="15"/>
      <c r="J911" s="15"/>
      <c r="K911" s="15"/>
      <c r="L911" s="15"/>
      <c r="M911" s="15"/>
      <c r="N911" s="46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 ht="15.75" customHeight="1">
      <c r="A912" s="15"/>
      <c r="B912" s="15"/>
      <c r="C912" s="15"/>
      <c r="D912" s="16"/>
      <c r="E912" s="16"/>
      <c r="F912" s="15"/>
      <c r="G912" s="15"/>
      <c r="H912" s="15"/>
      <c r="I912" s="15"/>
      <c r="J912" s="15"/>
      <c r="K912" s="15"/>
      <c r="L912" s="15"/>
      <c r="M912" s="15"/>
      <c r="N912" s="46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 ht="15.75" customHeight="1">
      <c r="A913" s="15"/>
      <c r="B913" s="15"/>
      <c r="C913" s="15"/>
      <c r="D913" s="16"/>
      <c r="E913" s="16"/>
      <c r="F913" s="15"/>
      <c r="G913" s="15"/>
      <c r="H913" s="15"/>
      <c r="I913" s="15"/>
      <c r="J913" s="15"/>
      <c r="K913" s="15"/>
      <c r="L913" s="15"/>
      <c r="M913" s="15"/>
      <c r="N913" s="46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 ht="15.75" customHeight="1">
      <c r="A914" s="15"/>
      <c r="B914" s="15"/>
      <c r="C914" s="15"/>
      <c r="D914" s="16"/>
      <c r="E914" s="16"/>
      <c r="F914" s="15"/>
      <c r="G914" s="15"/>
      <c r="H914" s="15"/>
      <c r="I914" s="15"/>
      <c r="J914" s="15"/>
      <c r="K914" s="15"/>
      <c r="L914" s="15"/>
      <c r="M914" s="15"/>
      <c r="N914" s="46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 ht="15.75" customHeight="1">
      <c r="A915" s="15"/>
      <c r="B915" s="15"/>
      <c r="C915" s="15"/>
      <c r="D915" s="16"/>
      <c r="E915" s="16"/>
      <c r="F915" s="15"/>
      <c r="G915" s="15"/>
      <c r="H915" s="15"/>
      <c r="I915" s="15"/>
      <c r="J915" s="15"/>
      <c r="K915" s="15"/>
      <c r="L915" s="15"/>
      <c r="M915" s="15"/>
      <c r="N915" s="46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 ht="15.75" customHeight="1">
      <c r="A916" s="15"/>
      <c r="B916" s="15"/>
      <c r="C916" s="15"/>
      <c r="D916" s="16"/>
      <c r="E916" s="16"/>
      <c r="F916" s="15"/>
      <c r="G916" s="15"/>
      <c r="H916" s="15"/>
      <c r="I916" s="15"/>
      <c r="J916" s="15"/>
      <c r="K916" s="15"/>
      <c r="L916" s="15"/>
      <c r="M916" s="15"/>
      <c r="N916" s="46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 ht="15.75" customHeight="1">
      <c r="A917" s="15"/>
      <c r="B917" s="15"/>
      <c r="C917" s="15"/>
      <c r="D917" s="16"/>
      <c r="E917" s="16"/>
      <c r="F917" s="15"/>
      <c r="G917" s="15"/>
      <c r="H917" s="15"/>
      <c r="I917" s="15"/>
      <c r="J917" s="15"/>
      <c r="K917" s="15"/>
      <c r="L917" s="15"/>
      <c r="M917" s="15"/>
      <c r="N917" s="46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 ht="15.75" customHeight="1">
      <c r="A918" s="15"/>
      <c r="B918" s="15"/>
      <c r="C918" s="15"/>
      <c r="D918" s="16"/>
      <c r="E918" s="16"/>
      <c r="F918" s="15"/>
      <c r="G918" s="15"/>
      <c r="H918" s="15"/>
      <c r="I918" s="15"/>
      <c r="J918" s="15"/>
      <c r="K918" s="15"/>
      <c r="L918" s="15"/>
      <c r="M918" s="15"/>
      <c r="N918" s="46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 ht="15.75" customHeight="1">
      <c r="A919" s="15"/>
      <c r="B919" s="15"/>
      <c r="C919" s="15"/>
      <c r="D919" s="16"/>
      <c r="E919" s="16"/>
      <c r="F919" s="15"/>
      <c r="G919" s="15"/>
      <c r="H919" s="15"/>
      <c r="I919" s="15"/>
      <c r="J919" s="15"/>
      <c r="K919" s="15"/>
      <c r="L919" s="15"/>
      <c r="M919" s="15"/>
      <c r="N919" s="46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 ht="15.75" customHeight="1">
      <c r="A920" s="15"/>
      <c r="B920" s="15"/>
      <c r="C920" s="15"/>
      <c r="D920" s="16"/>
      <c r="E920" s="16"/>
      <c r="F920" s="15"/>
      <c r="G920" s="15"/>
      <c r="H920" s="15"/>
      <c r="I920" s="15"/>
      <c r="J920" s="15"/>
      <c r="K920" s="15"/>
      <c r="L920" s="15"/>
      <c r="M920" s="15"/>
      <c r="N920" s="46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 ht="15.75" customHeight="1">
      <c r="A921" s="15"/>
      <c r="B921" s="15"/>
      <c r="C921" s="15"/>
      <c r="D921" s="16"/>
      <c r="E921" s="16"/>
      <c r="F921" s="15"/>
      <c r="G921" s="15"/>
      <c r="H921" s="15"/>
      <c r="I921" s="15"/>
      <c r="J921" s="15"/>
      <c r="K921" s="15"/>
      <c r="L921" s="15"/>
      <c r="M921" s="15"/>
      <c r="N921" s="46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 ht="15.75" customHeight="1">
      <c r="A922" s="15"/>
      <c r="B922" s="15"/>
      <c r="C922" s="15"/>
      <c r="D922" s="16"/>
      <c r="E922" s="16"/>
      <c r="F922" s="15"/>
      <c r="G922" s="15"/>
      <c r="H922" s="15"/>
      <c r="I922" s="15"/>
      <c r="J922" s="15"/>
      <c r="K922" s="15"/>
      <c r="L922" s="15"/>
      <c r="M922" s="15"/>
      <c r="N922" s="46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 ht="15.75" customHeight="1">
      <c r="A923" s="15"/>
      <c r="B923" s="15"/>
      <c r="C923" s="15"/>
      <c r="D923" s="16"/>
      <c r="E923" s="16"/>
      <c r="F923" s="15"/>
      <c r="G923" s="15"/>
      <c r="H923" s="15"/>
      <c r="I923" s="15"/>
      <c r="J923" s="15"/>
      <c r="K923" s="15"/>
      <c r="L923" s="15"/>
      <c r="M923" s="15"/>
      <c r="N923" s="46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 ht="15.75" customHeight="1">
      <c r="A924" s="15"/>
      <c r="B924" s="15"/>
      <c r="C924" s="15"/>
      <c r="D924" s="16"/>
      <c r="E924" s="16"/>
      <c r="F924" s="15"/>
      <c r="G924" s="15"/>
      <c r="H924" s="15"/>
      <c r="I924" s="15"/>
      <c r="J924" s="15"/>
      <c r="K924" s="15"/>
      <c r="L924" s="15"/>
      <c r="M924" s="15"/>
      <c r="N924" s="46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 ht="15.75" customHeight="1">
      <c r="A925" s="15"/>
      <c r="B925" s="15"/>
      <c r="C925" s="15"/>
      <c r="D925" s="16"/>
      <c r="E925" s="16"/>
      <c r="F925" s="15"/>
      <c r="G925" s="15"/>
      <c r="H925" s="15"/>
      <c r="I925" s="15"/>
      <c r="J925" s="15"/>
      <c r="K925" s="15"/>
      <c r="L925" s="15"/>
      <c r="M925" s="15"/>
      <c r="N925" s="46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 ht="15.75" customHeight="1">
      <c r="A926" s="15"/>
      <c r="B926" s="15"/>
      <c r="C926" s="15"/>
      <c r="D926" s="16"/>
      <c r="E926" s="16"/>
      <c r="F926" s="15"/>
      <c r="G926" s="15"/>
      <c r="H926" s="15"/>
      <c r="I926" s="15"/>
      <c r="J926" s="15"/>
      <c r="K926" s="15"/>
      <c r="L926" s="15"/>
      <c r="M926" s="15"/>
      <c r="N926" s="46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 ht="15.75" customHeight="1">
      <c r="A927" s="15"/>
      <c r="B927" s="15"/>
      <c r="C927" s="15"/>
      <c r="D927" s="16"/>
      <c r="E927" s="16"/>
      <c r="F927" s="15"/>
      <c r="G927" s="15"/>
      <c r="H927" s="15"/>
      <c r="I927" s="15"/>
      <c r="J927" s="15"/>
      <c r="K927" s="15"/>
      <c r="L927" s="15"/>
      <c r="M927" s="15"/>
      <c r="N927" s="46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 ht="15.75" customHeight="1">
      <c r="A928" s="15"/>
      <c r="B928" s="15"/>
      <c r="C928" s="15"/>
      <c r="D928" s="16"/>
      <c r="E928" s="16"/>
      <c r="F928" s="15"/>
      <c r="G928" s="15"/>
      <c r="H928" s="15"/>
      <c r="I928" s="15"/>
      <c r="J928" s="15"/>
      <c r="K928" s="15"/>
      <c r="L928" s="15"/>
      <c r="M928" s="15"/>
      <c r="N928" s="46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 ht="15.75" customHeight="1">
      <c r="A929" s="15"/>
      <c r="B929" s="15"/>
      <c r="C929" s="15"/>
      <c r="D929" s="16"/>
      <c r="E929" s="16"/>
      <c r="F929" s="15"/>
      <c r="G929" s="15"/>
      <c r="H929" s="15"/>
      <c r="I929" s="15"/>
      <c r="J929" s="15"/>
      <c r="K929" s="15"/>
      <c r="L929" s="15"/>
      <c r="M929" s="15"/>
      <c r="N929" s="46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 ht="15.75" customHeight="1">
      <c r="A930" s="15"/>
      <c r="B930" s="15"/>
      <c r="C930" s="15"/>
      <c r="D930" s="16"/>
      <c r="E930" s="16"/>
      <c r="F930" s="15"/>
      <c r="G930" s="15"/>
      <c r="H930" s="15"/>
      <c r="I930" s="15"/>
      <c r="J930" s="15"/>
      <c r="K930" s="15"/>
      <c r="L930" s="15"/>
      <c r="M930" s="15"/>
      <c r="N930" s="46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 ht="15.75" customHeight="1">
      <c r="A931" s="15"/>
      <c r="B931" s="15"/>
      <c r="C931" s="15"/>
      <c r="D931" s="16"/>
      <c r="E931" s="16"/>
      <c r="F931" s="15"/>
      <c r="G931" s="15"/>
      <c r="H931" s="15"/>
      <c r="I931" s="15"/>
      <c r="J931" s="15"/>
      <c r="K931" s="15"/>
      <c r="L931" s="15"/>
      <c r="M931" s="15"/>
      <c r="N931" s="46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 ht="15.75" customHeight="1">
      <c r="A932" s="15"/>
      <c r="B932" s="15"/>
      <c r="C932" s="15"/>
      <c r="D932" s="16"/>
      <c r="E932" s="16"/>
      <c r="F932" s="15"/>
      <c r="G932" s="15"/>
      <c r="H932" s="15"/>
      <c r="I932" s="15"/>
      <c r="J932" s="15"/>
      <c r="K932" s="15"/>
      <c r="L932" s="15"/>
      <c r="M932" s="15"/>
      <c r="N932" s="46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 ht="15.75" customHeight="1">
      <c r="A933" s="15"/>
      <c r="B933" s="15"/>
      <c r="C933" s="15"/>
      <c r="D933" s="16"/>
      <c r="E933" s="16"/>
      <c r="F933" s="15"/>
      <c r="G933" s="15"/>
      <c r="H933" s="15"/>
      <c r="I933" s="15"/>
      <c r="J933" s="15"/>
      <c r="K933" s="15"/>
      <c r="L933" s="15"/>
      <c r="M933" s="15"/>
      <c r="N933" s="46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 ht="15.75" customHeight="1">
      <c r="A934" s="15"/>
      <c r="B934" s="15"/>
      <c r="C934" s="15"/>
      <c r="D934" s="16"/>
      <c r="E934" s="16"/>
      <c r="F934" s="15"/>
      <c r="G934" s="15"/>
      <c r="H934" s="15"/>
      <c r="I934" s="15"/>
      <c r="J934" s="15"/>
      <c r="K934" s="15"/>
      <c r="L934" s="15"/>
      <c r="M934" s="15"/>
      <c r="N934" s="46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 ht="15.75" customHeight="1">
      <c r="A935" s="15"/>
      <c r="B935" s="15"/>
      <c r="C935" s="15"/>
      <c r="D935" s="16"/>
      <c r="E935" s="16"/>
      <c r="F935" s="15"/>
      <c r="G935" s="15"/>
      <c r="H935" s="15"/>
      <c r="I935" s="15"/>
      <c r="J935" s="15"/>
      <c r="K935" s="15"/>
      <c r="L935" s="15"/>
      <c r="M935" s="15"/>
      <c r="N935" s="46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 ht="15.75" customHeight="1">
      <c r="A936" s="15"/>
      <c r="B936" s="15"/>
      <c r="C936" s="15"/>
      <c r="D936" s="16"/>
      <c r="E936" s="16"/>
      <c r="F936" s="15"/>
      <c r="G936" s="15"/>
      <c r="H936" s="15"/>
      <c r="I936" s="15"/>
      <c r="J936" s="15"/>
      <c r="K936" s="15"/>
      <c r="L936" s="15"/>
      <c r="M936" s="15"/>
      <c r="N936" s="46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 ht="15.75" customHeight="1">
      <c r="A937" s="15"/>
      <c r="B937" s="15"/>
      <c r="C937" s="15"/>
      <c r="D937" s="16"/>
      <c r="E937" s="16"/>
      <c r="F937" s="15"/>
      <c r="G937" s="15"/>
      <c r="H937" s="15"/>
      <c r="I937" s="15"/>
      <c r="J937" s="15"/>
      <c r="K937" s="15"/>
      <c r="L937" s="15"/>
      <c r="M937" s="15"/>
      <c r="N937" s="46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 ht="15.75" customHeight="1">
      <c r="A938" s="15"/>
      <c r="B938" s="15"/>
      <c r="C938" s="15"/>
      <c r="D938" s="16"/>
      <c r="E938" s="16"/>
      <c r="F938" s="15"/>
      <c r="G938" s="15"/>
      <c r="H938" s="15"/>
      <c r="I938" s="15"/>
      <c r="J938" s="15"/>
      <c r="K938" s="15"/>
      <c r="L938" s="15"/>
      <c r="M938" s="15"/>
      <c r="N938" s="46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 ht="15.75" customHeight="1">
      <c r="A939" s="15"/>
      <c r="B939" s="15"/>
      <c r="C939" s="15"/>
      <c r="D939" s="16"/>
      <c r="E939" s="16"/>
      <c r="F939" s="15"/>
      <c r="G939" s="15"/>
      <c r="H939" s="15"/>
      <c r="I939" s="15"/>
      <c r="J939" s="15"/>
      <c r="K939" s="15"/>
      <c r="L939" s="15"/>
      <c r="M939" s="15"/>
      <c r="N939" s="46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 ht="15.75" customHeight="1">
      <c r="A940" s="15"/>
      <c r="B940" s="15"/>
      <c r="C940" s="15"/>
      <c r="D940" s="16"/>
      <c r="E940" s="16"/>
      <c r="F940" s="15"/>
      <c r="G940" s="15"/>
      <c r="H940" s="15"/>
      <c r="I940" s="15"/>
      <c r="J940" s="15"/>
      <c r="K940" s="15"/>
      <c r="L940" s="15"/>
      <c r="M940" s="15"/>
      <c r="N940" s="46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 ht="15.75" customHeight="1">
      <c r="A941" s="15"/>
      <c r="B941" s="15"/>
      <c r="C941" s="15"/>
      <c r="D941" s="16"/>
      <c r="E941" s="16"/>
      <c r="F941" s="15"/>
      <c r="G941" s="15"/>
      <c r="H941" s="15"/>
      <c r="I941" s="15"/>
      <c r="J941" s="15"/>
      <c r="K941" s="15"/>
      <c r="L941" s="15"/>
      <c r="M941" s="15"/>
      <c r="N941" s="46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 ht="15.75" customHeight="1">
      <c r="A942" s="15"/>
      <c r="B942" s="15"/>
      <c r="C942" s="15"/>
      <c r="D942" s="16"/>
      <c r="E942" s="16"/>
      <c r="F942" s="15"/>
      <c r="G942" s="15"/>
      <c r="H942" s="15"/>
      <c r="I942" s="15"/>
      <c r="J942" s="15"/>
      <c r="K942" s="15"/>
      <c r="L942" s="15"/>
      <c r="M942" s="15"/>
      <c r="N942" s="46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 ht="15.75" customHeight="1">
      <c r="A943" s="15"/>
      <c r="B943" s="15"/>
      <c r="C943" s="15"/>
      <c r="D943" s="16"/>
      <c r="E943" s="16"/>
      <c r="F943" s="15"/>
      <c r="G943" s="15"/>
      <c r="H943" s="15"/>
      <c r="I943" s="15"/>
      <c r="J943" s="15"/>
      <c r="K943" s="15"/>
      <c r="L943" s="15"/>
      <c r="M943" s="15"/>
      <c r="N943" s="46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 ht="15.75" customHeight="1">
      <c r="A944" s="15"/>
      <c r="B944" s="15"/>
      <c r="C944" s="15"/>
      <c r="D944" s="16"/>
      <c r="E944" s="16"/>
      <c r="F944" s="15"/>
      <c r="G944" s="15"/>
      <c r="H944" s="15"/>
      <c r="I944" s="15"/>
      <c r="J944" s="15"/>
      <c r="K944" s="15"/>
      <c r="L944" s="15"/>
      <c r="M944" s="15"/>
      <c r="N944" s="46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 ht="15.75" customHeight="1">
      <c r="A945" s="15"/>
      <c r="B945" s="15"/>
      <c r="C945" s="15"/>
      <c r="D945" s="16"/>
      <c r="E945" s="16"/>
      <c r="F945" s="15"/>
      <c r="G945" s="15"/>
      <c r="H945" s="15"/>
      <c r="I945" s="15"/>
      <c r="J945" s="15"/>
      <c r="K945" s="15"/>
      <c r="L945" s="15"/>
      <c r="M945" s="15"/>
      <c r="N945" s="46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 ht="15.75" customHeight="1">
      <c r="A946" s="15"/>
      <c r="B946" s="15"/>
      <c r="C946" s="15"/>
      <c r="D946" s="16"/>
      <c r="E946" s="16"/>
      <c r="F946" s="15"/>
      <c r="G946" s="15"/>
      <c r="H946" s="15"/>
      <c r="I946" s="15"/>
      <c r="J946" s="15"/>
      <c r="K946" s="15"/>
      <c r="L946" s="15"/>
      <c r="M946" s="15"/>
      <c r="N946" s="46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 ht="15.75" customHeight="1">
      <c r="A947" s="15"/>
      <c r="B947" s="15"/>
      <c r="C947" s="15"/>
      <c r="D947" s="16"/>
      <c r="E947" s="16"/>
      <c r="F947" s="15"/>
      <c r="G947" s="15"/>
      <c r="H947" s="15"/>
      <c r="I947" s="15"/>
      <c r="J947" s="15"/>
      <c r="K947" s="15"/>
      <c r="L947" s="15"/>
      <c r="M947" s="15"/>
      <c r="N947" s="46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 ht="15.75" customHeight="1">
      <c r="A948" s="15"/>
      <c r="B948" s="15"/>
      <c r="C948" s="15"/>
      <c r="D948" s="16"/>
      <c r="E948" s="16"/>
      <c r="F948" s="15"/>
      <c r="G948" s="15"/>
      <c r="H948" s="15"/>
      <c r="I948" s="15"/>
      <c r="J948" s="15"/>
      <c r="K948" s="15"/>
      <c r="L948" s="15"/>
      <c r="M948" s="15"/>
      <c r="N948" s="46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 ht="15.75" customHeight="1">
      <c r="A949" s="15"/>
      <c r="B949" s="15"/>
      <c r="C949" s="15"/>
      <c r="D949" s="16"/>
      <c r="E949" s="16"/>
      <c r="F949" s="15"/>
      <c r="G949" s="15"/>
      <c r="H949" s="15"/>
      <c r="I949" s="15"/>
      <c r="J949" s="15"/>
      <c r="K949" s="15"/>
      <c r="L949" s="15"/>
      <c r="M949" s="15"/>
      <c r="N949" s="46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spans="1:28" ht="15.75" customHeight="1">
      <c r="A950" s="15"/>
      <c r="B950" s="15"/>
      <c r="C950" s="15"/>
      <c r="D950" s="16"/>
      <c r="E950" s="16"/>
      <c r="F950" s="15"/>
      <c r="G950" s="15"/>
      <c r="H950" s="15"/>
      <c r="I950" s="15"/>
      <c r="J950" s="15"/>
      <c r="K950" s="15"/>
      <c r="L950" s="15"/>
      <c r="M950" s="15"/>
      <c r="N950" s="46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spans="1:28" ht="15.75" customHeight="1">
      <c r="A951" s="15"/>
      <c r="B951" s="15"/>
      <c r="C951" s="15"/>
      <c r="D951" s="16"/>
      <c r="E951" s="16"/>
      <c r="F951" s="15"/>
      <c r="G951" s="15"/>
      <c r="H951" s="15"/>
      <c r="I951" s="15"/>
      <c r="J951" s="15"/>
      <c r="K951" s="15"/>
      <c r="L951" s="15"/>
      <c r="M951" s="15"/>
      <c r="N951" s="46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spans="1:28" ht="15.75" customHeight="1">
      <c r="A952" s="15"/>
      <c r="B952" s="15"/>
      <c r="C952" s="15"/>
      <c r="D952" s="16"/>
      <c r="E952" s="16"/>
      <c r="F952" s="15"/>
      <c r="G952" s="15"/>
      <c r="H952" s="15"/>
      <c r="I952" s="15"/>
      <c r="J952" s="15"/>
      <c r="K952" s="15"/>
      <c r="L952" s="15"/>
      <c r="M952" s="15"/>
      <c r="N952" s="46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spans="1:28" ht="15.75" customHeight="1">
      <c r="A953" s="15"/>
      <c r="B953" s="15"/>
      <c r="C953" s="15"/>
      <c r="D953" s="16"/>
      <c r="E953" s="16"/>
      <c r="F953" s="15"/>
      <c r="G953" s="15"/>
      <c r="H953" s="15"/>
      <c r="I953" s="15"/>
      <c r="J953" s="15"/>
      <c r="K953" s="15"/>
      <c r="L953" s="15"/>
      <c r="M953" s="15"/>
      <c r="N953" s="46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spans="1:28" ht="15.75" customHeight="1">
      <c r="A954" s="15"/>
      <c r="B954" s="15"/>
      <c r="C954" s="15"/>
      <c r="D954" s="16"/>
      <c r="E954" s="16"/>
      <c r="F954" s="15"/>
      <c r="G954" s="15"/>
      <c r="H954" s="15"/>
      <c r="I954" s="15"/>
      <c r="J954" s="15"/>
      <c r="K954" s="15"/>
      <c r="L954" s="15"/>
      <c r="M954" s="15"/>
      <c r="N954" s="46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 ht="15.75" customHeight="1">
      <c r="A955" s="15"/>
      <c r="B955" s="15"/>
      <c r="C955" s="15"/>
      <c r="D955" s="16"/>
      <c r="E955" s="16"/>
      <c r="F955" s="15"/>
      <c r="G955" s="15"/>
      <c r="H955" s="15"/>
      <c r="I955" s="15"/>
      <c r="J955" s="15"/>
      <c r="K955" s="15"/>
      <c r="L955" s="15"/>
      <c r="M955" s="15"/>
      <c r="N955" s="46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 ht="15.75" customHeight="1">
      <c r="A956" s="15"/>
      <c r="B956" s="15"/>
      <c r="C956" s="15"/>
      <c r="D956" s="16"/>
      <c r="E956" s="16"/>
      <c r="F956" s="15"/>
      <c r="G956" s="15"/>
      <c r="H956" s="15"/>
      <c r="I956" s="15"/>
      <c r="J956" s="15"/>
      <c r="K956" s="15"/>
      <c r="L956" s="15"/>
      <c r="M956" s="15"/>
      <c r="N956" s="46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 ht="15.75" customHeight="1">
      <c r="A957" s="15"/>
      <c r="B957" s="15"/>
      <c r="C957" s="15"/>
      <c r="D957" s="16"/>
      <c r="E957" s="16"/>
      <c r="F957" s="15"/>
      <c r="G957" s="15"/>
      <c r="H957" s="15"/>
      <c r="I957" s="15"/>
      <c r="J957" s="15"/>
      <c r="K957" s="15"/>
      <c r="L957" s="15"/>
      <c r="M957" s="15"/>
      <c r="N957" s="46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spans="1:28" ht="15.75" customHeight="1">
      <c r="A958" s="15"/>
      <c r="B958" s="15"/>
      <c r="C958" s="15"/>
      <c r="D958" s="16"/>
      <c r="E958" s="16"/>
      <c r="F958" s="15"/>
      <c r="G958" s="15"/>
      <c r="H958" s="15"/>
      <c r="I958" s="15"/>
      <c r="J958" s="15"/>
      <c r="K958" s="15"/>
      <c r="L958" s="15"/>
      <c r="M958" s="15"/>
      <c r="N958" s="46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spans="1:28" ht="15.75" customHeight="1">
      <c r="A959" s="15"/>
      <c r="B959" s="15"/>
      <c r="C959" s="15"/>
      <c r="D959" s="16"/>
      <c r="E959" s="16"/>
      <c r="F959" s="15"/>
      <c r="G959" s="15"/>
      <c r="H959" s="15"/>
      <c r="I959" s="15"/>
      <c r="J959" s="15"/>
      <c r="K959" s="15"/>
      <c r="L959" s="15"/>
      <c r="M959" s="15"/>
      <c r="N959" s="46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spans="1:28" ht="15.75" customHeight="1">
      <c r="A960" s="15"/>
      <c r="B960" s="15"/>
      <c r="C960" s="15"/>
      <c r="D960" s="16"/>
      <c r="E960" s="16"/>
      <c r="F960" s="15"/>
      <c r="G960" s="15"/>
      <c r="H960" s="15"/>
      <c r="I960" s="15"/>
      <c r="J960" s="15"/>
      <c r="K960" s="15"/>
      <c r="L960" s="15"/>
      <c r="M960" s="15"/>
      <c r="N960" s="46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spans="1:28" ht="15.75" customHeight="1">
      <c r="A961" s="15"/>
      <c r="B961" s="15"/>
      <c r="C961" s="15"/>
      <c r="D961" s="16"/>
      <c r="E961" s="16"/>
      <c r="F961" s="15"/>
      <c r="G961" s="15"/>
      <c r="H961" s="15"/>
      <c r="I961" s="15"/>
      <c r="J961" s="15"/>
      <c r="K961" s="15"/>
      <c r="L961" s="15"/>
      <c r="M961" s="15"/>
      <c r="N961" s="46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spans="1:28" ht="15.75" customHeight="1">
      <c r="A962" s="15"/>
      <c r="B962" s="15"/>
      <c r="C962" s="15"/>
      <c r="D962" s="16"/>
      <c r="E962" s="16"/>
      <c r="F962" s="15"/>
      <c r="G962" s="15"/>
      <c r="H962" s="15"/>
      <c r="I962" s="15"/>
      <c r="J962" s="15"/>
      <c r="K962" s="15"/>
      <c r="L962" s="15"/>
      <c r="M962" s="15"/>
      <c r="N962" s="46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spans="1:28" ht="15.75" customHeight="1">
      <c r="A963" s="15"/>
      <c r="B963" s="15"/>
      <c r="C963" s="15"/>
      <c r="D963" s="16"/>
      <c r="E963" s="16"/>
      <c r="F963" s="15"/>
      <c r="G963" s="15"/>
      <c r="H963" s="15"/>
      <c r="I963" s="15"/>
      <c r="J963" s="15"/>
      <c r="K963" s="15"/>
      <c r="L963" s="15"/>
      <c r="M963" s="15"/>
      <c r="N963" s="46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spans="1:28" ht="15.75" customHeight="1">
      <c r="A964" s="15"/>
      <c r="B964" s="15"/>
      <c r="C964" s="15"/>
      <c r="D964" s="16"/>
      <c r="E964" s="16"/>
      <c r="F964" s="15"/>
      <c r="G964" s="15"/>
      <c r="H964" s="15"/>
      <c r="I964" s="15"/>
      <c r="J964" s="15"/>
      <c r="K964" s="15"/>
      <c r="L964" s="15"/>
      <c r="M964" s="15"/>
      <c r="N964" s="46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spans="1:28" ht="15.75" customHeight="1">
      <c r="A965" s="15"/>
      <c r="B965" s="15"/>
      <c r="C965" s="15"/>
      <c r="D965" s="16"/>
      <c r="E965" s="16"/>
      <c r="F965" s="15"/>
      <c r="G965" s="15"/>
      <c r="H965" s="15"/>
      <c r="I965" s="15"/>
      <c r="J965" s="15"/>
      <c r="K965" s="15"/>
      <c r="L965" s="15"/>
      <c r="M965" s="15"/>
      <c r="N965" s="46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spans="1:28" ht="15.75" customHeight="1">
      <c r="A966" s="15"/>
      <c r="B966" s="15"/>
      <c r="C966" s="15"/>
      <c r="D966" s="16"/>
      <c r="E966" s="16"/>
      <c r="F966" s="15"/>
      <c r="G966" s="15"/>
      <c r="H966" s="15"/>
      <c r="I966" s="15"/>
      <c r="J966" s="15"/>
      <c r="K966" s="15"/>
      <c r="L966" s="15"/>
      <c r="M966" s="15"/>
      <c r="N966" s="46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spans="1:28" ht="15.75" customHeight="1">
      <c r="A967" s="15"/>
      <c r="B967" s="15"/>
      <c r="C967" s="15"/>
      <c r="D967" s="16"/>
      <c r="E967" s="16"/>
      <c r="F967" s="15"/>
      <c r="G967" s="15"/>
      <c r="H967" s="15"/>
      <c r="I967" s="15"/>
      <c r="J967" s="15"/>
      <c r="K967" s="15"/>
      <c r="L967" s="15"/>
      <c r="M967" s="15"/>
      <c r="N967" s="46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spans="1:28" ht="15.75" customHeight="1">
      <c r="A968" s="15"/>
      <c r="B968" s="15"/>
      <c r="C968" s="15"/>
      <c r="D968" s="16"/>
      <c r="E968" s="16"/>
      <c r="F968" s="15"/>
      <c r="G968" s="15"/>
      <c r="H968" s="15"/>
      <c r="I968" s="15"/>
      <c r="J968" s="15"/>
      <c r="K968" s="15"/>
      <c r="L968" s="15"/>
      <c r="M968" s="15"/>
      <c r="N968" s="46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spans="1:28" ht="15.75" customHeight="1">
      <c r="A969" s="15"/>
      <c r="B969" s="15"/>
      <c r="C969" s="15"/>
      <c r="D969" s="16"/>
      <c r="E969" s="16"/>
      <c r="F969" s="15"/>
      <c r="G969" s="15"/>
      <c r="H969" s="15"/>
      <c r="I969" s="15"/>
      <c r="J969" s="15"/>
      <c r="K969" s="15"/>
      <c r="L969" s="15"/>
      <c r="M969" s="15"/>
      <c r="N969" s="46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spans="1:28" ht="15.75" customHeight="1">
      <c r="A970" s="15"/>
      <c r="B970" s="15"/>
      <c r="C970" s="15"/>
      <c r="D970" s="16"/>
      <c r="E970" s="16"/>
      <c r="F970" s="15"/>
      <c r="G970" s="15"/>
      <c r="H970" s="15"/>
      <c r="I970" s="15"/>
      <c r="J970" s="15"/>
      <c r="K970" s="15"/>
      <c r="L970" s="15"/>
      <c r="M970" s="15"/>
      <c r="N970" s="46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spans="1:28" ht="15.75" customHeight="1">
      <c r="A971" s="15"/>
      <c r="B971" s="15"/>
      <c r="C971" s="15"/>
      <c r="D971" s="16"/>
      <c r="E971" s="16"/>
      <c r="F971" s="15"/>
      <c r="G971" s="15"/>
      <c r="H971" s="15"/>
      <c r="I971" s="15"/>
      <c r="J971" s="15"/>
      <c r="K971" s="15"/>
      <c r="L971" s="15"/>
      <c r="M971" s="15"/>
      <c r="N971" s="46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spans="1:28" ht="15.75" customHeight="1">
      <c r="A972" s="15"/>
      <c r="B972" s="15"/>
      <c r="C972" s="15"/>
      <c r="D972" s="16"/>
      <c r="E972" s="16"/>
      <c r="F972" s="15"/>
      <c r="G972" s="15"/>
      <c r="H972" s="15"/>
      <c r="I972" s="15"/>
      <c r="J972" s="15"/>
      <c r="K972" s="15"/>
      <c r="L972" s="15"/>
      <c r="M972" s="15"/>
      <c r="N972" s="46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spans="1:28" ht="15.75" customHeight="1">
      <c r="A973" s="15"/>
      <c r="B973" s="15"/>
      <c r="C973" s="15"/>
      <c r="D973" s="16"/>
      <c r="E973" s="16"/>
      <c r="F973" s="15"/>
      <c r="G973" s="15"/>
      <c r="H973" s="15"/>
      <c r="I973" s="15"/>
      <c r="J973" s="15"/>
      <c r="K973" s="15"/>
      <c r="L973" s="15"/>
      <c r="M973" s="15"/>
      <c r="N973" s="46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spans="1:28" ht="15.75" customHeight="1">
      <c r="A974" s="15"/>
      <c r="B974" s="15"/>
      <c r="C974" s="15"/>
      <c r="D974" s="16"/>
      <c r="E974" s="16"/>
      <c r="F974" s="15"/>
      <c r="G974" s="15"/>
      <c r="H974" s="15"/>
      <c r="I974" s="15"/>
      <c r="J974" s="15"/>
      <c r="K974" s="15"/>
      <c r="L974" s="15"/>
      <c r="M974" s="15"/>
      <c r="N974" s="46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spans="1:28" ht="15.75" customHeight="1">
      <c r="A975" s="15"/>
      <c r="B975" s="15"/>
      <c r="C975" s="15"/>
      <c r="D975" s="16"/>
      <c r="E975" s="16"/>
      <c r="F975" s="15"/>
      <c r="G975" s="15"/>
      <c r="H975" s="15"/>
      <c r="I975" s="15"/>
      <c r="J975" s="15"/>
      <c r="K975" s="15"/>
      <c r="L975" s="15"/>
      <c r="M975" s="15"/>
      <c r="N975" s="46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spans="1:28" ht="15.75" customHeight="1">
      <c r="A976" s="15"/>
      <c r="B976" s="15"/>
      <c r="C976" s="15"/>
      <c r="D976" s="16"/>
      <c r="E976" s="16"/>
      <c r="F976" s="15"/>
      <c r="G976" s="15"/>
      <c r="H976" s="15"/>
      <c r="I976" s="15"/>
      <c r="J976" s="15"/>
      <c r="K976" s="15"/>
      <c r="L976" s="15"/>
      <c r="M976" s="15"/>
      <c r="N976" s="46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spans="1:28" ht="15.75" customHeight="1">
      <c r="A977" s="15"/>
      <c r="B977" s="15"/>
      <c r="C977" s="15"/>
      <c r="D977" s="16"/>
      <c r="E977" s="16"/>
      <c r="F977" s="15"/>
      <c r="G977" s="15"/>
      <c r="H977" s="15"/>
      <c r="I977" s="15"/>
      <c r="J977" s="15"/>
      <c r="K977" s="15"/>
      <c r="L977" s="15"/>
      <c r="M977" s="15"/>
      <c r="N977" s="46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spans="1:28" ht="15.75" customHeight="1">
      <c r="A978" s="15"/>
      <c r="B978" s="15"/>
      <c r="C978" s="15"/>
      <c r="D978" s="16"/>
      <c r="E978" s="16"/>
      <c r="F978" s="15"/>
      <c r="G978" s="15"/>
      <c r="H978" s="15"/>
      <c r="I978" s="15"/>
      <c r="J978" s="15"/>
      <c r="K978" s="15"/>
      <c r="L978" s="15"/>
      <c r="M978" s="15"/>
      <c r="N978" s="46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spans="1:28" ht="15.75" customHeight="1">
      <c r="A979" s="15"/>
      <c r="B979" s="15"/>
      <c r="C979" s="15"/>
      <c r="D979" s="16"/>
      <c r="E979" s="16"/>
      <c r="F979" s="15"/>
      <c r="G979" s="15"/>
      <c r="H979" s="15"/>
      <c r="I979" s="15"/>
      <c r="J979" s="15"/>
      <c r="K979" s="15"/>
      <c r="L979" s="15"/>
      <c r="M979" s="15"/>
      <c r="N979" s="46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spans="1:28" ht="15.75" customHeight="1">
      <c r="A980" s="15"/>
      <c r="B980" s="15"/>
      <c r="C980" s="15"/>
      <c r="D980" s="16"/>
      <c r="E980" s="16"/>
      <c r="F980" s="15"/>
      <c r="G980" s="15"/>
      <c r="H980" s="15"/>
      <c r="I980" s="15"/>
      <c r="J980" s="15"/>
      <c r="K980" s="15"/>
      <c r="L980" s="15"/>
      <c r="M980" s="15"/>
      <c r="N980" s="46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spans="1:28" ht="15.75" customHeight="1">
      <c r="A981" s="15"/>
      <c r="B981" s="15"/>
      <c r="C981" s="15"/>
      <c r="D981" s="16"/>
      <c r="E981" s="16"/>
      <c r="F981" s="15"/>
      <c r="G981" s="15"/>
      <c r="H981" s="15"/>
      <c r="I981" s="15"/>
      <c r="J981" s="15"/>
      <c r="K981" s="15"/>
      <c r="L981" s="15"/>
      <c r="M981" s="15"/>
      <c r="N981" s="46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spans="1:28" ht="15.75" customHeight="1">
      <c r="A982" s="15"/>
      <c r="B982" s="15"/>
      <c r="C982" s="15"/>
      <c r="D982" s="16"/>
      <c r="E982" s="16"/>
      <c r="F982" s="15"/>
      <c r="G982" s="15"/>
      <c r="H982" s="15"/>
      <c r="I982" s="15"/>
      <c r="J982" s="15"/>
      <c r="K982" s="15"/>
      <c r="L982" s="15"/>
      <c r="M982" s="15"/>
      <c r="N982" s="46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spans="1:28" ht="15.75" customHeight="1">
      <c r="A983" s="15"/>
      <c r="B983" s="15"/>
      <c r="C983" s="15"/>
      <c r="D983" s="16"/>
      <c r="E983" s="16"/>
      <c r="F983" s="15"/>
      <c r="G983" s="15"/>
      <c r="H983" s="15"/>
      <c r="I983" s="15"/>
      <c r="J983" s="15"/>
      <c r="K983" s="15"/>
      <c r="L983" s="15"/>
      <c r="M983" s="15"/>
      <c r="N983" s="46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spans="1:28" ht="15.75" customHeight="1">
      <c r="A984" s="15"/>
      <c r="B984" s="15"/>
      <c r="C984" s="15"/>
      <c r="D984" s="16"/>
      <c r="E984" s="16"/>
      <c r="F984" s="15"/>
      <c r="G984" s="15"/>
      <c r="H984" s="15"/>
      <c r="I984" s="15"/>
      <c r="J984" s="15"/>
      <c r="K984" s="15"/>
      <c r="L984" s="15"/>
      <c r="M984" s="15"/>
      <c r="N984" s="46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spans="1:28" ht="15.75" customHeight="1">
      <c r="A985" s="15"/>
      <c r="B985" s="15"/>
      <c r="C985" s="15"/>
      <c r="D985" s="16"/>
      <c r="E985" s="16"/>
      <c r="F985" s="15"/>
      <c r="G985" s="15"/>
      <c r="H985" s="15"/>
      <c r="I985" s="15"/>
      <c r="J985" s="15"/>
      <c r="K985" s="15"/>
      <c r="L985" s="15"/>
      <c r="M985" s="15"/>
      <c r="N985" s="46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spans="1:28" ht="15.75" customHeight="1">
      <c r="A986" s="15"/>
      <c r="B986" s="15"/>
      <c r="C986" s="15"/>
      <c r="D986" s="16"/>
      <c r="E986" s="16"/>
      <c r="F986" s="15"/>
      <c r="G986" s="15"/>
      <c r="H986" s="15"/>
      <c r="I986" s="15"/>
      <c r="J986" s="15"/>
      <c r="K986" s="15"/>
      <c r="L986" s="15"/>
      <c r="M986" s="15"/>
      <c r="N986" s="46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spans="1:28" ht="15.75" customHeight="1">
      <c r="A987" s="15"/>
      <c r="B987" s="15"/>
      <c r="C987" s="15"/>
      <c r="D987" s="16"/>
      <c r="E987" s="16"/>
      <c r="F987" s="15"/>
      <c r="G987" s="15"/>
      <c r="H987" s="15"/>
      <c r="I987" s="15"/>
      <c r="J987" s="15"/>
      <c r="K987" s="15"/>
      <c r="L987" s="15"/>
      <c r="M987" s="15"/>
      <c r="N987" s="46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spans="1:28" ht="15.75" customHeight="1">
      <c r="A988" s="15"/>
      <c r="B988" s="15"/>
      <c r="C988" s="15"/>
      <c r="D988" s="16"/>
      <c r="E988" s="16"/>
      <c r="F988" s="15"/>
      <c r="G988" s="15"/>
      <c r="H988" s="15"/>
      <c r="I988" s="15"/>
      <c r="J988" s="15"/>
      <c r="K988" s="15"/>
      <c r="L988" s="15"/>
      <c r="M988" s="15"/>
      <c r="N988" s="46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spans="1:28" ht="15.75" customHeight="1">
      <c r="A989" s="15"/>
      <c r="B989" s="15"/>
      <c r="C989" s="15"/>
      <c r="D989" s="16"/>
      <c r="E989" s="16"/>
      <c r="F989" s="15"/>
      <c r="G989" s="15"/>
      <c r="H989" s="15"/>
      <c r="I989" s="15"/>
      <c r="J989" s="15"/>
      <c r="K989" s="15"/>
      <c r="L989" s="15"/>
      <c r="M989" s="15"/>
      <c r="N989" s="46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spans="1:28" ht="15.75" customHeight="1">
      <c r="A990" s="15"/>
      <c r="B990" s="15"/>
      <c r="C990" s="15"/>
      <c r="D990" s="16"/>
      <c r="E990" s="16"/>
      <c r="F990" s="15"/>
      <c r="G990" s="15"/>
      <c r="H990" s="15"/>
      <c r="I990" s="15"/>
      <c r="J990" s="15"/>
      <c r="K990" s="15"/>
      <c r="L990" s="15"/>
      <c r="M990" s="15"/>
      <c r="N990" s="46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spans="1:28" ht="15.75" customHeight="1">
      <c r="A991" s="15"/>
      <c r="B991" s="15"/>
      <c r="C991" s="15"/>
      <c r="D991" s="16"/>
      <c r="E991" s="16"/>
      <c r="F991" s="15"/>
      <c r="G991" s="15"/>
      <c r="H991" s="15"/>
      <c r="I991" s="15"/>
      <c r="J991" s="15"/>
      <c r="K991" s="15"/>
      <c r="L991" s="15"/>
      <c r="M991" s="15"/>
      <c r="N991" s="46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spans="1:28" ht="15.75" customHeight="1">
      <c r="A992" s="15"/>
      <c r="B992" s="15"/>
      <c r="C992" s="15"/>
      <c r="D992" s="16"/>
      <c r="E992" s="16"/>
      <c r="F992" s="15"/>
      <c r="G992" s="15"/>
      <c r="H992" s="15"/>
      <c r="I992" s="15"/>
      <c r="J992" s="15"/>
      <c r="K992" s="15"/>
      <c r="L992" s="15"/>
      <c r="M992" s="15"/>
      <c r="N992" s="46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spans="1:28" ht="15.75" customHeight="1">
      <c r="A993" s="15"/>
      <c r="B993" s="15"/>
      <c r="C993" s="15"/>
      <c r="D993" s="16"/>
      <c r="E993" s="16"/>
      <c r="F993" s="15"/>
      <c r="G993" s="15"/>
      <c r="H993" s="15"/>
      <c r="I993" s="15"/>
      <c r="J993" s="15"/>
      <c r="K993" s="15"/>
      <c r="L993" s="15"/>
      <c r="M993" s="15"/>
      <c r="N993" s="46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spans="1:28" ht="15.75" customHeight="1">
      <c r="A994" s="15"/>
      <c r="B994" s="15"/>
      <c r="C994" s="15"/>
      <c r="D994" s="16"/>
      <c r="E994" s="16"/>
      <c r="F994" s="15"/>
      <c r="G994" s="15"/>
      <c r="H994" s="15"/>
      <c r="I994" s="15"/>
      <c r="J994" s="15"/>
      <c r="K994" s="15"/>
      <c r="L994" s="15"/>
      <c r="M994" s="15"/>
      <c r="N994" s="46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spans="1:28" ht="15.75" customHeight="1">
      <c r="A995" s="15"/>
      <c r="B995" s="15"/>
      <c r="C995" s="15"/>
      <c r="D995" s="16"/>
      <c r="E995" s="16"/>
      <c r="F995" s="15"/>
      <c r="G995" s="15"/>
      <c r="H995" s="15"/>
      <c r="I995" s="15"/>
      <c r="J995" s="15"/>
      <c r="K995" s="15"/>
      <c r="L995" s="15"/>
      <c r="M995" s="15"/>
      <c r="N995" s="46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spans="1:28" ht="15.75" customHeight="1">
      <c r="A996" s="15"/>
      <c r="B996" s="15"/>
      <c r="C996" s="15"/>
      <c r="D996" s="16"/>
      <c r="E996" s="16"/>
      <c r="F996" s="15"/>
      <c r="G996" s="15"/>
      <c r="H996" s="15"/>
      <c r="I996" s="15"/>
      <c r="J996" s="15"/>
      <c r="K996" s="15"/>
      <c r="L996" s="15"/>
      <c r="M996" s="15"/>
      <c r="N996" s="46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spans="1:28" ht="15.75" customHeight="1">
      <c r="A997" s="15"/>
      <c r="B997" s="15"/>
      <c r="C997" s="15"/>
      <c r="D997" s="16"/>
      <c r="E997" s="16"/>
      <c r="F997" s="15"/>
      <c r="G997" s="15"/>
      <c r="H997" s="15"/>
      <c r="I997" s="15"/>
      <c r="J997" s="15"/>
      <c r="K997" s="15"/>
      <c r="L997" s="15"/>
      <c r="M997" s="15"/>
      <c r="N997" s="46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spans="1:28" ht="15.75" customHeight="1">
      <c r="A998" s="15"/>
      <c r="B998" s="15"/>
      <c r="C998" s="15"/>
      <c r="D998" s="16"/>
      <c r="E998" s="16"/>
      <c r="F998" s="15"/>
      <c r="G998" s="15"/>
      <c r="H998" s="15"/>
      <c r="I998" s="15"/>
      <c r="J998" s="15"/>
      <c r="K998" s="15"/>
      <c r="L998" s="15"/>
      <c r="M998" s="15"/>
      <c r="N998" s="46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 spans="1:28" ht="15.75" customHeight="1">
      <c r="A999" s="15"/>
      <c r="B999" s="15"/>
      <c r="C999" s="15"/>
      <c r="D999" s="16"/>
      <c r="E999" s="16"/>
      <c r="F999" s="15"/>
      <c r="G999" s="15"/>
      <c r="H999" s="15"/>
      <c r="I999" s="15"/>
      <c r="J999" s="15"/>
      <c r="K999" s="15"/>
      <c r="L999" s="15"/>
      <c r="M999" s="15"/>
      <c r="N999" s="46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 spans="1:28" ht="15.75" customHeight="1">
      <c r="A1000" s="15"/>
      <c r="B1000" s="15"/>
      <c r="C1000" s="15"/>
      <c r="D1000" s="16"/>
      <c r="E1000" s="16"/>
      <c r="F1000" s="15"/>
      <c r="G1000" s="15"/>
      <c r="H1000" s="15"/>
      <c r="I1000" s="15"/>
      <c r="J1000" s="15"/>
      <c r="K1000" s="15"/>
      <c r="L1000" s="15"/>
      <c r="M1000" s="15"/>
      <c r="N1000" s="46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 spans="1:28" ht="15.75" customHeight="1">
      <c r="A1001" s="15"/>
      <c r="B1001" s="15"/>
      <c r="C1001" s="15"/>
      <c r="D1001" s="16"/>
      <c r="E1001" s="16"/>
      <c r="F1001" s="15"/>
      <c r="G1001" s="15"/>
      <c r="H1001" s="15"/>
      <c r="I1001" s="15"/>
      <c r="J1001" s="15"/>
      <c r="K1001" s="15"/>
      <c r="L1001" s="15"/>
      <c r="M1001" s="15"/>
      <c r="N1001" s="46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 spans="1:28" ht="15.75" customHeight="1">
      <c r="A1002" s="15"/>
      <c r="B1002" s="15"/>
      <c r="C1002" s="15"/>
      <c r="D1002" s="16"/>
      <c r="E1002" s="16"/>
      <c r="F1002" s="15"/>
      <c r="G1002" s="15"/>
      <c r="H1002" s="15"/>
      <c r="I1002" s="15"/>
      <c r="J1002" s="15"/>
      <c r="K1002" s="15"/>
      <c r="L1002" s="15"/>
      <c r="M1002" s="15"/>
      <c r="N1002" s="46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 spans="1:28" ht="15.75" customHeight="1">
      <c r="A1003" s="15"/>
      <c r="B1003" s="15"/>
      <c r="C1003" s="15"/>
      <c r="D1003" s="16"/>
      <c r="E1003" s="16"/>
      <c r="F1003" s="15"/>
      <c r="G1003" s="15"/>
      <c r="H1003" s="15"/>
      <c r="I1003" s="15"/>
      <c r="J1003" s="15"/>
      <c r="K1003" s="15"/>
      <c r="L1003" s="15"/>
      <c r="M1003" s="15"/>
      <c r="N1003" s="46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 spans="1:28" ht="15.75" customHeight="1">
      <c r="A1004" s="15"/>
      <c r="B1004" s="15"/>
      <c r="C1004" s="15"/>
      <c r="D1004" s="16"/>
      <c r="E1004" s="16"/>
      <c r="F1004" s="15"/>
      <c r="G1004" s="15"/>
      <c r="H1004" s="15"/>
      <c r="I1004" s="15"/>
      <c r="J1004" s="15"/>
      <c r="K1004" s="15"/>
      <c r="L1004" s="15"/>
      <c r="M1004" s="15"/>
      <c r="N1004" s="46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 spans="1:28" ht="15.75" customHeight="1">
      <c r="A1005" s="15"/>
      <c r="B1005" s="15"/>
      <c r="C1005" s="15"/>
      <c r="D1005" s="16"/>
      <c r="E1005" s="16"/>
      <c r="F1005" s="15"/>
      <c r="G1005" s="15"/>
      <c r="H1005" s="15"/>
      <c r="I1005" s="15"/>
      <c r="J1005" s="15"/>
      <c r="K1005" s="15"/>
      <c r="L1005" s="15"/>
      <c r="M1005" s="15"/>
      <c r="N1005" s="46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 spans="1:28" ht="15.75" customHeight="1">
      <c r="A1006" s="15"/>
      <c r="B1006" s="15"/>
      <c r="C1006" s="15"/>
      <c r="D1006" s="16"/>
      <c r="E1006" s="16"/>
      <c r="F1006" s="15"/>
      <c r="G1006" s="15"/>
      <c r="H1006" s="15"/>
      <c r="I1006" s="15"/>
      <c r="J1006" s="15"/>
      <c r="K1006" s="15"/>
      <c r="L1006" s="15"/>
      <c r="M1006" s="15"/>
      <c r="N1006" s="46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 spans="1:28" ht="15.75" customHeight="1">
      <c r="A1007" s="15"/>
      <c r="B1007" s="15"/>
      <c r="C1007" s="15"/>
      <c r="D1007" s="16"/>
      <c r="E1007" s="16"/>
      <c r="F1007" s="15"/>
      <c r="G1007" s="15"/>
      <c r="H1007" s="15"/>
      <c r="I1007" s="15"/>
      <c r="J1007" s="15"/>
      <c r="K1007" s="15"/>
      <c r="L1007" s="15"/>
      <c r="M1007" s="15"/>
      <c r="N1007" s="46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 spans="1:28" ht="15.75" customHeight="1">
      <c r="A1008" s="15"/>
      <c r="B1008" s="15"/>
      <c r="C1008" s="15"/>
      <c r="D1008" s="16"/>
      <c r="E1008" s="16"/>
      <c r="F1008" s="15"/>
      <c r="G1008" s="15"/>
      <c r="H1008" s="15"/>
      <c r="I1008" s="15"/>
      <c r="J1008" s="15"/>
      <c r="K1008" s="15"/>
      <c r="L1008" s="15"/>
      <c r="M1008" s="15"/>
      <c r="N1008" s="46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 spans="2:13" ht="15" customHeight="1">
      <c r="B1009" s="15"/>
      <c r="C1009" s="15"/>
      <c r="D1009" s="16"/>
      <c r="E1009" s="16"/>
      <c r="F1009" s="15"/>
      <c r="G1009" s="15"/>
      <c r="H1009" s="15"/>
      <c r="I1009" s="15"/>
      <c r="J1009" s="15"/>
      <c r="K1009" s="15"/>
      <c r="L1009" s="15"/>
      <c r="M1009" s="15"/>
    </row>
    <row r="1010" spans="2:13" ht="15" customHeight="1">
      <c r="B1010" s="15"/>
      <c r="C1010" s="15"/>
      <c r="D1010" s="16"/>
      <c r="E1010" s="16"/>
      <c r="F1010" s="15"/>
      <c r="G1010" s="15"/>
      <c r="H1010" s="15"/>
      <c r="I1010" s="15"/>
      <c r="J1010" s="15"/>
      <c r="K1010" s="15"/>
      <c r="L1010" s="15"/>
      <c r="M1010" s="15"/>
    </row>
    <row r="1011" spans="2:13" ht="15" customHeight="1">
      <c r="B1011" s="15"/>
      <c r="C1011" s="15"/>
      <c r="D1011" s="16"/>
      <c r="E1011" s="16"/>
      <c r="F1011" s="15"/>
      <c r="G1011" s="15"/>
      <c r="H1011" s="15"/>
      <c r="I1011" s="15"/>
      <c r="J1011" s="15"/>
      <c r="K1011" s="15"/>
      <c r="L1011" s="15"/>
      <c r="M1011" s="15"/>
    </row>
    <row r="1012" spans="2:13" ht="15" customHeight="1">
      <c r="B1012" s="15"/>
      <c r="C1012" s="15"/>
      <c r="D1012" s="16"/>
      <c r="E1012" s="16"/>
      <c r="F1012" s="15"/>
      <c r="G1012" s="15"/>
      <c r="H1012" s="15"/>
      <c r="I1012" s="15"/>
      <c r="J1012" s="15"/>
      <c r="K1012" s="15"/>
      <c r="L1012" s="15"/>
      <c r="M1012" s="15"/>
    </row>
  </sheetData>
  <mergeCells count="253">
    <mergeCell ref="B65:C66"/>
    <mergeCell ref="D65:E66"/>
    <mergeCell ref="F65:H66"/>
    <mergeCell ref="I65:I66"/>
    <mergeCell ref="J65:J66"/>
    <mergeCell ref="K65:K66"/>
    <mergeCell ref="L65:L66"/>
    <mergeCell ref="M65:M66"/>
    <mergeCell ref="B61:C62"/>
    <mergeCell ref="D61:E62"/>
    <mergeCell ref="F61:H62"/>
    <mergeCell ref="I61:I62"/>
    <mergeCell ref="J61:J62"/>
    <mergeCell ref="K61:K62"/>
    <mergeCell ref="L61:L62"/>
    <mergeCell ref="M61:M62"/>
    <mergeCell ref="B63:C64"/>
    <mergeCell ref="D63:E64"/>
    <mergeCell ref="F63:H64"/>
    <mergeCell ref="I63:I64"/>
    <mergeCell ref="J63:J64"/>
    <mergeCell ref="K63:K64"/>
    <mergeCell ref="L63:L64"/>
    <mergeCell ref="M63:M64"/>
    <mergeCell ref="B2:M4"/>
    <mergeCell ref="B7:C8"/>
    <mergeCell ref="D7:E8"/>
    <mergeCell ref="F7:H8"/>
    <mergeCell ref="B9:C10"/>
    <mergeCell ref="D9:E10"/>
    <mergeCell ref="F9:H10"/>
    <mergeCell ref="I9:I10"/>
    <mergeCell ref="J9:J10"/>
    <mergeCell ref="K9:K10"/>
    <mergeCell ref="L9:L10"/>
    <mergeCell ref="B11:C12"/>
    <mergeCell ref="D11:E12"/>
    <mergeCell ref="F11:H12"/>
    <mergeCell ref="I11:I12"/>
    <mergeCell ref="J11:J12"/>
    <mergeCell ref="K11:K12"/>
    <mergeCell ref="L11:L12"/>
    <mergeCell ref="B13:C14"/>
    <mergeCell ref="D13:E14"/>
    <mergeCell ref="F13:H14"/>
    <mergeCell ref="I13:I14"/>
    <mergeCell ref="J13:J14"/>
    <mergeCell ref="K13:K14"/>
    <mergeCell ref="L13:L14"/>
    <mergeCell ref="L15:L16"/>
    <mergeCell ref="B17:C18"/>
    <mergeCell ref="D17:E18"/>
    <mergeCell ref="F17:H18"/>
    <mergeCell ref="I17:I18"/>
    <mergeCell ref="J17:J18"/>
    <mergeCell ref="K17:K18"/>
    <mergeCell ref="L17:L18"/>
    <mergeCell ref="B15:C16"/>
    <mergeCell ref="D15:E16"/>
    <mergeCell ref="F15:H16"/>
    <mergeCell ref="I15:I16"/>
    <mergeCell ref="J15:J16"/>
    <mergeCell ref="K15:K16"/>
    <mergeCell ref="L19:L20"/>
    <mergeCell ref="B21:C22"/>
    <mergeCell ref="D21:E22"/>
    <mergeCell ref="F21:H22"/>
    <mergeCell ref="I21:I22"/>
    <mergeCell ref="J21:J22"/>
    <mergeCell ref="K21:K22"/>
    <mergeCell ref="L21:L22"/>
    <mergeCell ref="B19:C20"/>
    <mergeCell ref="D19:E20"/>
    <mergeCell ref="F19:H20"/>
    <mergeCell ref="I19:I20"/>
    <mergeCell ref="J19:J20"/>
    <mergeCell ref="K19:K20"/>
    <mergeCell ref="L23:L24"/>
    <mergeCell ref="B25:C26"/>
    <mergeCell ref="D25:E26"/>
    <mergeCell ref="F25:H26"/>
    <mergeCell ref="I25:I26"/>
    <mergeCell ref="J25:J26"/>
    <mergeCell ref="K25:K26"/>
    <mergeCell ref="L25:L26"/>
    <mergeCell ref="B23:C24"/>
    <mergeCell ref="D23:E24"/>
    <mergeCell ref="F23:H24"/>
    <mergeCell ref="I23:I24"/>
    <mergeCell ref="J23:J24"/>
    <mergeCell ref="K23:K24"/>
    <mergeCell ref="L27:L28"/>
    <mergeCell ref="B29:C30"/>
    <mergeCell ref="D29:E30"/>
    <mergeCell ref="F29:H30"/>
    <mergeCell ref="I29:I30"/>
    <mergeCell ref="J29:J30"/>
    <mergeCell ref="K29:K30"/>
    <mergeCell ref="L29:L30"/>
    <mergeCell ref="B27:C28"/>
    <mergeCell ref="D27:E28"/>
    <mergeCell ref="F27:H28"/>
    <mergeCell ref="I27:I28"/>
    <mergeCell ref="J27:J28"/>
    <mergeCell ref="K27:K28"/>
    <mergeCell ref="L31:L32"/>
    <mergeCell ref="B35:C36"/>
    <mergeCell ref="D35:E36"/>
    <mergeCell ref="F35:H36"/>
    <mergeCell ref="B31:C32"/>
    <mergeCell ref="D31:E32"/>
    <mergeCell ref="F31:H32"/>
    <mergeCell ref="I31:I32"/>
    <mergeCell ref="J31:J32"/>
    <mergeCell ref="K31:K32"/>
    <mergeCell ref="L37:L38"/>
    <mergeCell ref="M37:M38"/>
    <mergeCell ref="B39:C40"/>
    <mergeCell ref="D39:E40"/>
    <mergeCell ref="F39:H40"/>
    <mergeCell ref="I39:I40"/>
    <mergeCell ref="J39:J40"/>
    <mergeCell ref="K39:K40"/>
    <mergeCell ref="L39:L40"/>
    <mergeCell ref="B37:C38"/>
    <mergeCell ref="D37:E38"/>
    <mergeCell ref="F37:H38"/>
    <mergeCell ref="I37:I38"/>
    <mergeCell ref="J37:J38"/>
    <mergeCell ref="K37:K38"/>
    <mergeCell ref="M39:M40"/>
    <mergeCell ref="B41:C42"/>
    <mergeCell ref="D41:E42"/>
    <mergeCell ref="F41:H42"/>
    <mergeCell ref="I41:I42"/>
    <mergeCell ref="J41:J42"/>
    <mergeCell ref="K41:K42"/>
    <mergeCell ref="L41:L42"/>
    <mergeCell ref="M41:M42"/>
    <mergeCell ref="B43:C44"/>
    <mergeCell ref="D43:E44"/>
    <mergeCell ref="F43:H44"/>
    <mergeCell ref="I43:I44"/>
    <mergeCell ref="J43:J44"/>
    <mergeCell ref="K43:K44"/>
    <mergeCell ref="L43:L44"/>
    <mergeCell ref="M43:M44"/>
    <mergeCell ref="L45:L46"/>
    <mergeCell ref="M45:M46"/>
    <mergeCell ref="B47:C48"/>
    <mergeCell ref="D47:E48"/>
    <mergeCell ref="F47:H48"/>
    <mergeCell ref="I47:I48"/>
    <mergeCell ref="J47:J48"/>
    <mergeCell ref="K47:K48"/>
    <mergeCell ref="L47:L48"/>
    <mergeCell ref="B45:C46"/>
    <mergeCell ref="D45:E46"/>
    <mergeCell ref="F45:H46"/>
    <mergeCell ref="I45:I46"/>
    <mergeCell ref="J45:J46"/>
    <mergeCell ref="K45:K46"/>
    <mergeCell ref="M47:M48"/>
    <mergeCell ref="B49:C50"/>
    <mergeCell ref="D49:E50"/>
    <mergeCell ref="F49:H50"/>
    <mergeCell ref="I49:I50"/>
    <mergeCell ref="J49:J50"/>
    <mergeCell ref="K49:K50"/>
    <mergeCell ref="L49:L50"/>
    <mergeCell ref="M49:M50"/>
    <mergeCell ref="B51:C52"/>
    <mergeCell ref="D51:E52"/>
    <mergeCell ref="F51:H52"/>
    <mergeCell ref="I51:I52"/>
    <mergeCell ref="J51:J52"/>
    <mergeCell ref="K51:K52"/>
    <mergeCell ref="L51:L52"/>
    <mergeCell ref="M51:M52"/>
    <mergeCell ref="L53:L54"/>
    <mergeCell ref="M53:M54"/>
    <mergeCell ref="B55:C56"/>
    <mergeCell ref="D55:E56"/>
    <mergeCell ref="F55:H56"/>
    <mergeCell ref="I55:I56"/>
    <mergeCell ref="J55:J56"/>
    <mergeCell ref="K55:K56"/>
    <mergeCell ref="L55:L56"/>
    <mergeCell ref="B53:C54"/>
    <mergeCell ref="D53:E54"/>
    <mergeCell ref="F53:H54"/>
    <mergeCell ref="I53:I54"/>
    <mergeCell ref="J53:J54"/>
    <mergeCell ref="K53:K54"/>
    <mergeCell ref="M55:M56"/>
    <mergeCell ref="L57:L58"/>
    <mergeCell ref="M57:M58"/>
    <mergeCell ref="B57:C58"/>
    <mergeCell ref="D57:E58"/>
    <mergeCell ref="F57:H58"/>
    <mergeCell ref="I57:I58"/>
    <mergeCell ref="J57:J58"/>
    <mergeCell ref="K57:K58"/>
    <mergeCell ref="L59:L60"/>
    <mergeCell ref="M59:M60"/>
    <mergeCell ref="B59:C60"/>
    <mergeCell ref="D59:E60"/>
    <mergeCell ref="F59:H60"/>
    <mergeCell ref="I59:I60"/>
    <mergeCell ref="J59:J60"/>
    <mergeCell ref="K59:K60"/>
    <mergeCell ref="K71:K72"/>
    <mergeCell ref="L71:L72"/>
    <mergeCell ref="M71:M72"/>
    <mergeCell ref="L67:L68"/>
    <mergeCell ref="M67:M68"/>
    <mergeCell ref="B69:C70"/>
    <mergeCell ref="D69:E70"/>
    <mergeCell ref="F69:H70"/>
    <mergeCell ref="I69:I70"/>
    <mergeCell ref="J69:J70"/>
    <mergeCell ref="K69:K70"/>
    <mergeCell ref="L69:L70"/>
    <mergeCell ref="B67:C68"/>
    <mergeCell ref="D67:E68"/>
    <mergeCell ref="F67:H68"/>
    <mergeCell ref="I67:I68"/>
    <mergeCell ref="J67:J68"/>
    <mergeCell ref="K67:K68"/>
    <mergeCell ref="L75:L76"/>
    <mergeCell ref="M75:M76"/>
    <mergeCell ref="B5:M6"/>
    <mergeCell ref="B33:M34"/>
    <mergeCell ref="B75:C76"/>
    <mergeCell ref="D75:E76"/>
    <mergeCell ref="F75:H76"/>
    <mergeCell ref="I75:I76"/>
    <mergeCell ref="J75:J76"/>
    <mergeCell ref="K75:K76"/>
    <mergeCell ref="B73:C74"/>
    <mergeCell ref="D73:E74"/>
    <mergeCell ref="F73:H74"/>
    <mergeCell ref="I73:I74"/>
    <mergeCell ref="J73:J74"/>
    <mergeCell ref="K73:K74"/>
    <mergeCell ref="L73:L74"/>
    <mergeCell ref="M73:M74"/>
    <mergeCell ref="M69:M70"/>
    <mergeCell ref="B71:C72"/>
    <mergeCell ref="D71:E72"/>
    <mergeCell ref="F71:H72"/>
    <mergeCell ref="I71:I72"/>
    <mergeCell ref="J71:J7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FC37-D4B7-4666-9A37-6F828F431F1A}">
  <sheetPr codeName="Hoja4"/>
  <dimension ref="B1:AA481"/>
  <sheetViews>
    <sheetView topLeftCell="A472" zoomScaleNormal="100" workbookViewId="0">
      <selection activeCell="F37" sqref="F37"/>
    </sheetView>
  </sheetViews>
  <sheetFormatPr baseColWidth="10" defaultColWidth="11.44140625" defaultRowHeight="14.4"/>
  <cols>
    <col min="1" max="1" width="3.109375" customWidth="1"/>
    <col min="2" max="27" width="11.44140625" customWidth="1"/>
  </cols>
  <sheetData>
    <row r="1" spans="2:27" ht="15" thickBot="1"/>
    <row r="2" spans="2:27">
      <c r="B2" s="327" t="s">
        <v>24</v>
      </c>
      <c r="C2" s="328"/>
      <c r="D2" s="328"/>
      <c r="E2" s="328"/>
      <c r="F2" s="328"/>
      <c r="G2" s="328"/>
      <c r="H2" s="328"/>
      <c r="I2" s="329"/>
      <c r="K2" s="333" t="s">
        <v>25</v>
      </c>
      <c r="L2" s="334"/>
      <c r="M2" s="334"/>
      <c r="N2" s="334"/>
      <c r="O2" s="334"/>
      <c r="P2" s="334"/>
      <c r="Q2" s="334"/>
      <c r="R2" s="335"/>
      <c r="T2" s="339" t="s">
        <v>27</v>
      </c>
      <c r="U2" s="340"/>
      <c r="V2" s="340"/>
      <c r="W2" s="340"/>
      <c r="X2" s="340"/>
      <c r="Y2" s="340"/>
      <c r="Z2" s="340"/>
      <c r="AA2" s="341"/>
    </row>
    <row r="3" spans="2:27" ht="15" thickBot="1">
      <c r="B3" s="330"/>
      <c r="C3" s="331"/>
      <c r="D3" s="331"/>
      <c r="E3" s="331"/>
      <c r="F3" s="331"/>
      <c r="G3" s="331"/>
      <c r="H3" s="331"/>
      <c r="I3" s="332"/>
      <c r="K3" s="336"/>
      <c r="L3" s="337"/>
      <c r="M3" s="337"/>
      <c r="N3" s="337"/>
      <c r="O3" s="337"/>
      <c r="P3" s="337"/>
      <c r="Q3" s="337"/>
      <c r="R3" s="338"/>
      <c r="T3" s="342"/>
      <c r="U3" s="343"/>
      <c r="V3" s="343"/>
      <c r="W3" s="343"/>
      <c r="X3" s="343"/>
      <c r="Y3" s="343"/>
      <c r="Z3" s="343"/>
      <c r="AA3" s="344"/>
    </row>
    <row r="4" spans="2:27">
      <c r="B4" s="345" t="s">
        <v>13</v>
      </c>
      <c r="C4" s="346"/>
      <c r="D4" s="346"/>
      <c r="E4" s="346"/>
      <c r="F4" s="346"/>
      <c r="G4" s="346"/>
      <c r="H4" s="346"/>
      <c r="I4" s="78">
        <v>160000</v>
      </c>
      <c r="K4" s="345" t="s">
        <v>31</v>
      </c>
      <c r="L4" s="346"/>
      <c r="M4" s="346"/>
      <c r="N4" s="346"/>
      <c r="O4" s="346"/>
      <c r="P4" s="346"/>
      <c r="Q4" s="346"/>
      <c r="R4" s="8">
        <v>300000</v>
      </c>
      <c r="T4" s="349" t="s">
        <v>29</v>
      </c>
      <c r="U4" s="350"/>
      <c r="V4" s="350"/>
      <c r="W4" s="350"/>
      <c r="X4" s="350"/>
      <c r="Y4" s="350"/>
      <c r="Z4" s="350"/>
      <c r="AA4" s="8">
        <v>580000</v>
      </c>
    </row>
    <row r="5" spans="2:27">
      <c r="B5" s="347" t="s">
        <v>261</v>
      </c>
      <c r="C5" s="348"/>
      <c r="D5" s="348"/>
      <c r="E5" s="348"/>
      <c r="F5" s="348"/>
      <c r="G5" s="348"/>
      <c r="H5" s="348"/>
      <c r="I5" s="8">
        <v>165000</v>
      </c>
      <c r="K5" s="347" t="s">
        <v>32</v>
      </c>
      <c r="L5" s="348"/>
      <c r="M5" s="348"/>
      <c r="N5" s="348"/>
      <c r="O5" s="348"/>
      <c r="P5" s="348"/>
      <c r="Q5" s="348"/>
      <c r="R5" s="8">
        <v>250000</v>
      </c>
      <c r="T5" s="351" t="s">
        <v>65</v>
      </c>
      <c r="U5" s="352"/>
      <c r="V5" s="352"/>
      <c r="W5" s="352"/>
      <c r="X5" s="352"/>
      <c r="Y5" s="352"/>
      <c r="Z5" s="352"/>
      <c r="AA5" s="8">
        <v>1100000</v>
      </c>
    </row>
    <row r="6" spans="2:27">
      <c r="B6" s="347" t="s">
        <v>14</v>
      </c>
      <c r="C6" s="348"/>
      <c r="D6" s="348"/>
      <c r="E6" s="348"/>
      <c r="F6" s="348"/>
      <c r="G6" s="348"/>
      <c r="H6" s="348"/>
      <c r="I6" s="8">
        <v>140000</v>
      </c>
      <c r="K6" s="347" t="s">
        <v>11</v>
      </c>
      <c r="L6" s="348"/>
      <c r="M6" s="348"/>
      <c r="N6" s="348"/>
      <c r="O6" s="348"/>
      <c r="P6" s="348"/>
      <c r="Q6" s="348"/>
      <c r="R6" s="8">
        <v>65000</v>
      </c>
      <c r="T6" s="351" t="s">
        <v>30</v>
      </c>
      <c r="U6" s="352"/>
      <c r="V6" s="352"/>
      <c r="W6" s="352"/>
      <c r="X6" s="352"/>
      <c r="Y6" s="352"/>
      <c r="Z6" s="352"/>
      <c r="AA6" s="8">
        <v>700000</v>
      </c>
    </row>
    <row r="7" spans="2:27">
      <c r="B7" s="347" t="s">
        <v>23</v>
      </c>
      <c r="C7" s="348"/>
      <c r="D7" s="348"/>
      <c r="E7" s="348"/>
      <c r="F7" s="348"/>
      <c r="G7" s="348"/>
      <c r="H7" s="348"/>
      <c r="I7" s="8">
        <v>150000</v>
      </c>
      <c r="K7" s="347" t="s">
        <v>327</v>
      </c>
      <c r="L7" s="348"/>
      <c r="M7" s="348"/>
      <c r="N7" s="348"/>
      <c r="O7" s="348"/>
      <c r="P7" s="348"/>
      <c r="Q7" s="348"/>
      <c r="R7" s="8">
        <v>30000</v>
      </c>
      <c r="T7" s="351" t="s">
        <v>62</v>
      </c>
      <c r="U7" s="352"/>
      <c r="V7" s="352"/>
      <c r="W7" s="352"/>
      <c r="X7" s="352"/>
      <c r="Y7" s="352"/>
      <c r="Z7" s="352"/>
      <c r="AA7" s="8">
        <v>590000</v>
      </c>
    </row>
    <row r="8" spans="2:27">
      <c r="B8" s="347" t="s">
        <v>18</v>
      </c>
      <c r="C8" s="348"/>
      <c r="D8" s="348"/>
      <c r="E8" s="348"/>
      <c r="F8" s="348"/>
      <c r="G8" s="348"/>
      <c r="H8" s="348"/>
      <c r="I8" s="8">
        <v>12800</v>
      </c>
      <c r="K8" s="347" t="s">
        <v>100</v>
      </c>
      <c r="L8" s="348"/>
      <c r="M8" s="348"/>
      <c r="N8" s="348"/>
      <c r="O8" s="348"/>
      <c r="P8" s="348"/>
      <c r="Q8" s="348"/>
      <c r="R8" s="8">
        <v>30000</v>
      </c>
      <c r="T8" s="351" t="s">
        <v>63</v>
      </c>
      <c r="U8" s="352"/>
      <c r="V8" s="352"/>
      <c r="W8" s="352"/>
      <c r="X8" s="352"/>
      <c r="Y8" s="352"/>
      <c r="Z8" s="352"/>
      <c r="AA8" s="8">
        <v>520000</v>
      </c>
    </row>
    <row r="9" spans="2:27">
      <c r="B9" s="347" t="s">
        <v>19</v>
      </c>
      <c r="C9" s="348"/>
      <c r="D9" s="348"/>
      <c r="E9" s="348"/>
      <c r="F9" s="348"/>
      <c r="G9" s="348"/>
      <c r="H9" s="348"/>
      <c r="I9" s="8">
        <v>11100</v>
      </c>
      <c r="K9" s="347" t="s">
        <v>328</v>
      </c>
      <c r="L9" s="348"/>
      <c r="M9" s="348"/>
      <c r="N9" s="348"/>
      <c r="O9" s="348"/>
      <c r="P9" s="348"/>
      <c r="Q9" s="348"/>
      <c r="R9" s="8">
        <v>50000</v>
      </c>
      <c r="T9" s="351" t="s">
        <v>64</v>
      </c>
      <c r="U9" s="352"/>
      <c r="V9" s="352"/>
      <c r="W9" s="352"/>
      <c r="X9" s="352"/>
      <c r="Y9" s="352"/>
      <c r="Z9" s="352"/>
      <c r="AA9" s="8">
        <v>480000</v>
      </c>
    </row>
    <row r="10" spans="2:27">
      <c r="B10" s="347" t="s">
        <v>259</v>
      </c>
      <c r="C10" s="348"/>
      <c r="D10" s="348"/>
      <c r="E10" s="348"/>
      <c r="F10" s="348"/>
      <c r="G10" s="348"/>
      <c r="H10" s="348"/>
      <c r="I10" s="8">
        <v>58</v>
      </c>
      <c r="K10" s="347" t="s">
        <v>325</v>
      </c>
      <c r="L10" s="348"/>
      <c r="M10" s="348"/>
      <c r="N10" s="348"/>
      <c r="O10" s="348"/>
      <c r="P10" s="348"/>
      <c r="Q10" s="348"/>
      <c r="R10" s="8">
        <v>15000</v>
      </c>
      <c r="T10" s="347" t="s">
        <v>66</v>
      </c>
      <c r="U10" s="348"/>
      <c r="V10" s="348"/>
      <c r="W10" s="348"/>
      <c r="X10" s="348"/>
      <c r="Y10" s="348"/>
      <c r="Z10" s="348"/>
      <c r="AA10" s="8">
        <v>360000</v>
      </c>
    </row>
    <row r="11" spans="2:27">
      <c r="B11" s="347" t="s">
        <v>260</v>
      </c>
      <c r="C11" s="348"/>
      <c r="D11" s="348"/>
      <c r="E11" s="348"/>
      <c r="F11" s="348"/>
      <c r="G11" s="348"/>
      <c r="H11" s="348"/>
      <c r="I11" s="8">
        <v>35</v>
      </c>
      <c r="K11" s="347" t="s">
        <v>326</v>
      </c>
      <c r="L11" s="348"/>
      <c r="M11" s="348"/>
      <c r="N11" s="348"/>
      <c r="O11" s="348"/>
      <c r="P11" s="348"/>
      <c r="Q11" s="348"/>
      <c r="R11" s="8">
        <v>15000</v>
      </c>
      <c r="T11" s="347" t="s">
        <v>33</v>
      </c>
      <c r="U11" s="348"/>
      <c r="V11" s="348"/>
      <c r="W11" s="348"/>
      <c r="X11" s="348"/>
      <c r="Y11" s="348"/>
      <c r="Z11" s="348"/>
      <c r="AA11" s="8"/>
    </row>
    <row r="12" spans="2:27">
      <c r="B12" s="347" t="s">
        <v>218</v>
      </c>
      <c r="C12" s="348"/>
      <c r="D12" s="348"/>
      <c r="E12" s="348"/>
      <c r="F12" s="348"/>
      <c r="G12" s="348"/>
      <c r="H12" s="348"/>
      <c r="I12" s="8">
        <v>1250</v>
      </c>
      <c r="K12" s="347" t="s">
        <v>276</v>
      </c>
      <c r="L12" s="348"/>
      <c r="M12" s="348"/>
      <c r="N12" s="348"/>
      <c r="O12" s="348"/>
      <c r="P12" s="348"/>
      <c r="Q12" s="348"/>
      <c r="R12" s="8">
        <v>75000</v>
      </c>
      <c r="T12" s="347" t="s">
        <v>34</v>
      </c>
      <c r="U12" s="348"/>
      <c r="V12" s="348"/>
      <c r="W12" s="348"/>
      <c r="X12" s="348"/>
      <c r="Y12" s="348"/>
      <c r="Z12" s="348"/>
      <c r="AA12" s="8"/>
    </row>
    <row r="13" spans="2:27">
      <c r="B13" s="347" t="s">
        <v>219</v>
      </c>
      <c r="C13" s="348"/>
      <c r="D13" s="348"/>
      <c r="E13" s="348"/>
      <c r="F13" s="348"/>
      <c r="G13" s="348"/>
      <c r="H13" s="348"/>
      <c r="I13" s="8">
        <v>1250</v>
      </c>
      <c r="K13" s="347" t="s">
        <v>277</v>
      </c>
      <c r="L13" s="348"/>
      <c r="M13" s="348"/>
      <c r="N13" s="348"/>
      <c r="O13" s="348"/>
      <c r="P13" s="348"/>
      <c r="Q13" s="348"/>
      <c r="R13" s="8">
        <v>75000</v>
      </c>
      <c r="T13" s="347" t="s">
        <v>35</v>
      </c>
      <c r="U13" s="348"/>
      <c r="V13" s="348"/>
      <c r="W13" s="348"/>
      <c r="X13" s="348"/>
      <c r="Y13" s="348"/>
      <c r="Z13" s="348"/>
      <c r="AA13" s="8"/>
    </row>
    <row r="14" spans="2:27">
      <c r="B14" s="347" t="s">
        <v>220</v>
      </c>
      <c r="C14" s="348"/>
      <c r="D14" s="348"/>
      <c r="E14" s="348"/>
      <c r="F14" s="348"/>
      <c r="G14" s="348"/>
      <c r="H14" s="348"/>
      <c r="I14" s="8">
        <v>750</v>
      </c>
      <c r="K14" s="347" t="s">
        <v>6</v>
      </c>
      <c r="L14" s="348"/>
      <c r="M14" s="348"/>
      <c r="N14" s="348"/>
      <c r="O14" s="348"/>
      <c r="P14" s="348"/>
      <c r="Q14" s="348"/>
      <c r="R14" s="8">
        <v>30000</v>
      </c>
      <c r="T14" s="347" t="s">
        <v>36</v>
      </c>
      <c r="U14" s="348"/>
      <c r="V14" s="348"/>
      <c r="W14" s="348"/>
      <c r="X14" s="348"/>
      <c r="Y14" s="348"/>
      <c r="Z14" s="348"/>
      <c r="AA14" s="8"/>
    </row>
    <row r="15" spans="2:27">
      <c r="B15" s="347" t="s">
        <v>268</v>
      </c>
      <c r="C15" s="348"/>
      <c r="D15" s="348"/>
      <c r="E15" s="348"/>
      <c r="F15" s="348"/>
      <c r="G15" s="348"/>
      <c r="H15" s="348"/>
      <c r="I15" s="8">
        <v>175</v>
      </c>
      <c r="K15" s="347" t="s">
        <v>12</v>
      </c>
      <c r="L15" s="348"/>
      <c r="M15" s="348"/>
      <c r="N15" s="348"/>
      <c r="O15" s="348"/>
      <c r="P15" s="348"/>
      <c r="Q15" s="348"/>
      <c r="R15" s="8">
        <v>12000</v>
      </c>
      <c r="T15" s="351" t="s">
        <v>76</v>
      </c>
      <c r="U15" s="352"/>
      <c r="V15" s="352"/>
      <c r="W15" s="352"/>
      <c r="X15" s="352"/>
      <c r="Y15" s="352"/>
      <c r="Z15" s="352"/>
      <c r="AA15" s="8"/>
    </row>
    <row r="16" spans="2:27">
      <c r="B16" s="347" t="s">
        <v>221</v>
      </c>
      <c r="C16" s="348"/>
      <c r="D16" s="348"/>
      <c r="E16" s="348"/>
      <c r="F16" s="348"/>
      <c r="G16" s="348"/>
      <c r="H16" s="348"/>
      <c r="I16" s="8">
        <v>175</v>
      </c>
      <c r="K16" s="347"/>
      <c r="L16" s="348"/>
      <c r="M16" s="348"/>
      <c r="N16" s="348"/>
      <c r="O16" s="348"/>
      <c r="P16" s="348"/>
      <c r="Q16" s="348"/>
      <c r="R16" s="8"/>
      <c r="T16" s="351" t="s">
        <v>37</v>
      </c>
      <c r="U16" s="352"/>
      <c r="V16" s="352"/>
      <c r="W16" s="352"/>
      <c r="X16" s="352"/>
      <c r="Y16" s="352"/>
      <c r="Z16" s="352"/>
      <c r="AA16" s="8"/>
    </row>
    <row r="17" spans="2:27">
      <c r="B17" s="347" t="s">
        <v>222</v>
      </c>
      <c r="C17" s="348"/>
      <c r="D17" s="348"/>
      <c r="E17" s="348"/>
      <c r="F17" s="348"/>
      <c r="G17" s="348"/>
      <c r="H17" s="348"/>
      <c r="I17" s="8">
        <v>90000</v>
      </c>
      <c r="K17" s="347"/>
      <c r="L17" s="348"/>
      <c r="M17" s="348"/>
      <c r="N17" s="348"/>
      <c r="O17" s="348"/>
      <c r="P17" s="348"/>
      <c r="Q17" s="348"/>
      <c r="R17" s="8"/>
      <c r="T17" s="351" t="s">
        <v>38</v>
      </c>
      <c r="U17" s="352"/>
      <c r="V17" s="352"/>
      <c r="W17" s="352"/>
      <c r="X17" s="352"/>
      <c r="Y17" s="352"/>
      <c r="Z17" s="352"/>
      <c r="AA17" s="8"/>
    </row>
    <row r="18" spans="2:27">
      <c r="B18" s="347" t="s">
        <v>10</v>
      </c>
      <c r="C18" s="348"/>
      <c r="D18" s="348"/>
      <c r="E18" s="348"/>
      <c r="F18" s="348"/>
      <c r="G18" s="348"/>
      <c r="H18" s="348"/>
      <c r="I18" s="8">
        <v>21000</v>
      </c>
      <c r="K18" s="347"/>
      <c r="L18" s="348"/>
      <c r="M18" s="348"/>
      <c r="N18" s="348"/>
      <c r="O18" s="348"/>
      <c r="P18" s="348"/>
      <c r="Q18" s="348"/>
      <c r="R18" s="8"/>
      <c r="T18" s="351" t="s">
        <v>39</v>
      </c>
      <c r="U18" s="352"/>
      <c r="V18" s="352"/>
      <c r="W18" s="352"/>
      <c r="X18" s="352"/>
      <c r="Y18" s="352"/>
      <c r="Z18" s="352"/>
      <c r="AA18" s="8"/>
    </row>
    <row r="19" spans="2:27">
      <c r="B19" s="347" t="s">
        <v>269</v>
      </c>
      <c r="C19" s="348"/>
      <c r="D19" s="348"/>
      <c r="E19" s="348"/>
      <c r="F19" s="348"/>
      <c r="G19" s="348"/>
      <c r="H19" s="348"/>
      <c r="I19" s="8">
        <v>40000</v>
      </c>
      <c r="K19" s="347"/>
      <c r="L19" s="348"/>
      <c r="M19" s="348"/>
      <c r="N19" s="348"/>
      <c r="O19" s="348"/>
      <c r="P19" s="348"/>
      <c r="Q19" s="348"/>
      <c r="R19" s="8"/>
      <c r="T19" s="347" t="s">
        <v>40</v>
      </c>
      <c r="U19" s="348"/>
      <c r="V19" s="348"/>
      <c r="W19" s="348"/>
      <c r="X19" s="348"/>
      <c r="Y19" s="348"/>
      <c r="Z19" s="348"/>
      <c r="AA19" s="8"/>
    </row>
    <row r="20" spans="2:27">
      <c r="B20" s="347" t="s">
        <v>270</v>
      </c>
      <c r="C20" s="348"/>
      <c r="D20" s="348"/>
      <c r="E20" s="348"/>
      <c r="F20" s="348"/>
      <c r="G20" s="348"/>
      <c r="H20" s="348"/>
      <c r="I20" s="8">
        <v>13000</v>
      </c>
      <c r="K20" s="347"/>
      <c r="L20" s="348"/>
      <c r="M20" s="348"/>
      <c r="N20" s="348"/>
      <c r="O20" s="348"/>
      <c r="P20" s="348"/>
      <c r="Q20" s="348"/>
      <c r="R20" s="8"/>
      <c r="T20" s="347"/>
      <c r="U20" s="348"/>
      <c r="V20" s="348"/>
      <c r="W20" s="348"/>
      <c r="X20" s="348"/>
      <c r="Y20" s="348"/>
      <c r="Z20" s="348"/>
      <c r="AA20" s="8"/>
    </row>
    <row r="21" spans="2:27" ht="15" thickBot="1">
      <c r="B21" s="347"/>
      <c r="C21" s="348"/>
      <c r="D21" s="348"/>
      <c r="E21" s="348"/>
      <c r="F21" s="348"/>
      <c r="G21" s="348"/>
      <c r="H21" s="348"/>
      <c r="I21" s="8"/>
      <c r="K21" s="353"/>
      <c r="L21" s="354"/>
      <c r="M21" s="354"/>
      <c r="N21" s="354"/>
      <c r="O21" s="354"/>
      <c r="P21" s="354"/>
      <c r="Q21" s="354"/>
      <c r="R21" s="8"/>
      <c r="T21" s="353"/>
      <c r="U21" s="354"/>
      <c r="V21" s="354"/>
      <c r="W21" s="354"/>
      <c r="X21" s="354"/>
      <c r="Y21" s="354"/>
      <c r="Z21" s="354"/>
      <c r="AA21" s="8"/>
    </row>
    <row r="22" spans="2:27">
      <c r="B22" s="347"/>
      <c r="C22" s="348"/>
      <c r="D22" s="348"/>
      <c r="E22" s="348"/>
      <c r="F22" s="348"/>
      <c r="G22" s="348"/>
      <c r="H22" s="348"/>
      <c r="I22" s="8"/>
      <c r="K22" s="361" t="s">
        <v>26</v>
      </c>
      <c r="L22" s="362"/>
      <c r="M22" s="362"/>
      <c r="N22" s="362"/>
      <c r="O22" s="362"/>
      <c r="P22" s="362"/>
      <c r="Q22" s="362"/>
      <c r="R22" s="363"/>
      <c r="T22" s="355" t="s">
        <v>28</v>
      </c>
      <c r="U22" s="356"/>
      <c r="V22" s="356"/>
      <c r="W22" s="356"/>
      <c r="X22" s="356"/>
      <c r="Y22" s="356"/>
      <c r="Z22" s="356"/>
      <c r="AA22" s="357"/>
    </row>
    <row r="23" spans="2:27" ht="15" thickBot="1">
      <c r="B23" s="347" t="s">
        <v>302</v>
      </c>
      <c r="C23" s="348"/>
      <c r="D23" s="348"/>
      <c r="E23" s="348"/>
      <c r="F23" s="348"/>
      <c r="G23" s="348"/>
      <c r="H23" s="348"/>
      <c r="I23" s="8">
        <v>220000</v>
      </c>
      <c r="K23" s="364"/>
      <c r="L23" s="365"/>
      <c r="M23" s="365"/>
      <c r="N23" s="365"/>
      <c r="O23" s="365"/>
      <c r="P23" s="365"/>
      <c r="Q23" s="365"/>
      <c r="R23" s="366"/>
      <c r="T23" s="358"/>
      <c r="U23" s="359"/>
      <c r="V23" s="359"/>
      <c r="W23" s="359"/>
      <c r="X23" s="359"/>
      <c r="Y23" s="359"/>
      <c r="Z23" s="359"/>
      <c r="AA23" s="360"/>
    </row>
    <row r="24" spans="2:27">
      <c r="B24" s="347" t="s">
        <v>301</v>
      </c>
      <c r="C24" s="348"/>
      <c r="D24" s="348"/>
      <c r="E24" s="348"/>
      <c r="F24" s="348"/>
      <c r="G24" s="348"/>
      <c r="H24" s="348"/>
      <c r="I24" s="8">
        <v>260000</v>
      </c>
      <c r="K24" s="345" t="s">
        <v>296</v>
      </c>
      <c r="L24" s="346"/>
      <c r="M24" s="346"/>
      <c r="N24" s="346"/>
      <c r="O24" s="346"/>
      <c r="P24" s="346"/>
      <c r="Q24" s="346"/>
      <c r="R24" s="8"/>
      <c r="T24" s="345" t="s">
        <v>2</v>
      </c>
      <c r="U24" s="346"/>
      <c r="V24" s="346"/>
      <c r="W24" s="346"/>
      <c r="X24" s="346"/>
      <c r="Y24" s="346"/>
      <c r="Z24" s="346"/>
      <c r="AA24" s="8"/>
    </row>
    <row r="25" spans="2:27">
      <c r="B25" s="347" t="s">
        <v>303</v>
      </c>
      <c r="C25" s="348"/>
      <c r="D25" s="348"/>
      <c r="E25" s="348"/>
      <c r="F25" s="348"/>
      <c r="G25" s="348"/>
      <c r="H25" s="348"/>
      <c r="I25" s="8">
        <v>14000</v>
      </c>
      <c r="K25" s="347" t="s">
        <v>295</v>
      </c>
      <c r="L25" s="348"/>
      <c r="M25" s="348"/>
      <c r="N25" s="348"/>
      <c r="O25" s="348"/>
      <c r="P25" s="348"/>
      <c r="Q25" s="348"/>
      <c r="R25" s="8"/>
      <c r="T25" s="347" t="s">
        <v>22</v>
      </c>
      <c r="U25" s="348"/>
      <c r="V25" s="348"/>
      <c r="W25" s="348"/>
      <c r="X25" s="348"/>
      <c r="Y25" s="348"/>
      <c r="Z25" s="348"/>
      <c r="AA25" s="8"/>
    </row>
    <row r="26" spans="2:27">
      <c r="B26" s="347" t="s">
        <v>304</v>
      </c>
      <c r="C26" s="348"/>
      <c r="D26" s="348"/>
      <c r="E26" s="348"/>
      <c r="F26" s="348"/>
      <c r="G26" s="348"/>
      <c r="H26" s="348"/>
      <c r="I26" s="8">
        <v>90000</v>
      </c>
      <c r="K26" s="347" t="s">
        <v>330</v>
      </c>
      <c r="L26" s="348"/>
      <c r="M26" s="348"/>
      <c r="N26" s="348"/>
      <c r="O26" s="348"/>
      <c r="P26" s="348"/>
      <c r="Q26" s="348"/>
      <c r="R26" s="8"/>
      <c r="T26" s="347" t="s">
        <v>21</v>
      </c>
      <c r="U26" s="348"/>
      <c r="V26" s="348"/>
      <c r="W26" s="348"/>
      <c r="X26" s="348"/>
      <c r="Y26" s="348"/>
      <c r="Z26" s="348"/>
      <c r="AA26" s="8"/>
    </row>
    <row r="27" spans="2:27">
      <c r="B27" s="347" t="s">
        <v>305</v>
      </c>
      <c r="C27" s="348"/>
      <c r="D27" s="348"/>
      <c r="E27" s="348"/>
      <c r="F27" s="348"/>
      <c r="G27" s="348"/>
      <c r="H27" s="348"/>
      <c r="I27" s="8">
        <v>60000</v>
      </c>
      <c r="K27" s="347" t="s">
        <v>329</v>
      </c>
      <c r="L27" s="348"/>
      <c r="M27" s="348"/>
      <c r="N27" s="348"/>
      <c r="O27" s="348"/>
      <c r="P27" s="348"/>
      <c r="Q27" s="348"/>
      <c r="R27" s="8">
        <v>12000</v>
      </c>
      <c r="T27" s="347" t="s">
        <v>71</v>
      </c>
      <c r="U27" s="348"/>
      <c r="V27" s="348"/>
      <c r="W27" s="348"/>
      <c r="X27" s="348"/>
      <c r="Y27" s="348"/>
      <c r="Z27" s="348"/>
      <c r="AA27" s="8"/>
    </row>
    <row r="28" spans="2:27">
      <c r="B28" s="347"/>
      <c r="C28" s="348"/>
      <c r="D28" s="348"/>
      <c r="E28" s="348"/>
      <c r="F28" s="348"/>
      <c r="G28" s="348"/>
      <c r="H28" s="348"/>
      <c r="I28" s="8"/>
      <c r="K28" s="347" t="s">
        <v>331</v>
      </c>
      <c r="L28" s="348"/>
      <c r="M28" s="348"/>
      <c r="N28" s="348"/>
      <c r="O28" s="348"/>
      <c r="P28" s="348"/>
      <c r="Q28" s="348"/>
      <c r="R28" s="8">
        <v>28000</v>
      </c>
      <c r="T28" s="347" t="s">
        <v>72</v>
      </c>
      <c r="U28" s="348"/>
      <c r="V28" s="348"/>
      <c r="W28" s="348"/>
      <c r="X28" s="348"/>
      <c r="Y28" s="348"/>
      <c r="Z28" s="348"/>
      <c r="AA28" s="8"/>
    </row>
    <row r="29" spans="2:27">
      <c r="B29" s="347"/>
      <c r="C29" s="348"/>
      <c r="D29" s="348"/>
      <c r="E29" s="348"/>
      <c r="F29" s="348"/>
      <c r="G29" s="348"/>
      <c r="H29" s="348"/>
      <c r="I29" s="8"/>
      <c r="K29" s="347" t="s">
        <v>42</v>
      </c>
      <c r="L29" s="348"/>
      <c r="M29" s="348"/>
      <c r="N29" s="348"/>
      <c r="O29" s="348"/>
      <c r="P29" s="348"/>
      <c r="Q29" s="348"/>
      <c r="R29" s="8">
        <v>200000</v>
      </c>
      <c r="T29" s="347"/>
      <c r="U29" s="348"/>
      <c r="V29" s="348"/>
      <c r="W29" s="348"/>
      <c r="X29" s="348"/>
      <c r="Y29" s="348"/>
      <c r="Z29" s="348"/>
      <c r="AA29" s="8"/>
    </row>
    <row r="30" spans="2:27">
      <c r="B30" s="347"/>
      <c r="C30" s="348"/>
      <c r="D30" s="348"/>
      <c r="E30" s="348"/>
      <c r="F30" s="348"/>
      <c r="G30" s="348"/>
      <c r="H30" s="348"/>
      <c r="I30" s="8"/>
      <c r="K30" s="347" t="s">
        <v>41</v>
      </c>
      <c r="L30" s="348"/>
      <c r="M30" s="348"/>
      <c r="N30" s="348"/>
      <c r="O30" s="348"/>
      <c r="P30" s="348"/>
      <c r="Q30" s="348"/>
      <c r="R30" s="8">
        <v>150000</v>
      </c>
      <c r="T30" s="347"/>
      <c r="U30" s="348"/>
      <c r="V30" s="348"/>
      <c r="W30" s="348"/>
      <c r="X30" s="348"/>
      <c r="Y30" s="348"/>
      <c r="Z30" s="348"/>
      <c r="AA30" s="8"/>
    </row>
    <row r="31" spans="2:27">
      <c r="B31" s="347"/>
      <c r="C31" s="348"/>
      <c r="D31" s="348"/>
      <c r="E31" s="348"/>
      <c r="F31" s="348"/>
      <c r="G31" s="348"/>
      <c r="H31" s="348"/>
      <c r="I31" s="8"/>
      <c r="K31" s="347" t="s">
        <v>3</v>
      </c>
      <c r="L31" s="348"/>
      <c r="M31" s="348"/>
      <c r="N31" s="348"/>
      <c r="O31" s="348"/>
      <c r="P31" s="348"/>
      <c r="Q31" s="348"/>
      <c r="R31" s="8">
        <v>100000</v>
      </c>
      <c r="T31" s="347"/>
      <c r="U31" s="348"/>
      <c r="V31" s="348"/>
      <c r="W31" s="348"/>
      <c r="X31" s="348"/>
      <c r="Y31" s="348"/>
      <c r="Z31" s="348"/>
      <c r="AA31" s="8"/>
    </row>
    <row r="32" spans="2:27">
      <c r="B32" s="347"/>
      <c r="C32" s="348"/>
      <c r="D32" s="348"/>
      <c r="E32" s="348"/>
      <c r="F32" s="348"/>
      <c r="G32" s="348"/>
      <c r="H32" s="348"/>
      <c r="I32" s="8"/>
      <c r="K32" s="347" t="s">
        <v>4</v>
      </c>
      <c r="L32" s="348"/>
      <c r="M32" s="348"/>
      <c r="N32" s="348"/>
      <c r="O32" s="348"/>
      <c r="P32" s="348"/>
      <c r="Q32" s="348"/>
      <c r="R32" s="8">
        <v>75000</v>
      </c>
      <c r="T32" s="347"/>
      <c r="U32" s="348"/>
      <c r="V32" s="348"/>
      <c r="W32" s="348"/>
      <c r="X32" s="348"/>
      <c r="Y32" s="348"/>
      <c r="Z32" s="348"/>
      <c r="AA32" s="8"/>
    </row>
    <row r="33" spans="2:27">
      <c r="B33" s="347"/>
      <c r="C33" s="348"/>
      <c r="D33" s="348"/>
      <c r="E33" s="348"/>
      <c r="F33" s="348"/>
      <c r="G33" s="348"/>
      <c r="H33" s="348"/>
      <c r="I33" s="8"/>
      <c r="K33" s="347" t="s">
        <v>67</v>
      </c>
      <c r="L33" s="348"/>
      <c r="M33" s="348"/>
      <c r="N33" s="348"/>
      <c r="O33" s="348"/>
      <c r="P33" s="348"/>
      <c r="Q33" s="348"/>
      <c r="R33" s="8">
        <v>500</v>
      </c>
      <c r="T33" s="347"/>
      <c r="U33" s="348"/>
      <c r="V33" s="348"/>
      <c r="W33" s="348"/>
      <c r="X33" s="348"/>
      <c r="Y33" s="348"/>
      <c r="Z33" s="348"/>
      <c r="AA33" s="8"/>
    </row>
    <row r="34" spans="2:27" ht="15" thickBot="1">
      <c r="B34" s="353"/>
      <c r="C34" s="354"/>
      <c r="D34" s="354"/>
      <c r="E34" s="354"/>
      <c r="F34" s="354"/>
      <c r="G34" s="354"/>
      <c r="H34" s="354"/>
      <c r="I34" s="11"/>
      <c r="K34" s="347" t="s">
        <v>68</v>
      </c>
      <c r="L34" s="348"/>
      <c r="M34" s="348"/>
      <c r="N34" s="348"/>
      <c r="O34" s="348"/>
      <c r="P34" s="348"/>
      <c r="Q34" s="348"/>
      <c r="R34" s="8">
        <v>500</v>
      </c>
      <c r="T34" s="347"/>
      <c r="U34" s="348"/>
      <c r="V34" s="348"/>
      <c r="W34" s="348"/>
      <c r="X34" s="348"/>
      <c r="Y34" s="348"/>
      <c r="Z34" s="348"/>
      <c r="AA34" s="8"/>
    </row>
    <row r="35" spans="2:27">
      <c r="B35" s="291" t="s">
        <v>95</v>
      </c>
      <c r="C35" s="292"/>
      <c r="D35" s="292"/>
      <c r="E35" s="292"/>
      <c r="F35" s="292"/>
      <c r="G35" s="292"/>
      <c r="H35" s="292"/>
      <c r="I35" s="293"/>
      <c r="K35" s="347" t="s">
        <v>70</v>
      </c>
      <c r="L35" s="348"/>
      <c r="M35" s="348"/>
      <c r="N35" s="348"/>
      <c r="O35" s="348"/>
      <c r="P35" s="348"/>
      <c r="Q35" s="348"/>
      <c r="R35" s="8">
        <v>6000</v>
      </c>
      <c r="T35" s="347"/>
      <c r="U35" s="348"/>
      <c r="V35" s="348"/>
      <c r="W35" s="348"/>
      <c r="X35" s="348"/>
      <c r="Y35" s="348"/>
      <c r="Z35" s="348"/>
      <c r="AA35" s="8"/>
    </row>
    <row r="36" spans="2:27" ht="15" thickBot="1">
      <c r="B36" s="294"/>
      <c r="C36" s="295"/>
      <c r="D36" s="295"/>
      <c r="E36" s="295"/>
      <c r="F36" s="295"/>
      <c r="G36" s="295"/>
      <c r="H36" s="295"/>
      <c r="I36" s="296"/>
      <c r="K36" s="347" t="s">
        <v>332</v>
      </c>
      <c r="L36" s="348"/>
      <c r="M36" s="348"/>
      <c r="N36" s="348"/>
      <c r="O36" s="348"/>
      <c r="P36" s="348"/>
      <c r="Q36" s="348"/>
      <c r="R36" s="8">
        <v>15000</v>
      </c>
      <c r="T36" s="347"/>
      <c r="U36" s="348"/>
      <c r="V36" s="348"/>
      <c r="W36" s="348"/>
      <c r="X36" s="348"/>
      <c r="Y36" s="348"/>
      <c r="Z36" s="348"/>
      <c r="AA36" s="8"/>
    </row>
    <row r="37" spans="2:27">
      <c r="B37" s="37" t="s">
        <v>96</v>
      </c>
      <c r="C37" s="38"/>
      <c r="D37" s="38"/>
      <c r="E37" s="38"/>
      <c r="F37" s="38"/>
      <c r="G37" s="38">
        <v>1</v>
      </c>
      <c r="H37" s="9">
        <v>75000</v>
      </c>
      <c r="I37" s="8">
        <f>G37*H37</f>
        <v>75000</v>
      </c>
      <c r="K37" s="347" t="s">
        <v>16</v>
      </c>
      <c r="L37" s="348"/>
      <c r="M37" s="348"/>
      <c r="N37" s="348"/>
      <c r="O37" s="348"/>
      <c r="P37" s="348"/>
      <c r="Q37" s="348"/>
      <c r="R37" s="8">
        <v>150000</v>
      </c>
      <c r="T37" s="347"/>
      <c r="U37" s="348"/>
      <c r="V37" s="348"/>
      <c r="W37" s="348"/>
      <c r="X37" s="348"/>
      <c r="Y37" s="348"/>
      <c r="Z37" s="348"/>
      <c r="AA37" s="8"/>
    </row>
    <row r="38" spans="2:27">
      <c r="B38" s="37" t="s">
        <v>97</v>
      </c>
      <c r="C38" s="38"/>
      <c r="D38" s="38"/>
      <c r="E38" s="38"/>
      <c r="F38" s="38"/>
      <c r="G38" s="38">
        <v>2</v>
      </c>
      <c r="H38" s="9">
        <v>70000</v>
      </c>
      <c r="I38" s="8">
        <f>G38*H38</f>
        <v>140000</v>
      </c>
      <c r="K38" s="347" t="s">
        <v>17</v>
      </c>
      <c r="L38" s="348"/>
      <c r="M38" s="348"/>
      <c r="N38" s="348"/>
      <c r="O38" s="348"/>
      <c r="P38" s="348"/>
      <c r="Q38" s="348"/>
      <c r="R38" s="8">
        <v>150000</v>
      </c>
      <c r="T38" s="347"/>
      <c r="U38" s="348"/>
      <c r="V38" s="348"/>
      <c r="W38" s="348"/>
      <c r="X38" s="348"/>
      <c r="Y38" s="348"/>
      <c r="Z38" s="348"/>
      <c r="AA38" s="8"/>
    </row>
    <row r="39" spans="2:27">
      <c r="B39" s="37" t="s">
        <v>98</v>
      </c>
      <c r="C39" s="38"/>
      <c r="D39" s="38"/>
      <c r="E39" s="38"/>
      <c r="F39" s="38"/>
      <c r="G39" s="38">
        <v>1</v>
      </c>
      <c r="H39" s="9">
        <v>60000</v>
      </c>
      <c r="I39" s="8">
        <f>G39*H39</f>
        <v>60000</v>
      </c>
      <c r="K39" s="347"/>
      <c r="L39" s="348"/>
      <c r="M39" s="348"/>
      <c r="N39" s="348"/>
      <c r="O39" s="348"/>
      <c r="P39" s="348"/>
      <c r="Q39" s="348"/>
      <c r="R39" s="8"/>
      <c r="T39" s="347"/>
      <c r="U39" s="348"/>
      <c r="V39" s="348"/>
      <c r="W39" s="348"/>
      <c r="X39" s="348"/>
      <c r="Y39" s="348"/>
      <c r="Z39" s="348"/>
      <c r="AA39" s="8"/>
    </row>
    <row r="40" spans="2:27" ht="15" thickBot="1">
      <c r="B40" s="39" t="s">
        <v>99</v>
      </c>
      <c r="C40" s="40"/>
      <c r="D40" s="40"/>
      <c r="E40" s="40"/>
      <c r="F40" s="40"/>
      <c r="G40" s="40"/>
      <c r="H40" s="10">
        <v>60000</v>
      </c>
      <c r="I40" s="11">
        <f>G40*H40</f>
        <v>0</v>
      </c>
      <c r="K40" s="353"/>
      <c r="L40" s="354"/>
      <c r="M40" s="354"/>
      <c r="N40" s="354"/>
      <c r="O40" s="354"/>
      <c r="P40" s="354"/>
      <c r="Q40" s="354"/>
      <c r="R40" s="11"/>
      <c r="T40" s="353"/>
      <c r="U40" s="354"/>
      <c r="V40" s="354"/>
      <c r="W40" s="354"/>
      <c r="X40" s="354"/>
      <c r="Y40" s="354"/>
      <c r="Z40" s="354"/>
      <c r="AA40" s="11"/>
    </row>
    <row r="44" spans="2:27" ht="15" thickBot="1"/>
    <row r="45" spans="2:27" ht="15" customHeight="1">
      <c r="B45" s="376"/>
      <c r="C45" s="377"/>
      <c r="D45" s="377"/>
      <c r="E45" s="377"/>
      <c r="F45" s="377"/>
      <c r="G45" s="377"/>
      <c r="H45" s="377"/>
      <c r="I45" s="378"/>
      <c r="M45" s="376"/>
      <c r="N45" s="377"/>
      <c r="O45" s="377"/>
      <c r="P45" s="377"/>
      <c r="Q45" s="377"/>
      <c r="R45" s="377"/>
      <c r="S45" s="377"/>
      <c r="T45" s="378"/>
    </row>
    <row r="46" spans="2:27" ht="15" customHeight="1">
      <c r="B46" s="379"/>
      <c r="C46" s="380"/>
      <c r="D46" s="380"/>
      <c r="E46" s="380"/>
      <c r="F46" s="380"/>
      <c r="G46" s="380"/>
      <c r="H46" s="380"/>
      <c r="I46" s="381"/>
      <c r="M46" s="379"/>
      <c r="N46" s="380"/>
      <c r="O46" s="380"/>
      <c r="P46" s="380"/>
      <c r="Q46" s="380"/>
      <c r="R46" s="380"/>
      <c r="S46" s="380"/>
      <c r="T46" s="381"/>
    </row>
    <row r="47" spans="2:27" ht="15.75" customHeight="1" thickBot="1">
      <c r="B47" s="382"/>
      <c r="C47" s="383"/>
      <c r="D47" s="383"/>
      <c r="E47" s="383"/>
      <c r="F47" s="383"/>
      <c r="G47" s="383"/>
      <c r="H47" s="383"/>
      <c r="I47" s="384"/>
      <c r="M47" s="382"/>
      <c r="N47" s="383"/>
      <c r="O47" s="383"/>
      <c r="P47" s="383"/>
      <c r="Q47" s="383"/>
      <c r="R47" s="383"/>
      <c r="S47" s="383"/>
      <c r="T47" s="384"/>
    </row>
    <row r="48" spans="2:27" ht="15" thickBot="1">
      <c r="B48" s="314" t="s">
        <v>262</v>
      </c>
      <c r="C48" s="315"/>
      <c r="D48" s="315"/>
      <c r="E48" s="315"/>
      <c r="F48" s="315"/>
      <c r="G48" s="315"/>
      <c r="H48" s="315"/>
      <c r="I48" s="411"/>
      <c r="M48" s="314" t="s">
        <v>262</v>
      </c>
      <c r="N48" s="315"/>
      <c r="O48" s="315"/>
      <c r="P48" s="315"/>
      <c r="Q48" s="315"/>
      <c r="R48" s="315"/>
      <c r="S48" s="315"/>
      <c r="T48" s="411"/>
    </row>
    <row r="49" spans="2:20" ht="15" thickBot="1">
      <c r="B49" s="314" t="s">
        <v>267</v>
      </c>
      <c r="C49" s="315"/>
      <c r="D49" s="315"/>
      <c r="E49" s="315"/>
      <c r="F49" s="315"/>
      <c r="G49" s="71" t="s">
        <v>266</v>
      </c>
      <c r="H49" s="71" t="s">
        <v>0</v>
      </c>
      <c r="I49" s="72" t="s">
        <v>265</v>
      </c>
      <c r="M49" s="314" t="s">
        <v>267</v>
      </c>
      <c r="N49" s="315"/>
      <c r="O49" s="315"/>
      <c r="P49" s="315"/>
      <c r="Q49" s="315"/>
      <c r="R49" s="71" t="s">
        <v>266</v>
      </c>
      <c r="S49" s="71" t="s">
        <v>0</v>
      </c>
      <c r="T49" s="72" t="s">
        <v>265</v>
      </c>
    </row>
    <row r="50" spans="2:20">
      <c r="B50" s="370" t="s">
        <v>13</v>
      </c>
      <c r="C50" s="371"/>
      <c r="D50" s="371"/>
      <c r="E50" s="372"/>
      <c r="F50" s="70">
        <v>1</v>
      </c>
      <c r="G50" s="6"/>
      <c r="H50" s="7">
        <f>$I$4</f>
        <v>160000</v>
      </c>
      <c r="I50" s="69">
        <f>F50*G50*H50</f>
        <v>0</v>
      </c>
      <c r="M50" s="370" t="s">
        <v>13</v>
      </c>
      <c r="N50" s="371"/>
      <c r="O50" s="371"/>
      <c r="P50" s="372"/>
      <c r="Q50" s="70">
        <v>1</v>
      </c>
      <c r="R50" s="6"/>
      <c r="S50" s="7">
        <f>$I$4</f>
        <v>160000</v>
      </c>
      <c r="T50" s="69">
        <f>Q50*R50*S50</f>
        <v>0</v>
      </c>
    </row>
    <row r="51" spans="2:20">
      <c r="B51" s="61" t="s">
        <v>261</v>
      </c>
      <c r="C51" s="62"/>
      <c r="D51" s="62"/>
      <c r="E51" s="63"/>
      <c r="F51" s="12">
        <v>1</v>
      </c>
      <c r="G51" s="1"/>
      <c r="H51" s="3">
        <f>$I$5</f>
        <v>165000</v>
      </c>
      <c r="I51" s="4"/>
      <c r="M51" s="61" t="s">
        <v>261</v>
      </c>
      <c r="N51" s="62"/>
      <c r="O51" s="62"/>
      <c r="P51" s="63"/>
      <c r="Q51" s="12">
        <v>1</v>
      </c>
      <c r="R51" s="1"/>
      <c r="S51" s="3">
        <f>$I$5</f>
        <v>165000</v>
      </c>
      <c r="T51" s="4"/>
    </row>
    <row r="52" spans="2:20">
      <c r="B52" s="288" t="s">
        <v>14</v>
      </c>
      <c r="C52" s="289"/>
      <c r="D52" s="289"/>
      <c r="E52" s="290"/>
      <c r="F52" s="12">
        <v>1</v>
      </c>
      <c r="G52" s="1"/>
      <c r="H52" s="3">
        <f>$I$6</f>
        <v>140000</v>
      </c>
      <c r="I52" s="4">
        <f>F52*G52*H52</f>
        <v>0</v>
      </c>
      <c r="M52" s="288" t="s">
        <v>306</v>
      </c>
      <c r="N52" s="289"/>
      <c r="O52" s="289"/>
      <c r="P52" s="290"/>
      <c r="Q52" s="12">
        <v>1</v>
      </c>
      <c r="R52" s="1"/>
      <c r="S52" s="3">
        <f>$I$6</f>
        <v>140000</v>
      </c>
      <c r="T52" s="4">
        <f>Q52*R52*S52</f>
        <v>0</v>
      </c>
    </row>
    <row r="53" spans="2:20">
      <c r="B53" s="288" t="s">
        <v>23</v>
      </c>
      <c r="C53" s="289"/>
      <c r="D53" s="289"/>
      <c r="E53" s="290"/>
      <c r="F53" s="12">
        <v>1</v>
      </c>
      <c r="G53" s="1"/>
      <c r="H53" s="3">
        <f>$I$7</f>
        <v>150000</v>
      </c>
      <c r="I53" s="4">
        <f>F53*G53*H53</f>
        <v>0</v>
      </c>
      <c r="M53" s="288" t="s">
        <v>307</v>
      </c>
      <c r="N53" s="289"/>
      <c r="O53" s="289"/>
      <c r="P53" s="290"/>
      <c r="Q53" s="12">
        <v>1</v>
      </c>
      <c r="R53" s="1"/>
      <c r="S53" s="3">
        <f>$I$7</f>
        <v>150000</v>
      </c>
      <c r="T53" s="4">
        <f>Q53*R53*S53</f>
        <v>0</v>
      </c>
    </row>
    <row r="54" spans="2:20">
      <c r="B54" s="288"/>
      <c r="C54" s="289"/>
      <c r="D54" s="289"/>
      <c r="E54" s="290"/>
      <c r="F54" s="12"/>
      <c r="G54" s="1"/>
      <c r="H54" s="3"/>
      <c r="I54" s="4">
        <f>F54*G54*H54</f>
        <v>0</v>
      </c>
      <c r="M54" s="288"/>
      <c r="N54" s="289"/>
      <c r="O54" s="289"/>
      <c r="P54" s="290"/>
      <c r="Q54" s="12"/>
      <c r="R54" s="1"/>
      <c r="S54" s="3"/>
      <c r="T54" s="4">
        <f>Q54*R54*S54</f>
        <v>0</v>
      </c>
    </row>
    <row r="55" spans="2:20">
      <c r="B55" s="283" t="s">
        <v>18</v>
      </c>
      <c r="C55" s="284"/>
      <c r="D55" s="284"/>
      <c r="E55" s="284"/>
      <c r="F55" s="285"/>
      <c r="G55" s="1"/>
      <c r="H55" s="3">
        <f>$I$8</f>
        <v>12800</v>
      </c>
      <c r="I55" s="4">
        <f>G55*H55</f>
        <v>0</v>
      </c>
      <c r="M55" s="283" t="s">
        <v>73</v>
      </c>
      <c r="N55" s="284"/>
      <c r="O55" s="284"/>
      <c r="P55" s="284"/>
      <c r="Q55" s="285"/>
      <c r="R55" s="1"/>
      <c r="S55" s="3">
        <f>$I$8</f>
        <v>12800</v>
      </c>
      <c r="T55" s="4">
        <f>R55*S55</f>
        <v>0</v>
      </c>
    </row>
    <row r="56" spans="2:20">
      <c r="B56" s="283" t="s">
        <v>19</v>
      </c>
      <c r="C56" s="284"/>
      <c r="D56" s="284"/>
      <c r="E56" s="284"/>
      <c r="F56" s="285"/>
      <c r="G56" s="1"/>
      <c r="H56" s="3">
        <f>$I$9</f>
        <v>11100</v>
      </c>
      <c r="I56" s="4">
        <f>G56*H56</f>
        <v>0</v>
      </c>
      <c r="M56" s="283" t="s">
        <v>74</v>
      </c>
      <c r="N56" s="284"/>
      <c r="O56" s="284"/>
      <c r="P56" s="284"/>
      <c r="Q56" s="285"/>
      <c r="R56" s="1"/>
      <c r="S56" s="3">
        <f>$I$9</f>
        <v>11100</v>
      </c>
      <c r="T56" s="4">
        <f>R56*S56</f>
        <v>0</v>
      </c>
    </row>
    <row r="57" spans="2:20">
      <c r="B57" s="280" t="s">
        <v>259</v>
      </c>
      <c r="C57" s="281"/>
      <c r="D57" s="281"/>
      <c r="E57" s="281"/>
      <c r="F57" s="282"/>
      <c r="G57" s="1"/>
      <c r="H57" s="3">
        <f>$I$10</f>
        <v>58</v>
      </c>
      <c r="I57" s="4">
        <f t="shared" ref="I57:I83" si="0">G57*H57</f>
        <v>0</v>
      </c>
      <c r="M57" s="280" t="s">
        <v>308</v>
      </c>
      <c r="N57" s="281"/>
      <c r="O57" s="281"/>
      <c r="P57" s="281"/>
      <c r="Q57" s="282"/>
      <c r="R57" s="1"/>
      <c r="S57" s="3">
        <f>$I$10</f>
        <v>58</v>
      </c>
      <c r="T57" s="4">
        <f t="shared" ref="T57:T69" si="1">R57*S57</f>
        <v>0</v>
      </c>
    </row>
    <row r="58" spans="2:20">
      <c r="B58" s="280" t="s">
        <v>260</v>
      </c>
      <c r="C58" s="281"/>
      <c r="D58" s="281"/>
      <c r="E58" s="281"/>
      <c r="F58" s="282"/>
      <c r="G58" s="1"/>
      <c r="H58" s="3">
        <f>$I$11</f>
        <v>35</v>
      </c>
      <c r="I58" s="4">
        <f t="shared" si="0"/>
        <v>0</v>
      </c>
      <c r="M58" s="280" t="s">
        <v>309</v>
      </c>
      <c r="N58" s="281"/>
      <c r="O58" s="281"/>
      <c r="P58" s="281"/>
      <c r="Q58" s="282"/>
      <c r="R58" s="1"/>
      <c r="S58" s="3">
        <f>$I$11</f>
        <v>35</v>
      </c>
      <c r="T58" s="4">
        <f t="shared" si="1"/>
        <v>0</v>
      </c>
    </row>
    <row r="59" spans="2:20">
      <c r="B59" s="280" t="s">
        <v>299</v>
      </c>
      <c r="C59" s="281"/>
      <c r="D59" s="281"/>
      <c r="E59" s="281"/>
      <c r="F59" s="282"/>
      <c r="G59" s="1"/>
      <c r="H59" s="3">
        <f>$I$12</f>
        <v>1250</v>
      </c>
      <c r="I59" s="4">
        <f t="shared" si="0"/>
        <v>0</v>
      </c>
      <c r="M59" s="280" t="s">
        <v>310</v>
      </c>
      <c r="N59" s="281"/>
      <c r="O59" s="281"/>
      <c r="P59" s="281"/>
      <c r="Q59" s="282"/>
      <c r="R59" s="1"/>
      <c r="S59" s="3">
        <f>$I$12</f>
        <v>1250</v>
      </c>
      <c r="T59" s="4">
        <f t="shared" si="1"/>
        <v>0</v>
      </c>
    </row>
    <row r="60" spans="2:20">
      <c r="B60" s="280" t="s">
        <v>300</v>
      </c>
      <c r="C60" s="281"/>
      <c r="D60" s="281"/>
      <c r="E60" s="281"/>
      <c r="F60" s="282"/>
      <c r="G60" s="1"/>
      <c r="H60" s="3">
        <f>$I$13</f>
        <v>1250</v>
      </c>
      <c r="I60" s="4">
        <f t="shared" si="0"/>
        <v>0</v>
      </c>
      <c r="M60" s="280" t="s">
        <v>311</v>
      </c>
      <c r="N60" s="281"/>
      <c r="O60" s="281"/>
      <c r="P60" s="281"/>
      <c r="Q60" s="282"/>
      <c r="R60" s="1"/>
      <c r="S60" s="3">
        <f>$I$13</f>
        <v>1250</v>
      </c>
      <c r="T60" s="4">
        <f t="shared" si="1"/>
        <v>0</v>
      </c>
    </row>
    <row r="61" spans="2:20">
      <c r="B61" s="280" t="s">
        <v>220</v>
      </c>
      <c r="C61" s="281"/>
      <c r="D61" s="281"/>
      <c r="E61" s="281"/>
      <c r="F61" s="282"/>
      <c r="G61" s="1"/>
      <c r="H61" s="3">
        <f>$I$14</f>
        <v>750</v>
      </c>
      <c r="I61" s="4">
        <f t="shared" si="0"/>
        <v>0</v>
      </c>
      <c r="M61" s="280" t="s">
        <v>312</v>
      </c>
      <c r="N61" s="281"/>
      <c r="O61" s="281"/>
      <c r="P61" s="281"/>
      <c r="Q61" s="282"/>
      <c r="R61" s="1"/>
      <c r="S61" s="3">
        <f>$I$14</f>
        <v>750</v>
      </c>
      <c r="T61" s="4">
        <f t="shared" si="1"/>
        <v>0</v>
      </c>
    </row>
    <row r="62" spans="2:20">
      <c r="B62" s="280" t="s">
        <v>268</v>
      </c>
      <c r="C62" s="281"/>
      <c r="D62" s="281"/>
      <c r="E62" s="281"/>
      <c r="F62" s="282"/>
      <c r="G62" s="1"/>
      <c r="H62" s="3">
        <f>$I$15</f>
        <v>175</v>
      </c>
      <c r="I62" s="4">
        <f t="shared" si="0"/>
        <v>0</v>
      </c>
      <c r="M62" s="280" t="s">
        <v>313</v>
      </c>
      <c r="N62" s="281"/>
      <c r="O62" s="281"/>
      <c r="P62" s="281"/>
      <c r="Q62" s="282"/>
      <c r="R62" s="1"/>
      <c r="S62" s="3">
        <f>$I$15</f>
        <v>175</v>
      </c>
      <c r="T62" s="4">
        <f t="shared" si="1"/>
        <v>0</v>
      </c>
    </row>
    <row r="63" spans="2:20">
      <c r="B63" s="280" t="s">
        <v>221</v>
      </c>
      <c r="C63" s="281"/>
      <c r="D63" s="281"/>
      <c r="E63" s="281"/>
      <c r="F63" s="282"/>
      <c r="G63" s="1"/>
      <c r="H63" s="3">
        <f>$I$16</f>
        <v>175</v>
      </c>
      <c r="I63" s="4">
        <f t="shared" si="0"/>
        <v>0</v>
      </c>
      <c r="M63" s="280" t="s">
        <v>314</v>
      </c>
      <c r="N63" s="281"/>
      <c r="O63" s="281"/>
      <c r="P63" s="281"/>
      <c r="Q63" s="282"/>
      <c r="R63" s="1"/>
      <c r="S63" s="3">
        <f>$I$16</f>
        <v>175</v>
      </c>
      <c r="T63" s="4">
        <f t="shared" si="1"/>
        <v>0</v>
      </c>
    </row>
    <row r="64" spans="2:20">
      <c r="B64" s="288" t="s">
        <v>222</v>
      </c>
      <c r="C64" s="289"/>
      <c r="D64" s="289"/>
      <c r="E64" s="289"/>
      <c r="F64" s="290"/>
      <c r="G64" s="1"/>
      <c r="H64" s="3">
        <f>$I$17</f>
        <v>90000</v>
      </c>
      <c r="I64" s="4">
        <f t="shared" si="0"/>
        <v>0</v>
      </c>
      <c r="M64" s="288" t="s">
        <v>222</v>
      </c>
      <c r="N64" s="289"/>
      <c r="O64" s="289"/>
      <c r="P64" s="289"/>
      <c r="Q64" s="290"/>
      <c r="R64" s="1"/>
      <c r="S64" s="3">
        <f>$I$17</f>
        <v>90000</v>
      </c>
      <c r="T64" s="4">
        <f t="shared" si="1"/>
        <v>0</v>
      </c>
    </row>
    <row r="65" spans="2:23" ht="15" thickBot="1">
      <c r="B65" s="283" t="s">
        <v>337</v>
      </c>
      <c r="C65" s="284"/>
      <c r="D65" s="284"/>
      <c r="E65" s="284"/>
      <c r="F65" s="285"/>
      <c r="G65" s="1"/>
      <c r="H65" s="3">
        <f>$I$18</f>
        <v>21000</v>
      </c>
      <c r="I65" s="4">
        <f t="shared" si="0"/>
        <v>0</v>
      </c>
      <c r="M65" s="283" t="s">
        <v>337</v>
      </c>
      <c r="N65" s="284"/>
      <c r="O65" s="284"/>
      <c r="P65" s="284"/>
      <c r="Q65" s="285"/>
      <c r="R65" s="1"/>
      <c r="S65" s="3">
        <f>$I$18</f>
        <v>21000</v>
      </c>
      <c r="T65" s="4">
        <f t="shared" si="1"/>
        <v>0</v>
      </c>
    </row>
    <row r="66" spans="2:23" ht="15" customHeight="1">
      <c r="B66" s="283" t="s">
        <v>269</v>
      </c>
      <c r="C66" s="284"/>
      <c r="D66" s="284"/>
      <c r="E66" s="284"/>
      <c r="F66" s="285"/>
      <c r="G66" s="1"/>
      <c r="H66" s="3">
        <f>$I$19</f>
        <v>40000</v>
      </c>
      <c r="I66" s="4">
        <f t="shared" si="0"/>
        <v>0</v>
      </c>
      <c r="J66" s="308" t="s">
        <v>275</v>
      </c>
      <c r="K66" s="309"/>
      <c r="L66" s="310"/>
      <c r="M66" s="283" t="s">
        <v>269</v>
      </c>
      <c r="N66" s="284"/>
      <c r="O66" s="284"/>
      <c r="P66" s="284"/>
      <c r="Q66" s="285"/>
      <c r="R66" s="1"/>
      <c r="S66" s="3">
        <f>$I$19</f>
        <v>40000</v>
      </c>
      <c r="T66" s="4">
        <f t="shared" si="1"/>
        <v>0</v>
      </c>
      <c r="U66" s="308" t="s">
        <v>275</v>
      </c>
      <c r="V66" s="309"/>
      <c r="W66" s="310"/>
    </row>
    <row r="67" spans="2:23" ht="15.75" customHeight="1" thickBot="1">
      <c r="B67" s="283" t="s">
        <v>270</v>
      </c>
      <c r="C67" s="284"/>
      <c r="D67" s="284"/>
      <c r="E67" s="284"/>
      <c r="F67" s="285"/>
      <c r="G67" s="1"/>
      <c r="H67" s="3">
        <f>$I$20</f>
        <v>13000</v>
      </c>
      <c r="I67" s="4">
        <f t="shared" si="0"/>
        <v>0</v>
      </c>
      <c r="J67" s="311"/>
      <c r="K67" s="312"/>
      <c r="L67" s="313"/>
      <c r="M67" s="283" t="s">
        <v>270</v>
      </c>
      <c r="N67" s="284"/>
      <c r="O67" s="284"/>
      <c r="P67" s="284"/>
      <c r="Q67" s="285"/>
      <c r="R67" s="1"/>
      <c r="S67" s="3">
        <f>$I$20</f>
        <v>13000</v>
      </c>
      <c r="T67" s="4">
        <f t="shared" si="1"/>
        <v>0</v>
      </c>
      <c r="U67" s="311"/>
      <c r="V67" s="312"/>
      <c r="W67" s="313"/>
    </row>
    <row r="68" spans="2:23" ht="15" customHeight="1">
      <c r="B68" s="280"/>
      <c r="C68" s="281"/>
      <c r="D68" s="281"/>
      <c r="E68" s="281"/>
      <c r="F68" s="282"/>
      <c r="G68" s="1"/>
      <c r="H68" s="3"/>
      <c r="I68" s="4">
        <f t="shared" si="0"/>
        <v>0</v>
      </c>
      <c r="J68" s="257">
        <f>SUM(I50:I69)</f>
        <v>0</v>
      </c>
      <c r="K68" s="258"/>
      <c r="L68" s="259"/>
      <c r="M68" s="280"/>
      <c r="N68" s="281"/>
      <c r="O68" s="281"/>
      <c r="P68" s="281"/>
      <c r="Q68" s="282"/>
      <c r="R68" s="1"/>
      <c r="S68" s="3"/>
      <c r="T68" s="4">
        <f t="shared" si="1"/>
        <v>0</v>
      </c>
      <c r="U68" s="257">
        <f>SUM(T50:T69)</f>
        <v>0</v>
      </c>
      <c r="V68" s="258"/>
      <c r="W68" s="259"/>
    </row>
    <row r="69" spans="2:23" ht="15.75" customHeight="1" thickBot="1">
      <c r="B69" s="286"/>
      <c r="C69" s="287"/>
      <c r="D69" s="287"/>
      <c r="E69" s="287"/>
      <c r="F69" s="287"/>
      <c r="G69" s="66"/>
      <c r="H69" s="67"/>
      <c r="I69" s="68">
        <f t="shared" si="0"/>
        <v>0</v>
      </c>
      <c r="J69" s="260"/>
      <c r="K69" s="261"/>
      <c r="L69" s="262"/>
      <c r="M69" s="286"/>
      <c r="N69" s="287"/>
      <c r="O69" s="287"/>
      <c r="P69" s="287"/>
      <c r="Q69" s="287"/>
      <c r="R69" s="66"/>
      <c r="S69" s="67"/>
      <c r="T69" s="68">
        <f t="shared" si="1"/>
        <v>0</v>
      </c>
      <c r="U69" s="260"/>
      <c r="V69" s="261"/>
      <c r="W69" s="262"/>
    </row>
    <row r="70" spans="2:23" ht="15" thickBot="1">
      <c r="B70" s="417" t="s">
        <v>271</v>
      </c>
      <c r="C70" s="418"/>
      <c r="D70" s="418"/>
      <c r="E70" s="418"/>
      <c r="F70" s="418"/>
      <c r="G70" s="418"/>
      <c r="H70" s="418"/>
      <c r="I70" s="419"/>
      <c r="M70" s="417" t="s">
        <v>271</v>
      </c>
      <c r="N70" s="418"/>
      <c r="O70" s="418"/>
      <c r="P70" s="418"/>
      <c r="Q70" s="418"/>
      <c r="R70" s="418"/>
      <c r="S70" s="418"/>
      <c r="T70" s="419"/>
    </row>
    <row r="71" spans="2:23" ht="15" thickBot="1">
      <c r="B71" s="314" t="s">
        <v>267</v>
      </c>
      <c r="C71" s="315"/>
      <c r="D71" s="315"/>
      <c r="E71" s="315"/>
      <c r="F71" s="315"/>
      <c r="G71" s="71" t="s">
        <v>266</v>
      </c>
      <c r="H71" s="71" t="s">
        <v>0</v>
      </c>
      <c r="I71" s="72" t="s">
        <v>265</v>
      </c>
      <c r="M71" s="314" t="s">
        <v>267</v>
      </c>
      <c r="N71" s="315"/>
      <c r="O71" s="315"/>
      <c r="P71" s="315"/>
      <c r="Q71" s="315"/>
      <c r="R71" s="71" t="s">
        <v>266</v>
      </c>
      <c r="S71" s="71" t="s">
        <v>0</v>
      </c>
      <c r="T71" s="72" t="s">
        <v>265</v>
      </c>
    </row>
    <row r="72" spans="2:23">
      <c r="B72" s="318" t="s">
        <v>272</v>
      </c>
      <c r="C72" s="319"/>
      <c r="D72" s="319"/>
      <c r="E72" s="319"/>
      <c r="F72" s="320"/>
      <c r="G72" s="6"/>
      <c r="H72" s="7">
        <f>$I$23</f>
        <v>220000</v>
      </c>
      <c r="I72" s="69">
        <f t="shared" si="0"/>
        <v>0</v>
      </c>
      <c r="M72" s="318" t="s">
        <v>272</v>
      </c>
      <c r="N72" s="319"/>
      <c r="O72" s="319"/>
      <c r="P72" s="319"/>
      <c r="Q72" s="320"/>
      <c r="R72" s="6"/>
      <c r="S72" s="7">
        <f>$I$23</f>
        <v>220000</v>
      </c>
      <c r="T72" s="69">
        <f t="shared" ref="T72:T77" si="2">R72*S72</f>
        <v>0</v>
      </c>
    </row>
    <row r="73" spans="2:23">
      <c r="B73" s="283" t="s">
        <v>273</v>
      </c>
      <c r="C73" s="284"/>
      <c r="D73" s="284"/>
      <c r="E73" s="284"/>
      <c r="F73" s="285"/>
      <c r="G73" s="1"/>
      <c r="H73" s="7">
        <f>$I$26</f>
        <v>90000</v>
      </c>
      <c r="I73" s="4">
        <f t="shared" si="0"/>
        <v>0</v>
      </c>
      <c r="M73" s="283" t="s">
        <v>273</v>
      </c>
      <c r="N73" s="284"/>
      <c r="O73" s="284"/>
      <c r="P73" s="284"/>
      <c r="Q73" s="285"/>
      <c r="R73" s="1"/>
      <c r="S73" s="7">
        <f>$I$26</f>
        <v>90000</v>
      </c>
      <c r="T73" s="4">
        <f t="shared" si="2"/>
        <v>0</v>
      </c>
    </row>
    <row r="74" spans="2:23">
      <c r="B74" s="283" t="s">
        <v>224</v>
      </c>
      <c r="C74" s="284"/>
      <c r="D74" s="284"/>
      <c r="E74" s="284"/>
      <c r="F74" s="285"/>
      <c r="G74" s="1"/>
      <c r="H74" s="7">
        <f>$I$27</f>
        <v>60000</v>
      </c>
      <c r="I74" s="4">
        <f t="shared" si="0"/>
        <v>0</v>
      </c>
      <c r="M74" s="283" t="s">
        <v>224</v>
      </c>
      <c r="N74" s="284"/>
      <c r="O74" s="284"/>
      <c r="P74" s="284"/>
      <c r="Q74" s="285"/>
      <c r="R74" s="1"/>
      <c r="S74" s="7">
        <f>$I$27</f>
        <v>60000</v>
      </c>
      <c r="T74" s="4">
        <f t="shared" si="2"/>
        <v>0</v>
      </c>
    </row>
    <row r="75" spans="2:23">
      <c r="B75" s="283" t="s">
        <v>274</v>
      </c>
      <c r="C75" s="284"/>
      <c r="D75" s="284"/>
      <c r="E75" s="284"/>
      <c r="F75" s="285"/>
      <c r="G75" s="1"/>
      <c r="H75" s="7">
        <f>$I$26</f>
        <v>90000</v>
      </c>
      <c r="I75" s="4">
        <f t="shared" si="0"/>
        <v>0</v>
      </c>
      <c r="M75" s="283" t="s">
        <v>274</v>
      </c>
      <c r="N75" s="284"/>
      <c r="O75" s="284"/>
      <c r="P75" s="284"/>
      <c r="Q75" s="285"/>
      <c r="R75" s="1"/>
      <c r="S75" s="7">
        <f>$I$26</f>
        <v>90000</v>
      </c>
      <c r="T75" s="4">
        <f t="shared" si="2"/>
        <v>0</v>
      </c>
    </row>
    <row r="76" spans="2:23">
      <c r="B76" s="283" t="s">
        <v>226</v>
      </c>
      <c r="C76" s="284"/>
      <c r="D76" s="284"/>
      <c r="E76" s="284"/>
      <c r="F76" s="285"/>
      <c r="G76" s="1"/>
      <c r="H76" s="7"/>
      <c r="I76" s="4">
        <f t="shared" si="0"/>
        <v>0</v>
      </c>
      <c r="M76" s="283" t="s">
        <v>226</v>
      </c>
      <c r="N76" s="284"/>
      <c r="O76" s="284"/>
      <c r="P76" s="284"/>
      <c r="Q76" s="285"/>
      <c r="R76" s="1"/>
      <c r="S76" s="7"/>
      <c r="T76" s="4">
        <f t="shared" si="2"/>
        <v>0</v>
      </c>
    </row>
    <row r="77" spans="2:23">
      <c r="B77" s="58" t="s">
        <v>227</v>
      </c>
      <c r="C77" s="59"/>
      <c r="D77" s="59"/>
      <c r="E77" s="59"/>
      <c r="F77" s="60"/>
      <c r="G77" s="1"/>
      <c r="H77" s="7"/>
      <c r="I77" s="4">
        <f t="shared" si="0"/>
        <v>0</v>
      </c>
      <c r="M77" s="58" t="s">
        <v>227</v>
      </c>
      <c r="N77" s="59"/>
      <c r="O77" s="59"/>
      <c r="P77" s="59"/>
      <c r="Q77" s="60"/>
      <c r="R77" s="1"/>
      <c r="S77" s="7"/>
      <c r="T77" s="4">
        <f t="shared" si="2"/>
        <v>0</v>
      </c>
    </row>
    <row r="78" spans="2:23">
      <c r="B78" s="58" t="s">
        <v>225</v>
      </c>
      <c r="C78" s="59"/>
      <c r="D78" s="59"/>
      <c r="E78" s="59"/>
      <c r="F78" s="60"/>
      <c r="G78" s="1"/>
      <c r="H78" s="7"/>
      <c r="I78" s="4"/>
      <c r="M78" s="58" t="s">
        <v>225</v>
      </c>
      <c r="N78" s="59"/>
      <c r="O78" s="59"/>
      <c r="P78" s="59"/>
      <c r="Q78" s="60"/>
      <c r="R78" s="1"/>
      <c r="S78" s="7"/>
      <c r="T78" s="4"/>
    </row>
    <row r="79" spans="2:23" ht="15" thickBot="1">
      <c r="B79" s="58"/>
      <c r="C79" s="59"/>
      <c r="D79" s="59"/>
      <c r="E79" s="59"/>
      <c r="F79" s="60"/>
      <c r="G79" s="1"/>
      <c r="H79" s="3"/>
      <c r="I79" s="4">
        <f t="shared" si="0"/>
        <v>0</v>
      </c>
      <c r="M79" s="58"/>
      <c r="N79" s="59"/>
      <c r="O79" s="59"/>
      <c r="P79" s="59"/>
      <c r="Q79" s="60"/>
      <c r="R79" s="1"/>
      <c r="S79" s="3"/>
      <c r="T79" s="4">
        <f t="shared" ref="T79:T83" si="3">R79*S79</f>
        <v>0</v>
      </c>
    </row>
    <row r="80" spans="2:23" ht="15" customHeight="1">
      <c r="B80" s="283"/>
      <c r="C80" s="284"/>
      <c r="D80" s="284"/>
      <c r="E80" s="284"/>
      <c r="F80" s="285"/>
      <c r="G80" s="1"/>
      <c r="H80" s="3"/>
      <c r="I80" s="4">
        <f t="shared" si="0"/>
        <v>0</v>
      </c>
      <c r="J80" s="308" t="s">
        <v>275</v>
      </c>
      <c r="K80" s="309"/>
      <c r="L80" s="310"/>
      <c r="M80" s="283"/>
      <c r="N80" s="284"/>
      <c r="O80" s="284"/>
      <c r="P80" s="284"/>
      <c r="Q80" s="285"/>
      <c r="R80" s="1"/>
      <c r="S80" s="3"/>
      <c r="T80" s="4">
        <f t="shared" si="3"/>
        <v>0</v>
      </c>
      <c r="U80" s="308" t="s">
        <v>275</v>
      </c>
      <c r="V80" s="309"/>
      <c r="W80" s="310"/>
    </row>
    <row r="81" spans="2:23" ht="15.75" customHeight="1" thickBot="1">
      <c r="B81" s="283"/>
      <c r="C81" s="284"/>
      <c r="D81" s="284"/>
      <c r="E81" s="284"/>
      <c r="F81" s="285"/>
      <c r="G81" s="1"/>
      <c r="H81" s="3"/>
      <c r="I81" s="4">
        <f t="shared" si="0"/>
        <v>0</v>
      </c>
      <c r="J81" s="311"/>
      <c r="K81" s="312"/>
      <c r="L81" s="313"/>
      <c r="M81" s="283"/>
      <c r="N81" s="284"/>
      <c r="O81" s="284"/>
      <c r="P81" s="284"/>
      <c r="Q81" s="285"/>
      <c r="R81" s="1"/>
      <c r="S81" s="3"/>
      <c r="T81" s="4">
        <f t="shared" si="3"/>
        <v>0</v>
      </c>
      <c r="U81" s="311"/>
      <c r="V81" s="312"/>
      <c r="W81" s="313"/>
    </row>
    <row r="82" spans="2:23" ht="15" customHeight="1">
      <c r="B82" s="283"/>
      <c r="C82" s="284"/>
      <c r="D82" s="284"/>
      <c r="E82" s="284"/>
      <c r="F82" s="285"/>
      <c r="G82" s="1"/>
      <c r="H82" s="3"/>
      <c r="I82" s="4">
        <f t="shared" si="0"/>
        <v>0</v>
      </c>
      <c r="J82" s="257">
        <f>SUM(I72:I83)</f>
        <v>0</v>
      </c>
      <c r="K82" s="258"/>
      <c r="L82" s="259"/>
      <c r="M82" s="283"/>
      <c r="N82" s="284"/>
      <c r="O82" s="284"/>
      <c r="P82" s="284"/>
      <c r="Q82" s="285"/>
      <c r="R82" s="1"/>
      <c r="S82" s="3"/>
      <c r="T82" s="4">
        <f t="shared" si="3"/>
        <v>0</v>
      </c>
      <c r="U82" s="257">
        <f>SUM(T72:T83)</f>
        <v>0</v>
      </c>
      <c r="V82" s="258"/>
      <c r="W82" s="259"/>
    </row>
    <row r="83" spans="2:23" ht="15" customHeight="1" thickBot="1">
      <c r="B83" s="73"/>
      <c r="C83" s="74"/>
      <c r="D83" s="74"/>
      <c r="E83" s="74"/>
      <c r="F83" s="75"/>
      <c r="G83" s="66"/>
      <c r="H83" s="67"/>
      <c r="I83" s="68">
        <f t="shared" si="0"/>
        <v>0</v>
      </c>
      <c r="J83" s="260"/>
      <c r="K83" s="261"/>
      <c r="L83" s="262"/>
      <c r="M83" s="73"/>
      <c r="N83" s="74"/>
      <c r="O83" s="74"/>
      <c r="P83" s="74"/>
      <c r="Q83" s="75"/>
      <c r="R83" s="66"/>
      <c r="S83" s="67"/>
      <c r="T83" s="68">
        <f t="shared" si="3"/>
        <v>0</v>
      </c>
      <c r="U83" s="260"/>
      <c r="V83" s="261"/>
      <c r="W83" s="262"/>
    </row>
    <row r="84" spans="2:23" ht="15" customHeight="1" thickBot="1">
      <c r="B84" s="394" t="s">
        <v>25</v>
      </c>
      <c r="C84" s="395"/>
      <c r="D84" s="395"/>
      <c r="E84" s="395"/>
      <c r="F84" s="395"/>
      <c r="G84" s="395"/>
      <c r="H84" s="395"/>
      <c r="I84" s="396"/>
      <c r="J84" s="65"/>
      <c r="K84" s="65"/>
      <c r="L84" s="65"/>
      <c r="M84" s="394" t="s">
        <v>25</v>
      </c>
      <c r="N84" s="395"/>
      <c r="O84" s="395"/>
      <c r="P84" s="395"/>
      <c r="Q84" s="395"/>
      <c r="R84" s="395"/>
      <c r="S84" s="395"/>
      <c r="T84" s="396"/>
      <c r="U84" s="65"/>
      <c r="V84" s="65"/>
      <c r="W84" s="65"/>
    </row>
    <row r="85" spans="2:23" ht="15" customHeight="1" thickBot="1">
      <c r="B85" s="400" t="s">
        <v>267</v>
      </c>
      <c r="C85" s="401"/>
      <c r="D85" s="401"/>
      <c r="E85" s="401"/>
      <c r="F85" s="401"/>
      <c r="G85" s="84" t="s">
        <v>266</v>
      </c>
      <c r="H85" s="85" t="s">
        <v>0</v>
      </c>
      <c r="I85" s="86" t="s">
        <v>265</v>
      </c>
      <c r="J85" s="65"/>
      <c r="K85" s="65"/>
      <c r="L85" s="65"/>
      <c r="M85" s="400" t="s">
        <v>267</v>
      </c>
      <c r="N85" s="401"/>
      <c r="O85" s="401"/>
      <c r="P85" s="401"/>
      <c r="Q85" s="401"/>
      <c r="R85" s="84" t="s">
        <v>266</v>
      </c>
      <c r="S85" s="85" t="s">
        <v>0</v>
      </c>
      <c r="T85" s="86" t="s">
        <v>265</v>
      </c>
      <c r="U85" s="65"/>
      <c r="V85" s="65"/>
      <c r="W85" s="65"/>
    </row>
    <row r="86" spans="2:23" ht="15" customHeight="1">
      <c r="B86" s="397" t="s">
        <v>31</v>
      </c>
      <c r="C86" s="398"/>
      <c r="D86" s="398"/>
      <c r="E86" s="398"/>
      <c r="F86" s="399"/>
      <c r="G86" s="6"/>
      <c r="H86" s="7">
        <f>$R$4</f>
        <v>300000</v>
      </c>
      <c r="I86" s="4">
        <f t="shared" ref="I86:I88" si="4">G86*H86</f>
        <v>0</v>
      </c>
      <c r="J86" s="65"/>
      <c r="K86" s="65"/>
      <c r="L86" s="65"/>
      <c r="M86" s="397" t="s">
        <v>31</v>
      </c>
      <c r="N86" s="398"/>
      <c r="O86" s="398"/>
      <c r="P86" s="398"/>
      <c r="Q86" s="399"/>
      <c r="R86" s="6"/>
      <c r="S86" s="7">
        <f>$R$4</f>
        <v>300000</v>
      </c>
      <c r="T86" s="4">
        <f t="shared" ref="T86:T88" si="5">R86*S86</f>
        <v>0</v>
      </c>
      <c r="U86" s="65"/>
      <c r="V86" s="65"/>
      <c r="W86" s="65"/>
    </row>
    <row r="87" spans="2:23" ht="15" customHeight="1">
      <c r="B87" s="277" t="s">
        <v>11</v>
      </c>
      <c r="C87" s="278"/>
      <c r="D87" s="278"/>
      <c r="E87" s="278"/>
      <c r="F87" s="279"/>
      <c r="G87" s="1"/>
      <c r="H87" s="7">
        <f>$R$5</f>
        <v>250000</v>
      </c>
      <c r="I87" s="4">
        <f t="shared" si="4"/>
        <v>0</v>
      </c>
      <c r="J87" s="65"/>
      <c r="K87" s="65"/>
      <c r="L87" s="65"/>
      <c r="M87" s="277" t="s">
        <v>11</v>
      </c>
      <c r="N87" s="278"/>
      <c r="O87" s="278"/>
      <c r="P87" s="278"/>
      <c r="Q87" s="279"/>
      <c r="R87" s="1"/>
      <c r="S87" s="7">
        <f>$R$5</f>
        <v>250000</v>
      </c>
      <c r="T87" s="4">
        <f t="shared" si="5"/>
        <v>0</v>
      </c>
      <c r="U87" s="65"/>
      <c r="V87" s="65"/>
      <c r="W87" s="65"/>
    </row>
    <row r="88" spans="2:23" ht="15" customHeight="1">
      <c r="B88" s="277" t="s">
        <v>32</v>
      </c>
      <c r="C88" s="278"/>
      <c r="D88" s="278"/>
      <c r="E88" s="278"/>
      <c r="F88" s="279"/>
      <c r="G88" s="1"/>
      <c r="H88" s="7">
        <f>$R$6</f>
        <v>65000</v>
      </c>
      <c r="I88" s="4">
        <f t="shared" si="4"/>
        <v>0</v>
      </c>
      <c r="J88" s="65"/>
      <c r="K88" s="65"/>
      <c r="L88" s="65"/>
      <c r="M88" s="277" t="s">
        <v>32</v>
      </c>
      <c r="N88" s="278"/>
      <c r="O88" s="278"/>
      <c r="P88" s="278"/>
      <c r="Q88" s="279"/>
      <c r="R88" s="1"/>
      <c r="S88" s="7">
        <f>$R$6</f>
        <v>65000</v>
      </c>
      <c r="T88" s="4">
        <f t="shared" si="5"/>
        <v>0</v>
      </c>
      <c r="U88" s="65"/>
      <c r="V88" s="65"/>
      <c r="W88" s="65"/>
    </row>
    <row r="89" spans="2:23" ht="15.75" customHeight="1">
      <c r="B89" s="277" t="s">
        <v>327</v>
      </c>
      <c r="C89" s="278"/>
      <c r="D89" s="278"/>
      <c r="E89" s="278"/>
      <c r="F89" s="279"/>
      <c r="G89" s="1"/>
      <c r="H89" s="7">
        <f>$R$7</f>
        <v>30000</v>
      </c>
      <c r="I89" s="4">
        <f>G89*H89</f>
        <v>0</v>
      </c>
      <c r="M89" s="277" t="s">
        <v>327</v>
      </c>
      <c r="N89" s="278"/>
      <c r="O89" s="278"/>
      <c r="P89" s="278"/>
      <c r="Q89" s="279"/>
      <c r="R89" s="1"/>
      <c r="S89" s="7">
        <f>$R$7</f>
        <v>30000</v>
      </c>
      <c r="T89" s="4">
        <f>R89*S89</f>
        <v>0</v>
      </c>
    </row>
    <row r="90" spans="2:23" ht="15" customHeight="1">
      <c r="B90" s="277" t="s">
        <v>100</v>
      </c>
      <c r="C90" s="278"/>
      <c r="D90" s="278"/>
      <c r="E90" s="278"/>
      <c r="F90" s="279"/>
      <c r="G90" s="1"/>
      <c r="H90" s="7">
        <f>$R$8</f>
        <v>30000</v>
      </c>
      <c r="I90" s="4">
        <f t="shared" ref="I90:I109" si="6">G90*H90</f>
        <v>0</v>
      </c>
      <c r="M90" s="277" t="s">
        <v>100</v>
      </c>
      <c r="N90" s="278"/>
      <c r="O90" s="278"/>
      <c r="P90" s="278"/>
      <c r="Q90" s="279"/>
      <c r="R90" s="1"/>
      <c r="S90" s="7">
        <f>$R$8</f>
        <v>30000</v>
      </c>
      <c r="T90" s="4">
        <f t="shared" ref="T90:T97" si="7">R90*S90</f>
        <v>0</v>
      </c>
    </row>
    <row r="91" spans="2:23" ht="15.75" customHeight="1">
      <c r="B91" s="277" t="s">
        <v>328</v>
      </c>
      <c r="C91" s="278"/>
      <c r="D91" s="278"/>
      <c r="E91" s="278"/>
      <c r="F91" s="279"/>
      <c r="G91" s="1"/>
      <c r="H91" s="7">
        <f>$R$9</f>
        <v>50000</v>
      </c>
      <c r="I91" s="4">
        <f t="shared" si="6"/>
        <v>0</v>
      </c>
      <c r="M91" s="277" t="s">
        <v>328</v>
      </c>
      <c r="N91" s="278"/>
      <c r="O91" s="278"/>
      <c r="P91" s="278"/>
      <c r="Q91" s="279"/>
      <c r="R91" s="1"/>
      <c r="S91" s="7">
        <f>$R$9</f>
        <v>50000</v>
      </c>
      <c r="T91" s="4">
        <f t="shared" si="7"/>
        <v>0</v>
      </c>
    </row>
    <row r="92" spans="2:23">
      <c r="B92" s="277" t="s">
        <v>325</v>
      </c>
      <c r="C92" s="278"/>
      <c r="D92" s="278"/>
      <c r="E92" s="278"/>
      <c r="F92" s="279"/>
      <c r="G92" s="1"/>
      <c r="H92" s="7">
        <f>$R$10</f>
        <v>15000</v>
      </c>
      <c r="I92" s="4">
        <f t="shared" si="6"/>
        <v>0</v>
      </c>
      <c r="M92" s="277" t="s">
        <v>325</v>
      </c>
      <c r="N92" s="278"/>
      <c r="O92" s="278"/>
      <c r="P92" s="278"/>
      <c r="Q92" s="279"/>
      <c r="R92" s="1"/>
      <c r="S92" s="7">
        <f>$R$10</f>
        <v>15000</v>
      </c>
      <c r="T92" s="4">
        <f t="shared" si="7"/>
        <v>0</v>
      </c>
    </row>
    <row r="93" spans="2:23" ht="15" thickBot="1">
      <c r="B93" s="277" t="s">
        <v>326</v>
      </c>
      <c r="C93" s="278"/>
      <c r="D93" s="278"/>
      <c r="E93" s="278"/>
      <c r="F93" s="279"/>
      <c r="G93" s="1"/>
      <c r="H93" s="7">
        <f>$R$11</f>
        <v>15000</v>
      </c>
      <c r="I93" s="4">
        <f t="shared" si="6"/>
        <v>0</v>
      </c>
      <c r="M93" s="277" t="s">
        <v>326</v>
      </c>
      <c r="N93" s="278"/>
      <c r="O93" s="278"/>
      <c r="P93" s="278"/>
      <c r="Q93" s="279"/>
      <c r="R93" s="1"/>
      <c r="S93" s="7">
        <f>$R$11</f>
        <v>15000</v>
      </c>
      <c r="T93" s="4">
        <f t="shared" si="7"/>
        <v>0</v>
      </c>
    </row>
    <row r="94" spans="2:23" ht="15" customHeight="1">
      <c r="B94" s="55" t="s">
        <v>276</v>
      </c>
      <c r="C94" s="56"/>
      <c r="D94" s="56"/>
      <c r="E94" s="56"/>
      <c r="F94" s="57"/>
      <c r="G94" s="1"/>
      <c r="H94" s="7">
        <f>$R$12</f>
        <v>75000</v>
      </c>
      <c r="I94" s="4">
        <f t="shared" si="6"/>
        <v>0</v>
      </c>
      <c r="J94" s="308" t="s">
        <v>275</v>
      </c>
      <c r="K94" s="309"/>
      <c r="L94" s="310"/>
      <c r="M94" s="55" t="s">
        <v>276</v>
      </c>
      <c r="N94" s="56"/>
      <c r="O94" s="56"/>
      <c r="P94" s="56"/>
      <c r="Q94" s="57"/>
      <c r="R94" s="1"/>
      <c r="S94" s="7">
        <f>$R$12</f>
        <v>75000</v>
      </c>
      <c r="T94" s="4">
        <f t="shared" si="7"/>
        <v>0</v>
      </c>
      <c r="U94" s="308" t="s">
        <v>275</v>
      </c>
      <c r="V94" s="309"/>
      <c r="W94" s="310"/>
    </row>
    <row r="95" spans="2:23" ht="15.75" customHeight="1" thickBot="1">
      <c r="B95" s="55" t="s">
        <v>277</v>
      </c>
      <c r="C95" s="56"/>
      <c r="D95" s="56"/>
      <c r="E95" s="56"/>
      <c r="F95" s="57"/>
      <c r="G95" s="1"/>
      <c r="H95" s="7">
        <f>$R$13</f>
        <v>75000</v>
      </c>
      <c r="I95" s="4">
        <f t="shared" si="6"/>
        <v>0</v>
      </c>
      <c r="J95" s="311"/>
      <c r="K95" s="312"/>
      <c r="L95" s="313"/>
      <c r="M95" s="55" t="s">
        <v>277</v>
      </c>
      <c r="N95" s="56"/>
      <c r="O95" s="56"/>
      <c r="P95" s="56"/>
      <c r="Q95" s="57"/>
      <c r="R95" s="1"/>
      <c r="S95" s="7">
        <f>$R$13</f>
        <v>75000</v>
      </c>
      <c r="T95" s="4">
        <f t="shared" si="7"/>
        <v>0</v>
      </c>
      <c r="U95" s="311"/>
      <c r="V95" s="312"/>
      <c r="W95" s="313"/>
    </row>
    <row r="96" spans="2:23" ht="15" customHeight="1">
      <c r="B96" s="277" t="s">
        <v>6</v>
      </c>
      <c r="C96" s="278"/>
      <c r="D96" s="278"/>
      <c r="E96" s="278"/>
      <c r="F96" s="279"/>
      <c r="G96" s="1"/>
      <c r="H96" s="7">
        <f>$R$14</f>
        <v>30000</v>
      </c>
      <c r="I96" s="4">
        <f t="shared" si="6"/>
        <v>0</v>
      </c>
      <c r="J96" s="257">
        <f>SUM(I86:I97)</f>
        <v>0</v>
      </c>
      <c r="K96" s="258"/>
      <c r="L96" s="259"/>
      <c r="M96" s="277" t="s">
        <v>75</v>
      </c>
      <c r="N96" s="278"/>
      <c r="O96" s="278"/>
      <c r="P96" s="278"/>
      <c r="Q96" s="279"/>
      <c r="R96" s="1"/>
      <c r="S96" s="7">
        <f>$R$14</f>
        <v>30000</v>
      </c>
      <c r="T96" s="4">
        <f t="shared" si="7"/>
        <v>0</v>
      </c>
      <c r="U96" s="257">
        <f>SUM(T86:T97)</f>
        <v>0</v>
      </c>
      <c r="V96" s="258"/>
      <c r="W96" s="259"/>
    </row>
    <row r="97" spans="2:23" ht="15.75" customHeight="1" thickBot="1">
      <c r="B97" s="277" t="s">
        <v>12</v>
      </c>
      <c r="C97" s="278"/>
      <c r="D97" s="278"/>
      <c r="E97" s="278"/>
      <c r="F97" s="279"/>
      <c r="G97" s="66"/>
      <c r="H97" s="7">
        <f>$R$15</f>
        <v>12000</v>
      </c>
      <c r="I97" s="4">
        <f t="shared" si="6"/>
        <v>0</v>
      </c>
      <c r="J97" s="260"/>
      <c r="K97" s="261"/>
      <c r="L97" s="262"/>
      <c r="M97" s="277" t="s">
        <v>12</v>
      </c>
      <c r="N97" s="278"/>
      <c r="O97" s="278"/>
      <c r="P97" s="278"/>
      <c r="Q97" s="279"/>
      <c r="R97" s="66"/>
      <c r="S97" s="7">
        <f>$R$15</f>
        <v>12000</v>
      </c>
      <c r="T97" s="4">
        <f t="shared" si="7"/>
        <v>0</v>
      </c>
      <c r="U97" s="260"/>
      <c r="V97" s="261"/>
      <c r="W97" s="262"/>
    </row>
    <row r="98" spans="2:23" ht="15.75" customHeight="1" thickBot="1">
      <c r="B98" s="402" t="s">
        <v>27</v>
      </c>
      <c r="C98" s="403"/>
      <c r="D98" s="403"/>
      <c r="E98" s="403"/>
      <c r="F98" s="403"/>
      <c r="G98" s="403"/>
      <c r="H98" s="403"/>
      <c r="I98" s="404"/>
      <c r="M98" s="402" t="s">
        <v>27</v>
      </c>
      <c r="N98" s="403"/>
      <c r="O98" s="403"/>
      <c r="P98" s="403"/>
      <c r="Q98" s="403"/>
      <c r="R98" s="403"/>
      <c r="S98" s="403"/>
      <c r="T98" s="404"/>
    </row>
    <row r="99" spans="2:23" ht="15.75" customHeight="1" thickBot="1">
      <c r="B99" s="402" t="s">
        <v>267</v>
      </c>
      <c r="C99" s="403"/>
      <c r="D99" s="403"/>
      <c r="E99" s="403"/>
      <c r="F99" s="403"/>
      <c r="G99" s="76" t="s">
        <v>266</v>
      </c>
      <c r="H99" s="76" t="s">
        <v>0</v>
      </c>
      <c r="I99" s="77" t="s">
        <v>265</v>
      </c>
      <c r="M99" s="402" t="s">
        <v>267</v>
      </c>
      <c r="N99" s="403"/>
      <c r="O99" s="403"/>
      <c r="P99" s="403"/>
      <c r="Q99" s="403"/>
      <c r="R99" s="76" t="s">
        <v>266</v>
      </c>
      <c r="S99" s="76" t="s">
        <v>0</v>
      </c>
      <c r="T99" s="77" t="s">
        <v>265</v>
      </c>
    </row>
    <row r="100" spans="2:23" ht="15.75" customHeight="1">
      <c r="B100" s="373" t="s">
        <v>278</v>
      </c>
      <c r="C100" s="374"/>
      <c r="D100" s="374"/>
      <c r="E100" s="374"/>
      <c r="F100" s="375"/>
      <c r="G100" s="6"/>
      <c r="H100" s="7"/>
      <c r="I100" s="4">
        <f t="shared" si="6"/>
        <v>0</v>
      </c>
      <c r="M100" s="373" t="s">
        <v>315</v>
      </c>
      <c r="N100" s="374"/>
      <c r="O100" s="374"/>
      <c r="P100" s="374"/>
      <c r="Q100" s="375"/>
      <c r="R100" s="6"/>
      <c r="S100" s="7"/>
      <c r="T100" s="4">
        <f t="shared" ref="T100:T111" si="8">R100*S100</f>
        <v>0</v>
      </c>
    </row>
    <row r="101" spans="2:23">
      <c r="B101" s="373" t="s">
        <v>279</v>
      </c>
      <c r="C101" s="374"/>
      <c r="D101" s="374"/>
      <c r="E101" s="374"/>
      <c r="F101" s="375"/>
      <c r="G101" s="1"/>
      <c r="H101" s="3"/>
      <c r="I101" s="4">
        <f t="shared" si="6"/>
        <v>0</v>
      </c>
      <c r="M101" s="373" t="s">
        <v>316</v>
      </c>
      <c r="N101" s="374"/>
      <c r="O101" s="374"/>
      <c r="P101" s="374"/>
      <c r="Q101" s="375"/>
      <c r="R101" s="1"/>
      <c r="S101" s="3"/>
      <c r="T101" s="4">
        <f t="shared" si="8"/>
        <v>0</v>
      </c>
    </row>
    <row r="102" spans="2:23">
      <c r="B102" s="263" t="s">
        <v>280</v>
      </c>
      <c r="C102" s="264"/>
      <c r="D102" s="264"/>
      <c r="E102" s="264"/>
      <c r="F102" s="265"/>
      <c r="G102" s="1"/>
      <c r="H102" s="3"/>
      <c r="I102" s="4">
        <f t="shared" si="6"/>
        <v>0</v>
      </c>
      <c r="M102" s="263" t="s">
        <v>280</v>
      </c>
      <c r="N102" s="264"/>
      <c r="O102" s="264"/>
      <c r="P102" s="264"/>
      <c r="Q102" s="265"/>
      <c r="R102" s="1"/>
      <c r="S102" s="3"/>
      <c r="T102" s="4">
        <f t="shared" si="8"/>
        <v>0</v>
      </c>
    </row>
    <row r="103" spans="2:23">
      <c r="B103" s="263" t="s">
        <v>94</v>
      </c>
      <c r="C103" s="264"/>
      <c r="D103" s="264"/>
      <c r="E103" s="264"/>
      <c r="F103" s="265"/>
      <c r="G103" s="1"/>
      <c r="H103" s="3"/>
      <c r="I103" s="4">
        <f t="shared" si="6"/>
        <v>0</v>
      </c>
      <c r="M103" s="263" t="s">
        <v>94</v>
      </c>
      <c r="N103" s="264"/>
      <c r="O103" s="264"/>
      <c r="P103" s="264"/>
      <c r="Q103" s="265"/>
      <c r="R103" s="1"/>
      <c r="S103" s="3"/>
      <c r="T103" s="4">
        <f t="shared" si="8"/>
        <v>0</v>
      </c>
    </row>
    <row r="104" spans="2:23">
      <c r="B104" s="52" t="s">
        <v>281</v>
      </c>
      <c r="C104" s="53"/>
      <c r="D104" s="53"/>
      <c r="E104" s="53"/>
      <c r="F104" s="54"/>
      <c r="G104" s="1"/>
      <c r="H104" s="3"/>
      <c r="I104" s="4">
        <f t="shared" si="6"/>
        <v>0</v>
      </c>
      <c r="M104" s="52" t="s">
        <v>282</v>
      </c>
      <c r="N104" s="53"/>
      <c r="O104" s="53"/>
      <c r="P104" s="53"/>
      <c r="Q104" s="54"/>
      <c r="R104" s="1"/>
      <c r="S104" s="3"/>
      <c r="T104" s="4">
        <f t="shared" si="8"/>
        <v>0</v>
      </c>
    </row>
    <row r="105" spans="2:23">
      <c r="B105" s="263" t="s">
        <v>284</v>
      </c>
      <c r="C105" s="264"/>
      <c r="D105" s="264"/>
      <c r="E105" s="264"/>
      <c r="F105" s="265"/>
      <c r="G105" s="1"/>
      <c r="H105" s="3"/>
      <c r="I105" s="4">
        <f t="shared" si="6"/>
        <v>0</v>
      </c>
      <c r="M105" s="263" t="s">
        <v>317</v>
      </c>
      <c r="N105" s="264"/>
      <c r="O105" s="264"/>
      <c r="P105" s="264"/>
      <c r="Q105" s="265"/>
      <c r="R105" s="1"/>
      <c r="S105" s="3"/>
      <c r="T105" s="4">
        <f t="shared" si="8"/>
        <v>0</v>
      </c>
    </row>
    <row r="106" spans="2:23">
      <c r="B106" s="263" t="s">
        <v>285</v>
      </c>
      <c r="C106" s="264"/>
      <c r="D106" s="264"/>
      <c r="E106" s="264"/>
      <c r="F106" s="265"/>
      <c r="G106" s="1"/>
      <c r="H106" s="3"/>
      <c r="I106" s="4">
        <f t="shared" si="6"/>
        <v>0</v>
      </c>
      <c r="M106" s="263" t="s">
        <v>286</v>
      </c>
      <c r="N106" s="264"/>
      <c r="O106" s="264"/>
      <c r="P106" s="264"/>
      <c r="Q106" s="265"/>
      <c r="R106" s="1"/>
      <c r="S106" s="3"/>
      <c r="T106" s="4">
        <f t="shared" si="8"/>
        <v>0</v>
      </c>
    </row>
    <row r="107" spans="2:23" ht="15" thickBot="1">
      <c r="B107" s="52" t="s">
        <v>288</v>
      </c>
      <c r="C107" s="53"/>
      <c r="D107" s="53"/>
      <c r="E107" s="53"/>
      <c r="F107" s="54"/>
      <c r="G107" s="1"/>
      <c r="H107" s="3"/>
      <c r="I107" s="4">
        <f t="shared" si="6"/>
        <v>0</v>
      </c>
      <c r="M107" s="52" t="s">
        <v>318</v>
      </c>
      <c r="N107" s="53"/>
      <c r="O107" s="53"/>
      <c r="P107" s="53"/>
      <c r="Q107" s="54"/>
      <c r="R107" s="1"/>
      <c r="S107" s="3"/>
      <c r="T107" s="4">
        <f t="shared" si="8"/>
        <v>0</v>
      </c>
    </row>
    <row r="108" spans="2:23" ht="15" customHeight="1">
      <c r="B108" s="263" t="s">
        <v>289</v>
      </c>
      <c r="C108" s="264"/>
      <c r="D108" s="264"/>
      <c r="E108" s="264"/>
      <c r="F108" s="265"/>
      <c r="G108" s="1"/>
      <c r="H108" s="3"/>
      <c r="I108" s="4">
        <f t="shared" si="6"/>
        <v>0</v>
      </c>
      <c r="J108" s="308" t="s">
        <v>275</v>
      </c>
      <c r="K108" s="309"/>
      <c r="L108" s="310"/>
      <c r="M108" s="263" t="s">
        <v>319</v>
      </c>
      <c r="N108" s="264"/>
      <c r="O108" s="264"/>
      <c r="P108" s="264"/>
      <c r="Q108" s="265"/>
      <c r="R108" s="1"/>
      <c r="S108" s="3"/>
      <c r="T108" s="4">
        <f t="shared" si="8"/>
        <v>0</v>
      </c>
      <c r="U108" s="308" t="s">
        <v>275</v>
      </c>
      <c r="V108" s="309"/>
      <c r="W108" s="310"/>
    </row>
    <row r="109" spans="2:23" ht="15.75" customHeight="1" thickBot="1">
      <c r="B109" s="263" t="s">
        <v>290</v>
      </c>
      <c r="C109" s="264"/>
      <c r="D109" s="264"/>
      <c r="E109" s="264"/>
      <c r="F109" s="265"/>
      <c r="G109" s="1"/>
      <c r="H109" s="3"/>
      <c r="I109" s="4">
        <f t="shared" si="6"/>
        <v>0</v>
      </c>
      <c r="J109" s="311"/>
      <c r="K109" s="312"/>
      <c r="L109" s="313"/>
      <c r="M109" s="263" t="s">
        <v>320</v>
      </c>
      <c r="N109" s="264"/>
      <c r="O109" s="264"/>
      <c r="P109" s="264"/>
      <c r="Q109" s="265"/>
      <c r="R109" s="1"/>
      <c r="S109" s="3"/>
      <c r="T109" s="4">
        <f t="shared" si="8"/>
        <v>0</v>
      </c>
      <c r="U109" s="311"/>
      <c r="V109" s="312"/>
      <c r="W109" s="313"/>
    </row>
    <row r="110" spans="2:23" ht="15" customHeight="1">
      <c r="B110" s="263"/>
      <c r="C110" s="264"/>
      <c r="D110" s="264"/>
      <c r="E110" s="264"/>
      <c r="F110" s="265"/>
      <c r="G110" s="1"/>
      <c r="H110" s="3"/>
      <c r="I110" s="4">
        <f t="shared" ref="I110:I143" si="9">G110*H110</f>
        <v>0</v>
      </c>
      <c r="J110" s="257">
        <f>SUM(I100:I111)</f>
        <v>0</v>
      </c>
      <c r="K110" s="258"/>
      <c r="L110" s="259"/>
      <c r="M110" s="263"/>
      <c r="N110" s="264"/>
      <c r="O110" s="264"/>
      <c r="P110" s="264"/>
      <c r="Q110" s="265"/>
      <c r="R110" s="1"/>
      <c r="S110" s="3"/>
      <c r="T110" s="4">
        <f t="shared" si="8"/>
        <v>0</v>
      </c>
      <c r="U110" s="257">
        <f>SUM(T100:T111)</f>
        <v>0</v>
      </c>
      <c r="V110" s="258"/>
      <c r="W110" s="259"/>
    </row>
    <row r="111" spans="2:23" ht="15.75" customHeight="1" thickBot="1">
      <c r="B111" s="405"/>
      <c r="C111" s="406"/>
      <c r="D111" s="406"/>
      <c r="E111" s="406"/>
      <c r="F111" s="407"/>
      <c r="G111" s="66"/>
      <c r="H111" s="67"/>
      <c r="I111" s="68">
        <f t="shared" si="9"/>
        <v>0</v>
      </c>
      <c r="J111" s="260"/>
      <c r="K111" s="261"/>
      <c r="L111" s="262"/>
      <c r="M111" s="405"/>
      <c r="N111" s="406"/>
      <c r="O111" s="406"/>
      <c r="P111" s="406"/>
      <c r="Q111" s="407"/>
      <c r="R111" s="66"/>
      <c r="S111" s="67"/>
      <c r="T111" s="68">
        <f t="shared" si="8"/>
        <v>0</v>
      </c>
      <c r="U111" s="260"/>
      <c r="V111" s="261"/>
      <c r="W111" s="262"/>
    </row>
    <row r="112" spans="2:23" ht="16.2" thickBot="1">
      <c r="B112" s="367" t="s">
        <v>26</v>
      </c>
      <c r="C112" s="368"/>
      <c r="D112" s="368"/>
      <c r="E112" s="368"/>
      <c r="F112" s="368"/>
      <c r="G112" s="368"/>
      <c r="H112" s="368"/>
      <c r="I112" s="369"/>
      <c r="J112" s="65"/>
      <c r="K112" s="65"/>
      <c r="L112" s="65"/>
      <c r="M112" s="367" t="s">
        <v>26</v>
      </c>
      <c r="N112" s="368"/>
      <c r="O112" s="368"/>
      <c r="P112" s="368"/>
      <c r="Q112" s="368"/>
      <c r="R112" s="368"/>
      <c r="S112" s="368"/>
      <c r="T112" s="369"/>
      <c r="U112" s="65"/>
      <c r="V112" s="65"/>
      <c r="W112" s="65"/>
    </row>
    <row r="113" spans="2:23" ht="16.2" thickBot="1">
      <c r="B113" s="367" t="s">
        <v>267</v>
      </c>
      <c r="C113" s="368"/>
      <c r="D113" s="368"/>
      <c r="E113" s="368"/>
      <c r="F113" s="368"/>
      <c r="G113" s="87" t="s">
        <v>266</v>
      </c>
      <c r="H113" s="87" t="s">
        <v>0</v>
      </c>
      <c r="I113" s="88" t="s">
        <v>265</v>
      </c>
      <c r="J113" s="65"/>
      <c r="K113" s="65"/>
      <c r="L113" s="65"/>
      <c r="M113" s="367" t="s">
        <v>267</v>
      </c>
      <c r="N113" s="368"/>
      <c r="O113" s="368"/>
      <c r="P113" s="368"/>
      <c r="Q113" s="368"/>
      <c r="R113" s="87" t="s">
        <v>266</v>
      </c>
      <c r="S113" s="87" t="s">
        <v>0</v>
      </c>
      <c r="T113" s="88" t="s">
        <v>265</v>
      </c>
      <c r="U113" s="65"/>
      <c r="V113" s="65"/>
      <c r="W113" s="65"/>
    </row>
    <row r="114" spans="2:23">
      <c r="B114" s="408" t="s">
        <v>296</v>
      </c>
      <c r="C114" s="409"/>
      <c r="D114" s="409"/>
      <c r="E114" s="409"/>
      <c r="F114" s="410"/>
      <c r="G114" s="81"/>
      <c r="H114" s="82"/>
      <c r="I114" s="83">
        <f t="shared" si="9"/>
        <v>0</v>
      </c>
      <c r="M114" s="408" t="s">
        <v>296</v>
      </c>
      <c r="N114" s="409"/>
      <c r="O114" s="409"/>
      <c r="P114" s="409"/>
      <c r="Q114" s="410"/>
      <c r="R114" s="81"/>
      <c r="S114" s="82"/>
      <c r="T114" s="83">
        <f t="shared" ref="T114:T130" si="10">R114*S114</f>
        <v>0</v>
      </c>
    </row>
    <row r="115" spans="2:23">
      <c r="B115" s="268" t="s">
        <v>295</v>
      </c>
      <c r="C115" s="269"/>
      <c r="D115" s="269"/>
      <c r="E115" s="269"/>
      <c r="F115" s="270"/>
      <c r="G115" s="1"/>
      <c r="H115" s="3"/>
      <c r="I115" s="4">
        <f t="shared" si="9"/>
        <v>0</v>
      </c>
      <c r="M115" s="268" t="s">
        <v>295</v>
      </c>
      <c r="N115" s="269"/>
      <c r="O115" s="269"/>
      <c r="P115" s="269"/>
      <c r="Q115" s="270"/>
      <c r="R115" s="1"/>
      <c r="S115" s="3"/>
      <c r="T115" s="4">
        <f t="shared" si="10"/>
        <v>0</v>
      </c>
    </row>
    <row r="116" spans="2:23">
      <c r="B116" s="268" t="s">
        <v>330</v>
      </c>
      <c r="C116" s="269"/>
      <c r="D116" s="269"/>
      <c r="E116" s="269"/>
      <c r="F116" s="270"/>
      <c r="G116" s="1"/>
      <c r="H116" s="3"/>
      <c r="I116" s="4">
        <f t="shared" si="9"/>
        <v>0</v>
      </c>
      <c r="M116" s="268" t="s">
        <v>330</v>
      </c>
      <c r="N116" s="269"/>
      <c r="O116" s="269"/>
      <c r="P116" s="269"/>
      <c r="Q116" s="270"/>
      <c r="R116" s="1"/>
      <c r="S116" s="3"/>
      <c r="T116" s="4">
        <f t="shared" si="10"/>
        <v>0</v>
      </c>
    </row>
    <row r="117" spans="2:23">
      <c r="B117" s="268" t="s">
        <v>329</v>
      </c>
      <c r="C117" s="269"/>
      <c r="D117" s="269"/>
      <c r="E117" s="269"/>
      <c r="F117" s="270"/>
      <c r="G117" s="1"/>
      <c r="H117" s="3"/>
      <c r="I117" s="4">
        <f t="shared" si="9"/>
        <v>0</v>
      </c>
      <c r="M117" s="268" t="s">
        <v>329</v>
      </c>
      <c r="N117" s="269"/>
      <c r="O117" s="269"/>
      <c r="P117" s="269"/>
      <c r="Q117" s="270"/>
      <c r="R117" s="1"/>
      <c r="S117" s="3"/>
      <c r="T117" s="4">
        <f t="shared" si="10"/>
        <v>0</v>
      </c>
    </row>
    <row r="118" spans="2:23">
      <c r="B118" s="268" t="s">
        <v>331</v>
      </c>
      <c r="C118" s="269"/>
      <c r="D118" s="269"/>
      <c r="E118" s="269"/>
      <c r="F118" s="270"/>
      <c r="G118" s="1"/>
      <c r="H118" s="3"/>
      <c r="I118" s="4">
        <f t="shared" si="9"/>
        <v>0</v>
      </c>
      <c r="M118" s="268" t="s">
        <v>331</v>
      </c>
      <c r="N118" s="269"/>
      <c r="O118" s="269"/>
      <c r="P118" s="269"/>
      <c r="Q118" s="270"/>
      <c r="R118" s="1"/>
      <c r="S118" s="3"/>
      <c r="T118" s="4">
        <f t="shared" si="10"/>
        <v>0</v>
      </c>
    </row>
    <row r="119" spans="2:23">
      <c r="B119" s="49" t="s">
        <v>42</v>
      </c>
      <c r="C119" s="50"/>
      <c r="D119" s="50"/>
      <c r="E119" s="50"/>
      <c r="F119" s="51"/>
      <c r="G119" s="1"/>
      <c r="H119" s="3"/>
      <c r="I119" s="4">
        <f t="shared" si="9"/>
        <v>0</v>
      </c>
      <c r="M119" s="49" t="s">
        <v>42</v>
      </c>
      <c r="N119" s="50"/>
      <c r="O119" s="50"/>
      <c r="P119" s="50"/>
      <c r="Q119" s="51"/>
      <c r="R119" s="1"/>
      <c r="S119" s="3"/>
      <c r="T119" s="4">
        <f t="shared" si="10"/>
        <v>0</v>
      </c>
    </row>
    <row r="120" spans="2:23">
      <c r="B120" s="49" t="s">
        <v>41</v>
      </c>
      <c r="C120" s="50"/>
      <c r="D120" s="50"/>
      <c r="E120" s="50"/>
      <c r="F120" s="51"/>
      <c r="G120" s="1"/>
      <c r="H120" s="3"/>
      <c r="I120" s="4">
        <f t="shared" si="9"/>
        <v>0</v>
      </c>
      <c r="M120" s="49" t="s">
        <v>41</v>
      </c>
      <c r="N120" s="50"/>
      <c r="O120" s="50"/>
      <c r="P120" s="50"/>
      <c r="Q120" s="51"/>
      <c r="R120" s="1"/>
      <c r="S120" s="3"/>
      <c r="T120" s="4">
        <f t="shared" si="10"/>
        <v>0</v>
      </c>
    </row>
    <row r="121" spans="2:23">
      <c r="B121" s="49" t="s">
        <v>3</v>
      </c>
      <c r="C121" s="50"/>
      <c r="D121" s="50"/>
      <c r="E121" s="50"/>
      <c r="F121" s="51"/>
      <c r="G121" s="1"/>
      <c r="H121" s="3"/>
      <c r="I121" s="4">
        <f t="shared" si="9"/>
        <v>0</v>
      </c>
      <c r="M121" s="49" t="s">
        <v>323</v>
      </c>
      <c r="N121" s="50"/>
      <c r="O121" s="50"/>
      <c r="P121" s="50"/>
      <c r="Q121" s="51"/>
      <c r="R121" s="1"/>
      <c r="S121" s="3"/>
      <c r="T121" s="4">
        <f t="shared" si="10"/>
        <v>0</v>
      </c>
    </row>
    <row r="122" spans="2:23">
      <c r="B122" s="49" t="s">
        <v>4</v>
      </c>
      <c r="C122" s="50"/>
      <c r="D122" s="50"/>
      <c r="E122" s="50"/>
      <c r="F122" s="51"/>
      <c r="G122" s="1"/>
      <c r="H122" s="3"/>
      <c r="I122" s="4">
        <f t="shared" si="9"/>
        <v>0</v>
      </c>
      <c r="M122" s="49" t="s">
        <v>324</v>
      </c>
      <c r="N122" s="50"/>
      <c r="O122" s="50"/>
      <c r="P122" s="50"/>
      <c r="Q122" s="51"/>
      <c r="R122" s="1"/>
      <c r="S122" s="3"/>
      <c r="T122" s="4">
        <f t="shared" si="10"/>
        <v>0</v>
      </c>
    </row>
    <row r="123" spans="2:23">
      <c r="B123" s="49" t="s">
        <v>67</v>
      </c>
      <c r="C123" s="50"/>
      <c r="D123" s="50"/>
      <c r="E123" s="50"/>
      <c r="F123" s="51"/>
      <c r="G123" s="1"/>
      <c r="H123" s="3"/>
      <c r="I123" s="4">
        <f t="shared" si="9"/>
        <v>0</v>
      </c>
      <c r="M123" s="49" t="s">
        <v>67</v>
      </c>
      <c r="N123" s="50"/>
      <c r="O123" s="50"/>
      <c r="P123" s="50"/>
      <c r="Q123" s="51"/>
      <c r="R123" s="1"/>
      <c r="S123" s="3"/>
      <c r="T123" s="4">
        <f t="shared" si="10"/>
        <v>0</v>
      </c>
    </row>
    <row r="124" spans="2:23">
      <c r="B124" s="49" t="s">
        <v>68</v>
      </c>
      <c r="C124" s="50"/>
      <c r="D124" s="50"/>
      <c r="E124" s="50"/>
      <c r="F124" s="51"/>
      <c r="G124" s="1"/>
      <c r="H124" s="3"/>
      <c r="I124" s="4">
        <f t="shared" si="9"/>
        <v>0</v>
      </c>
      <c r="M124" s="49" t="s">
        <v>68</v>
      </c>
      <c r="N124" s="50"/>
      <c r="O124" s="50"/>
      <c r="P124" s="50"/>
      <c r="Q124" s="51"/>
      <c r="R124" s="1"/>
      <c r="S124" s="3"/>
      <c r="T124" s="4">
        <f t="shared" si="10"/>
        <v>0</v>
      </c>
    </row>
    <row r="125" spans="2:23">
      <c r="B125" s="268" t="s">
        <v>70</v>
      </c>
      <c r="C125" s="269"/>
      <c r="D125" s="269"/>
      <c r="E125" s="269"/>
      <c r="F125" s="270"/>
      <c r="G125" s="1"/>
      <c r="H125" s="3"/>
      <c r="I125" s="4">
        <f t="shared" si="9"/>
        <v>0</v>
      </c>
      <c r="M125" s="268" t="s">
        <v>70</v>
      </c>
      <c r="N125" s="269"/>
      <c r="O125" s="269"/>
      <c r="P125" s="269"/>
      <c r="Q125" s="270"/>
      <c r="R125" s="1"/>
      <c r="S125" s="3"/>
      <c r="T125" s="4">
        <f t="shared" si="10"/>
        <v>0</v>
      </c>
    </row>
    <row r="126" spans="2:23" ht="15" thickBot="1">
      <c r="B126" s="268" t="s">
        <v>332</v>
      </c>
      <c r="C126" s="269"/>
      <c r="D126" s="269"/>
      <c r="E126" s="269"/>
      <c r="F126" s="270"/>
      <c r="G126" s="1"/>
      <c r="H126" s="3"/>
      <c r="I126" s="4">
        <f t="shared" si="9"/>
        <v>0</v>
      </c>
      <c r="M126" s="268" t="s">
        <v>332</v>
      </c>
      <c r="N126" s="269"/>
      <c r="O126" s="269"/>
      <c r="P126" s="269"/>
      <c r="Q126" s="270"/>
      <c r="R126" s="1"/>
      <c r="S126" s="3"/>
      <c r="T126" s="4">
        <f t="shared" si="10"/>
        <v>0</v>
      </c>
    </row>
    <row r="127" spans="2:23" ht="15" customHeight="1">
      <c r="B127" s="268" t="s">
        <v>16</v>
      </c>
      <c r="C127" s="269"/>
      <c r="D127" s="269"/>
      <c r="E127" s="269"/>
      <c r="F127" s="270"/>
      <c r="G127" s="1"/>
      <c r="H127" s="3"/>
      <c r="I127" s="4">
        <f t="shared" si="9"/>
        <v>0</v>
      </c>
      <c r="J127" s="308" t="s">
        <v>275</v>
      </c>
      <c r="K127" s="309"/>
      <c r="L127" s="310"/>
      <c r="M127" s="268" t="s">
        <v>16</v>
      </c>
      <c r="N127" s="269"/>
      <c r="O127" s="269"/>
      <c r="P127" s="269"/>
      <c r="Q127" s="270"/>
      <c r="R127" s="1"/>
      <c r="S127" s="3"/>
      <c r="T127" s="4">
        <f t="shared" si="10"/>
        <v>0</v>
      </c>
      <c r="U127" s="308" t="s">
        <v>275</v>
      </c>
      <c r="V127" s="309"/>
      <c r="W127" s="310"/>
    </row>
    <row r="128" spans="2:23" ht="15.75" customHeight="1" thickBot="1">
      <c r="B128" s="268" t="s">
        <v>17</v>
      </c>
      <c r="C128" s="269"/>
      <c r="D128" s="269"/>
      <c r="E128" s="269"/>
      <c r="F128" s="270"/>
      <c r="G128" s="1"/>
      <c r="H128" s="3"/>
      <c r="I128" s="4">
        <f t="shared" si="9"/>
        <v>0</v>
      </c>
      <c r="J128" s="311"/>
      <c r="K128" s="312"/>
      <c r="L128" s="313"/>
      <c r="M128" s="268" t="s">
        <v>17</v>
      </c>
      <c r="N128" s="269"/>
      <c r="O128" s="269"/>
      <c r="P128" s="269"/>
      <c r="Q128" s="270"/>
      <c r="R128" s="1"/>
      <c r="S128" s="3"/>
      <c r="T128" s="4">
        <f t="shared" si="10"/>
        <v>0</v>
      </c>
      <c r="U128" s="311"/>
      <c r="V128" s="312"/>
      <c r="W128" s="313"/>
    </row>
    <row r="129" spans="2:23" ht="15" customHeight="1">
      <c r="B129" s="268"/>
      <c r="C129" s="269"/>
      <c r="D129" s="269"/>
      <c r="E129" s="269"/>
      <c r="F129" s="270"/>
      <c r="G129" s="1"/>
      <c r="H129" s="3"/>
      <c r="I129" s="4">
        <f t="shared" si="9"/>
        <v>0</v>
      </c>
      <c r="J129" s="257">
        <f>SUM(I114:I130)</f>
        <v>0</v>
      </c>
      <c r="K129" s="258"/>
      <c r="L129" s="259"/>
      <c r="M129" s="268"/>
      <c r="N129" s="269"/>
      <c r="O129" s="269"/>
      <c r="P129" s="269"/>
      <c r="Q129" s="270"/>
      <c r="R129" s="1"/>
      <c r="S129" s="3"/>
      <c r="T129" s="4">
        <f t="shared" si="10"/>
        <v>0</v>
      </c>
      <c r="U129" s="257">
        <f>SUM(T114:T130)</f>
        <v>0</v>
      </c>
      <c r="V129" s="258"/>
      <c r="W129" s="259"/>
    </row>
    <row r="130" spans="2:23" ht="15.75" customHeight="1" thickBot="1">
      <c r="B130" s="274"/>
      <c r="C130" s="275"/>
      <c r="D130" s="275"/>
      <c r="E130" s="275"/>
      <c r="F130" s="276"/>
      <c r="G130" s="66"/>
      <c r="H130" s="67"/>
      <c r="I130" s="68">
        <f t="shared" si="9"/>
        <v>0</v>
      </c>
      <c r="J130" s="260"/>
      <c r="K130" s="261"/>
      <c r="L130" s="262"/>
      <c r="M130" s="274"/>
      <c r="N130" s="275"/>
      <c r="O130" s="275"/>
      <c r="P130" s="275"/>
      <c r="Q130" s="276"/>
      <c r="R130" s="66"/>
      <c r="S130" s="67"/>
      <c r="T130" s="68">
        <f t="shared" si="10"/>
        <v>0</v>
      </c>
      <c r="U130" s="260"/>
      <c r="V130" s="261"/>
      <c r="W130" s="262"/>
    </row>
    <row r="131" spans="2:23" ht="16.2" thickBot="1">
      <c r="B131" s="321" t="s">
        <v>297</v>
      </c>
      <c r="C131" s="322"/>
      <c r="D131" s="322"/>
      <c r="E131" s="322"/>
      <c r="F131" s="322"/>
      <c r="G131" s="322"/>
      <c r="H131" s="322"/>
      <c r="I131" s="323"/>
      <c r="J131" s="65"/>
      <c r="K131" s="65"/>
      <c r="L131" s="65"/>
      <c r="M131" s="321" t="s">
        <v>297</v>
      </c>
      <c r="N131" s="322"/>
      <c r="O131" s="322"/>
      <c r="P131" s="322"/>
      <c r="Q131" s="322"/>
      <c r="R131" s="322"/>
      <c r="S131" s="322"/>
      <c r="T131" s="323"/>
      <c r="U131" s="65"/>
      <c r="V131" s="65"/>
      <c r="W131" s="65"/>
    </row>
    <row r="132" spans="2:23" ht="16.2" thickBot="1">
      <c r="B132" s="321" t="s">
        <v>267</v>
      </c>
      <c r="C132" s="322"/>
      <c r="D132" s="322"/>
      <c r="E132" s="322"/>
      <c r="F132" s="322"/>
      <c r="G132" s="89" t="s">
        <v>266</v>
      </c>
      <c r="H132" s="89" t="s">
        <v>0</v>
      </c>
      <c r="I132" s="90" t="s">
        <v>265</v>
      </c>
      <c r="J132" s="65"/>
      <c r="K132" s="65"/>
      <c r="L132" s="65"/>
      <c r="M132" s="321" t="s">
        <v>267</v>
      </c>
      <c r="N132" s="322"/>
      <c r="O132" s="322"/>
      <c r="P132" s="322"/>
      <c r="Q132" s="322"/>
      <c r="R132" s="89" t="s">
        <v>266</v>
      </c>
      <c r="S132" s="89" t="s">
        <v>0</v>
      </c>
      <c r="T132" s="90" t="s">
        <v>265</v>
      </c>
      <c r="U132" s="65"/>
      <c r="V132" s="65"/>
      <c r="W132" s="65"/>
    </row>
    <row r="133" spans="2:23">
      <c r="B133" s="324" t="s">
        <v>333</v>
      </c>
      <c r="C133" s="325"/>
      <c r="D133" s="325"/>
      <c r="E133" s="325"/>
      <c r="F133" s="326"/>
      <c r="G133" s="6"/>
      <c r="H133" s="7"/>
      <c r="I133" s="69"/>
      <c r="M133" s="324" t="s">
        <v>333</v>
      </c>
      <c r="N133" s="325"/>
      <c r="O133" s="325"/>
      <c r="P133" s="325"/>
      <c r="Q133" s="326"/>
      <c r="R133" s="6"/>
      <c r="S133" s="7"/>
      <c r="T133" s="69"/>
    </row>
    <row r="134" spans="2:23">
      <c r="B134" s="271" t="s">
        <v>291</v>
      </c>
      <c r="C134" s="272"/>
      <c r="D134" s="272"/>
      <c r="E134" s="272"/>
      <c r="F134" s="273"/>
      <c r="G134" s="1"/>
      <c r="H134" s="3"/>
      <c r="I134" s="4">
        <f t="shared" si="9"/>
        <v>0</v>
      </c>
      <c r="M134" s="271" t="s">
        <v>291</v>
      </c>
      <c r="N134" s="272"/>
      <c r="O134" s="272"/>
      <c r="P134" s="272"/>
      <c r="Q134" s="273"/>
      <c r="R134" s="1"/>
      <c r="S134" s="3"/>
      <c r="T134" s="4">
        <f t="shared" ref="T134:T144" si="11">R134*S134</f>
        <v>0</v>
      </c>
    </row>
    <row r="135" spans="2:23">
      <c r="B135" s="271" t="s">
        <v>292</v>
      </c>
      <c r="C135" s="272"/>
      <c r="D135" s="272"/>
      <c r="E135" s="272"/>
      <c r="F135" s="273"/>
      <c r="G135" s="1"/>
      <c r="H135" s="3"/>
      <c r="I135" s="4">
        <f t="shared" si="9"/>
        <v>0</v>
      </c>
      <c r="M135" s="271" t="s">
        <v>292</v>
      </c>
      <c r="N135" s="272"/>
      <c r="O135" s="272"/>
      <c r="P135" s="272"/>
      <c r="Q135" s="273"/>
      <c r="R135" s="1"/>
      <c r="S135" s="3"/>
      <c r="T135" s="4">
        <f t="shared" si="11"/>
        <v>0</v>
      </c>
    </row>
    <row r="136" spans="2:23">
      <c r="B136" s="271" t="s">
        <v>293</v>
      </c>
      <c r="C136" s="272"/>
      <c r="D136" s="272"/>
      <c r="E136" s="272"/>
      <c r="F136" s="273"/>
      <c r="G136" s="1"/>
      <c r="H136" s="3"/>
      <c r="I136" s="4">
        <f t="shared" si="9"/>
        <v>0</v>
      </c>
      <c r="M136" s="271" t="s">
        <v>293</v>
      </c>
      <c r="N136" s="272"/>
      <c r="O136" s="272"/>
      <c r="P136" s="272"/>
      <c r="Q136" s="273"/>
      <c r="R136" s="1"/>
      <c r="S136" s="3"/>
      <c r="T136" s="4">
        <f t="shared" si="11"/>
        <v>0</v>
      </c>
    </row>
    <row r="137" spans="2:23">
      <c r="B137" s="271" t="s">
        <v>193</v>
      </c>
      <c r="C137" s="272"/>
      <c r="D137" s="272"/>
      <c r="E137" s="272"/>
      <c r="F137" s="273"/>
      <c r="G137" s="1"/>
      <c r="H137" s="3"/>
      <c r="I137" s="4">
        <f t="shared" si="9"/>
        <v>0</v>
      </c>
      <c r="M137" s="271" t="s">
        <v>193</v>
      </c>
      <c r="N137" s="272"/>
      <c r="O137" s="272"/>
      <c r="P137" s="272"/>
      <c r="Q137" s="273"/>
      <c r="R137" s="1"/>
      <c r="S137" s="3"/>
      <c r="T137" s="4">
        <f t="shared" si="11"/>
        <v>0</v>
      </c>
    </row>
    <row r="138" spans="2:23">
      <c r="B138" s="271" t="s">
        <v>294</v>
      </c>
      <c r="C138" s="272"/>
      <c r="D138" s="272"/>
      <c r="E138" s="272"/>
      <c r="F138" s="273"/>
      <c r="G138" s="1"/>
      <c r="H138" s="3"/>
      <c r="I138" s="4">
        <f t="shared" si="9"/>
        <v>0</v>
      </c>
      <c r="M138" s="271" t="s">
        <v>294</v>
      </c>
      <c r="N138" s="272"/>
      <c r="O138" s="272"/>
      <c r="P138" s="272"/>
      <c r="Q138" s="273"/>
      <c r="R138" s="1"/>
      <c r="S138" s="3"/>
      <c r="T138" s="4">
        <f t="shared" si="11"/>
        <v>0</v>
      </c>
    </row>
    <row r="139" spans="2:23">
      <c r="B139" s="271"/>
      <c r="C139" s="272"/>
      <c r="D139" s="272"/>
      <c r="E139" s="272"/>
      <c r="F139" s="273"/>
      <c r="G139" s="1"/>
      <c r="H139" s="3"/>
      <c r="I139" s="4">
        <f t="shared" si="9"/>
        <v>0</v>
      </c>
      <c r="M139" s="271"/>
      <c r="N139" s="272"/>
      <c r="O139" s="272"/>
      <c r="P139" s="272"/>
      <c r="Q139" s="273"/>
      <c r="R139" s="1"/>
      <c r="S139" s="3"/>
      <c r="T139" s="4">
        <f t="shared" si="11"/>
        <v>0</v>
      </c>
    </row>
    <row r="140" spans="2:23" ht="15" customHeight="1" thickBot="1">
      <c r="B140" s="271"/>
      <c r="C140" s="272"/>
      <c r="D140" s="272"/>
      <c r="E140" s="272"/>
      <c r="F140" s="273"/>
      <c r="G140" s="1"/>
      <c r="H140" s="3"/>
      <c r="I140" s="4">
        <f t="shared" si="9"/>
        <v>0</v>
      </c>
      <c r="M140" s="271"/>
      <c r="N140" s="272"/>
      <c r="O140" s="272"/>
      <c r="P140" s="272"/>
      <c r="Q140" s="273"/>
      <c r="R140" s="1"/>
      <c r="S140" s="3"/>
      <c r="T140" s="4">
        <f t="shared" si="11"/>
        <v>0</v>
      </c>
    </row>
    <row r="141" spans="2:23" ht="15.75" customHeight="1">
      <c r="B141" s="271"/>
      <c r="C141" s="272"/>
      <c r="D141" s="272"/>
      <c r="E141" s="272"/>
      <c r="F141" s="273"/>
      <c r="G141" s="1"/>
      <c r="H141" s="3"/>
      <c r="I141" s="4">
        <f t="shared" si="9"/>
        <v>0</v>
      </c>
      <c r="J141" s="308" t="s">
        <v>275</v>
      </c>
      <c r="K141" s="309"/>
      <c r="L141" s="310"/>
      <c r="M141" s="271"/>
      <c r="N141" s="272"/>
      <c r="O141" s="272"/>
      <c r="P141" s="272"/>
      <c r="Q141" s="273"/>
      <c r="R141" s="1"/>
      <c r="S141" s="3"/>
      <c r="T141" s="4">
        <f t="shared" si="11"/>
        <v>0</v>
      </c>
      <c r="U141" s="308" t="s">
        <v>275</v>
      </c>
      <c r="V141" s="309"/>
      <c r="W141" s="310"/>
    </row>
    <row r="142" spans="2:23" ht="15" customHeight="1" thickBot="1">
      <c r="B142" s="414" t="s">
        <v>2</v>
      </c>
      <c r="C142" s="415"/>
      <c r="D142" s="415"/>
      <c r="E142" s="415"/>
      <c r="F142" s="416"/>
      <c r="G142" s="79"/>
      <c r="H142" s="80"/>
      <c r="I142" s="68">
        <f t="shared" si="9"/>
        <v>0</v>
      </c>
      <c r="J142" s="311"/>
      <c r="K142" s="312"/>
      <c r="L142" s="313"/>
      <c r="M142" s="414" t="s">
        <v>2</v>
      </c>
      <c r="N142" s="415"/>
      <c r="O142" s="415"/>
      <c r="P142" s="415"/>
      <c r="Q142" s="416"/>
      <c r="R142" s="79"/>
      <c r="S142" s="80"/>
      <c r="T142" s="68">
        <f t="shared" si="11"/>
        <v>0</v>
      </c>
      <c r="U142" s="311"/>
      <c r="V142" s="312"/>
      <c r="W142" s="313"/>
    </row>
    <row r="143" spans="2:23" ht="15.75" customHeight="1">
      <c r="B143" s="412" t="s">
        <v>22</v>
      </c>
      <c r="C143" s="413"/>
      <c r="D143" s="413"/>
      <c r="E143" s="413"/>
      <c r="F143" s="413"/>
      <c r="G143" s="1"/>
      <c r="H143" s="3"/>
      <c r="I143" s="4">
        <f t="shared" si="9"/>
        <v>0</v>
      </c>
      <c r="J143" s="257">
        <f>SUM(I133:I144)</f>
        <v>0</v>
      </c>
      <c r="K143" s="258"/>
      <c r="L143" s="259"/>
      <c r="M143" s="412" t="s">
        <v>22</v>
      </c>
      <c r="N143" s="413"/>
      <c r="O143" s="413"/>
      <c r="P143" s="413"/>
      <c r="Q143" s="413"/>
      <c r="R143" s="1"/>
      <c r="S143" s="3"/>
      <c r="T143" s="4">
        <f t="shared" si="11"/>
        <v>0</v>
      </c>
      <c r="U143" s="257">
        <f>SUM(T133:T144)</f>
        <v>0</v>
      </c>
      <c r="V143" s="258"/>
      <c r="W143" s="259"/>
    </row>
    <row r="144" spans="2:23" ht="15.75" customHeight="1" thickBot="1">
      <c r="B144" s="412" t="s">
        <v>21</v>
      </c>
      <c r="C144" s="413"/>
      <c r="D144" s="413"/>
      <c r="E144" s="413"/>
      <c r="F144" s="413"/>
      <c r="G144" s="1"/>
      <c r="H144" s="3"/>
      <c r="I144" s="4">
        <f t="shared" ref="I144:I147" si="12">G144*H144</f>
        <v>0</v>
      </c>
      <c r="J144" s="260"/>
      <c r="K144" s="261"/>
      <c r="L144" s="262"/>
      <c r="M144" s="412" t="s">
        <v>21</v>
      </c>
      <c r="N144" s="413"/>
      <c r="O144" s="413"/>
      <c r="P144" s="413"/>
      <c r="Q144" s="413"/>
      <c r="R144" s="1"/>
      <c r="S144" s="3"/>
      <c r="T144" s="4">
        <f t="shared" si="11"/>
        <v>0</v>
      </c>
      <c r="U144" s="260"/>
      <c r="V144" s="261"/>
      <c r="W144" s="262"/>
    </row>
    <row r="145" spans="2:23" ht="16.2" thickBot="1">
      <c r="B145" s="316" t="s">
        <v>334</v>
      </c>
      <c r="C145" s="317"/>
      <c r="D145" s="317"/>
      <c r="E145" s="317"/>
      <c r="F145" s="317"/>
      <c r="G145" s="317"/>
      <c r="H145" s="317"/>
      <c r="I145" s="420"/>
      <c r="J145" s="64"/>
      <c r="K145" s="65"/>
      <c r="L145" s="65"/>
      <c r="M145" s="316" t="s">
        <v>334</v>
      </c>
      <c r="N145" s="317"/>
      <c r="O145" s="317"/>
      <c r="P145" s="317"/>
      <c r="Q145" s="317"/>
      <c r="R145" s="317"/>
      <c r="S145" s="317"/>
      <c r="T145" s="420"/>
      <c r="U145" s="64"/>
      <c r="V145" s="65"/>
      <c r="W145" s="65"/>
    </row>
    <row r="146" spans="2:23" ht="16.2" thickBot="1">
      <c r="B146" s="316" t="s">
        <v>267</v>
      </c>
      <c r="C146" s="317"/>
      <c r="D146" s="317"/>
      <c r="E146" s="317"/>
      <c r="F146" s="317"/>
      <c r="G146" s="91" t="s">
        <v>266</v>
      </c>
      <c r="H146" s="91" t="s">
        <v>0</v>
      </c>
      <c r="I146" s="92" t="s">
        <v>265</v>
      </c>
      <c r="J146" s="64"/>
      <c r="K146" s="65"/>
      <c r="L146" s="65"/>
      <c r="M146" s="316" t="s">
        <v>267</v>
      </c>
      <c r="N146" s="317"/>
      <c r="O146" s="317"/>
      <c r="P146" s="317"/>
      <c r="Q146" s="317"/>
      <c r="R146" s="91" t="s">
        <v>266</v>
      </c>
      <c r="S146" s="91" t="s">
        <v>0</v>
      </c>
      <c r="T146" s="92" t="s">
        <v>265</v>
      </c>
      <c r="U146" s="64"/>
      <c r="V146" s="65"/>
      <c r="W146" s="65"/>
    </row>
    <row r="147" spans="2:23" ht="15" customHeight="1">
      <c r="B147" s="266" t="s">
        <v>8</v>
      </c>
      <c r="C147" s="267"/>
      <c r="D147" s="267"/>
      <c r="E147" s="267"/>
      <c r="F147" s="267"/>
      <c r="G147" s="1"/>
      <c r="H147" s="3"/>
      <c r="I147" s="4">
        <f t="shared" si="12"/>
        <v>0</v>
      </c>
      <c r="J147" s="308" t="s">
        <v>275</v>
      </c>
      <c r="K147" s="309"/>
      <c r="L147" s="310"/>
      <c r="M147" s="266" t="s">
        <v>8</v>
      </c>
      <c r="N147" s="267"/>
      <c r="O147" s="267"/>
      <c r="P147" s="267"/>
      <c r="Q147" s="267"/>
      <c r="R147" s="1"/>
      <c r="S147" s="3"/>
      <c r="T147" s="4">
        <f t="shared" ref="T147:T150" si="13">R147*S147</f>
        <v>0</v>
      </c>
      <c r="U147" s="308" t="s">
        <v>275</v>
      </c>
      <c r="V147" s="309"/>
      <c r="W147" s="310"/>
    </row>
    <row r="148" spans="2:23" ht="15.75" customHeight="1" thickBot="1">
      <c r="B148" s="266" t="s">
        <v>9</v>
      </c>
      <c r="C148" s="267"/>
      <c r="D148" s="267"/>
      <c r="E148" s="267"/>
      <c r="F148" s="267"/>
      <c r="G148" s="1"/>
      <c r="H148" s="3"/>
      <c r="I148" s="4">
        <f t="shared" ref="I148" si="14">G148*H148</f>
        <v>0</v>
      </c>
      <c r="J148" s="311"/>
      <c r="K148" s="312"/>
      <c r="L148" s="313"/>
      <c r="M148" s="266" t="s">
        <v>9</v>
      </c>
      <c r="N148" s="267"/>
      <c r="O148" s="267"/>
      <c r="P148" s="267"/>
      <c r="Q148" s="267"/>
      <c r="R148" s="1"/>
      <c r="S148" s="3"/>
      <c r="T148" s="4">
        <f t="shared" si="13"/>
        <v>0</v>
      </c>
      <c r="U148" s="311"/>
      <c r="V148" s="312"/>
      <c r="W148" s="313"/>
    </row>
    <row r="149" spans="2:23" ht="15" customHeight="1">
      <c r="B149" s="266" t="s">
        <v>335</v>
      </c>
      <c r="C149" s="267"/>
      <c r="D149" s="267"/>
      <c r="E149" s="267"/>
      <c r="F149" s="267"/>
      <c r="G149" s="1"/>
      <c r="H149" s="3"/>
      <c r="I149" s="4">
        <f t="shared" ref="I149:I150" si="15">G149*H149</f>
        <v>0</v>
      </c>
      <c r="J149" s="257">
        <f>SUM(I147:I150)</f>
        <v>0</v>
      </c>
      <c r="K149" s="258"/>
      <c r="L149" s="259"/>
      <c r="M149" s="266" t="s">
        <v>335</v>
      </c>
      <c r="N149" s="267"/>
      <c r="O149" s="267"/>
      <c r="P149" s="267"/>
      <c r="Q149" s="267"/>
      <c r="R149" s="1"/>
      <c r="S149" s="3"/>
      <c r="T149" s="4">
        <f t="shared" si="13"/>
        <v>0</v>
      </c>
      <c r="U149" s="257">
        <f>SUM(T147:T150)</f>
        <v>0</v>
      </c>
      <c r="V149" s="258"/>
      <c r="W149" s="259"/>
    </row>
    <row r="150" spans="2:23" ht="15.75" customHeight="1" thickBot="1">
      <c r="B150" s="297" t="s">
        <v>336</v>
      </c>
      <c r="C150" s="298"/>
      <c r="D150" s="298"/>
      <c r="E150" s="298"/>
      <c r="F150" s="298"/>
      <c r="G150" s="2"/>
      <c r="H150" s="5"/>
      <c r="I150" s="14">
        <f t="shared" si="15"/>
        <v>0</v>
      </c>
      <c r="J150" s="260"/>
      <c r="K150" s="261"/>
      <c r="L150" s="262"/>
      <c r="M150" s="297" t="s">
        <v>336</v>
      </c>
      <c r="N150" s="298"/>
      <c r="O150" s="298"/>
      <c r="P150" s="298"/>
      <c r="Q150" s="298"/>
      <c r="R150" s="2"/>
      <c r="S150" s="5"/>
      <c r="T150" s="14">
        <f t="shared" si="13"/>
        <v>0</v>
      </c>
      <c r="U150" s="260"/>
      <c r="V150" s="261"/>
      <c r="W150" s="262"/>
    </row>
    <row r="151" spans="2:23" ht="15" customHeight="1">
      <c r="B151" s="299" t="s">
        <v>298</v>
      </c>
      <c r="C151" s="300"/>
      <c r="D151" s="300"/>
      <c r="E151" s="300"/>
      <c r="F151" s="300"/>
      <c r="G151" s="300"/>
      <c r="H151" s="300"/>
      <c r="I151" s="301"/>
      <c r="J151" s="385">
        <f>SUM(J149,J143,J129,J110,J96,J82,J68)</f>
        <v>0</v>
      </c>
      <c r="K151" s="386"/>
      <c r="L151" s="387"/>
      <c r="M151" s="299" t="s">
        <v>298</v>
      </c>
      <c r="N151" s="300"/>
      <c r="O151" s="300"/>
      <c r="P151" s="300"/>
      <c r="Q151" s="300"/>
      <c r="R151" s="300"/>
      <c r="S151" s="300"/>
      <c r="T151" s="301"/>
      <c r="U151" s="385">
        <f>SUM(U149,U143,U129,U110,U96,U82,U68)</f>
        <v>0</v>
      </c>
      <c r="V151" s="386"/>
      <c r="W151" s="387"/>
    </row>
    <row r="152" spans="2:23" ht="15" customHeight="1">
      <c r="B152" s="302"/>
      <c r="C152" s="303"/>
      <c r="D152" s="303"/>
      <c r="E152" s="303"/>
      <c r="F152" s="303"/>
      <c r="G152" s="303"/>
      <c r="H152" s="303"/>
      <c r="I152" s="304"/>
      <c r="J152" s="388"/>
      <c r="K152" s="389"/>
      <c r="L152" s="390"/>
      <c r="M152" s="302"/>
      <c r="N152" s="303"/>
      <c r="O152" s="303"/>
      <c r="P152" s="303"/>
      <c r="Q152" s="303"/>
      <c r="R152" s="303"/>
      <c r="S152" s="303"/>
      <c r="T152" s="304"/>
      <c r="U152" s="388"/>
      <c r="V152" s="389"/>
      <c r="W152" s="390"/>
    </row>
    <row r="153" spans="2:23" ht="15.75" customHeight="1" thickBot="1">
      <c r="B153" s="305"/>
      <c r="C153" s="306"/>
      <c r="D153" s="306"/>
      <c r="E153" s="306"/>
      <c r="F153" s="306"/>
      <c r="G153" s="306"/>
      <c r="H153" s="306"/>
      <c r="I153" s="307"/>
      <c r="J153" s="391"/>
      <c r="K153" s="392"/>
      <c r="L153" s="393"/>
      <c r="M153" s="305"/>
      <c r="N153" s="306"/>
      <c r="O153" s="306"/>
      <c r="P153" s="306"/>
      <c r="Q153" s="306"/>
      <c r="R153" s="306"/>
      <c r="S153" s="306"/>
      <c r="T153" s="307"/>
      <c r="U153" s="391"/>
      <c r="V153" s="392"/>
      <c r="W153" s="393"/>
    </row>
    <row r="154" spans="2:23">
      <c r="B154" s="376"/>
      <c r="C154" s="377"/>
      <c r="D154" s="377"/>
      <c r="E154" s="377"/>
      <c r="F154" s="377"/>
      <c r="G154" s="377"/>
      <c r="H154" s="377"/>
      <c r="I154" s="378"/>
      <c r="M154" s="376"/>
      <c r="N154" s="377"/>
      <c r="O154" s="377"/>
      <c r="P154" s="377"/>
      <c r="Q154" s="377"/>
      <c r="R154" s="377"/>
      <c r="S154" s="377"/>
      <c r="T154" s="378"/>
    </row>
    <row r="155" spans="2:23">
      <c r="B155" s="379"/>
      <c r="C155" s="380"/>
      <c r="D155" s="380"/>
      <c r="E155" s="380"/>
      <c r="F155" s="380"/>
      <c r="G155" s="380"/>
      <c r="H155" s="380"/>
      <c r="I155" s="381"/>
      <c r="M155" s="379"/>
      <c r="N155" s="380"/>
      <c r="O155" s="380"/>
      <c r="P155" s="380"/>
      <c r="Q155" s="380"/>
      <c r="R155" s="380"/>
      <c r="S155" s="380"/>
      <c r="T155" s="381"/>
    </row>
    <row r="156" spans="2:23" ht="15" thickBot="1">
      <c r="B156" s="382"/>
      <c r="C156" s="383"/>
      <c r="D156" s="383"/>
      <c r="E156" s="383"/>
      <c r="F156" s="383"/>
      <c r="G156" s="383"/>
      <c r="H156" s="383"/>
      <c r="I156" s="384"/>
      <c r="M156" s="382"/>
      <c r="N156" s="383"/>
      <c r="O156" s="383"/>
      <c r="P156" s="383"/>
      <c r="Q156" s="383"/>
      <c r="R156" s="383"/>
      <c r="S156" s="383"/>
      <c r="T156" s="384"/>
    </row>
    <row r="157" spans="2:23" ht="15" thickBot="1">
      <c r="B157" s="314" t="s">
        <v>262</v>
      </c>
      <c r="C157" s="315"/>
      <c r="D157" s="315"/>
      <c r="E157" s="315"/>
      <c r="F157" s="315"/>
      <c r="G157" s="315"/>
      <c r="H157" s="315"/>
      <c r="I157" s="411"/>
      <c r="M157" s="314" t="s">
        <v>262</v>
      </c>
      <c r="N157" s="315"/>
      <c r="O157" s="315"/>
      <c r="P157" s="315"/>
      <c r="Q157" s="315"/>
      <c r="R157" s="315"/>
      <c r="S157" s="315"/>
      <c r="T157" s="411"/>
    </row>
    <row r="158" spans="2:23" ht="15" thickBot="1">
      <c r="B158" s="314" t="s">
        <v>267</v>
      </c>
      <c r="C158" s="315"/>
      <c r="D158" s="315"/>
      <c r="E158" s="315"/>
      <c r="F158" s="315"/>
      <c r="G158" s="71" t="s">
        <v>266</v>
      </c>
      <c r="H158" s="71" t="s">
        <v>0</v>
      </c>
      <c r="I158" s="72" t="s">
        <v>265</v>
      </c>
      <c r="M158" s="314" t="s">
        <v>267</v>
      </c>
      <c r="N158" s="315"/>
      <c r="O158" s="315"/>
      <c r="P158" s="315"/>
      <c r="Q158" s="315"/>
      <c r="R158" s="71" t="s">
        <v>266</v>
      </c>
      <c r="S158" s="71" t="s">
        <v>0</v>
      </c>
      <c r="T158" s="72" t="s">
        <v>265</v>
      </c>
    </row>
    <row r="159" spans="2:23">
      <c r="B159" s="370" t="s">
        <v>13</v>
      </c>
      <c r="C159" s="371"/>
      <c r="D159" s="371"/>
      <c r="E159" s="372"/>
      <c r="F159" s="70">
        <v>1</v>
      </c>
      <c r="G159" s="6"/>
      <c r="H159" s="7">
        <f>$I$4</f>
        <v>160000</v>
      </c>
      <c r="I159" s="69">
        <f>F159*G159*H159</f>
        <v>0</v>
      </c>
      <c r="M159" s="370" t="s">
        <v>13</v>
      </c>
      <c r="N159" s="371"/>
      <c r="O159" s="371"/>
      <c r="P159" s="372"/>
      <c r="Q159" s="70">
        <v>1</v>
      </c>
      <c r="R159" s="6"/>
      <c r="S159" s="7">
        <f>$I$4</f>
        <v>160000</v>
      </c>
      <c r="T159" s="69">
        <f>Q159*R159*S159</f>
        <v>0</v>
      </c>
    </row>
    <row r="160" spans="2:23">
      <c r="B160" s="61" t="s">
        <v>261</v>
      </c>
      <c r="C160" s="62"/>
      <c r="D160" s="62"/>
      <c r="E160" s="63"/>
      <c r="F160" s="12">
        <v>1</v>
      </c>
      <c r="G160" s="1"/>
      <c r="H160" s="3">
        <f>$I$5</f>
        <v>165000</v>
      </c>
      <c r="I160" s="4"/>
      <c r="M160" s="61" t="s">
        <v>261</v>
      </c>
      <c r="N160" s="62"/>
      <c r="O160" s="62"/>
      <c r="P160" s="63"/>
      <c r="Q160" s="12">
        <v>1</v>
      </c>
      <c r="R160" s="1"/>
      <c r="S160" s="3">
        <f>$I$5</f>
        <v>165000</v>
      </c>
      <c r="T160" s="4"/>
    </row>
    <row r="161" spans="2:23">
      <c r="B161" s="288" t="s">
        <v>306</v>
      </c>
      <c r="C161" s="289"/>
      <c r="D161" s="289"/>
      <c r="E161" s="290"/>
      <c r="F161" s="12">
        <v>1</v>
      </c>
      <c r="G161" s="1"/>
      <c r="H161" s="3">
        <f>$I$6</f>
        <v>140000</v>
      </c>
      <c r="I161" s="4">
        <f>F161*G161*H161</f>
        <v>0</v>
      </c>
      <c r="M161" s="288" t="s">
        <v>15</v>
      </c>
      <c r="N161" s="289"/>
      <c r="O161" s="289"/>
      <c r="P161" s="290"/>
      <c r="Q161" s="12">
        <v>1</v>
      </c>
      <c r="R161" s="1"/>
      <c r="S161" s="3">
        <f>$I$6</f>
        <v>140000</v>
      </c>
      <c r="T161" s="4">
        <f>Q161*R161*S161</f>
        <v>0</v>
      </c>
    </row>
    <row r="162" spans="2:23">
      <c r="B162" s="288" t="s">
        <v>307</v>
      </c>
      <c r="C162" s="289"/>
      <c r="D162" s="289"/>
      <c r="E162" s="290"/>
      <c r="F162" s="12">
        <v>1</v>
      </c>
      <c r="G162" s="1"/>
      <c r="H162" s="3">
        <f>$I$7</f>
        <v>150000</v>
      </c>
      <c r="I162" s="4">
        <f>F162*G162*H162</f>
        <v>0</v>
      </c>
      <c r="M162" s="288" t="s">
        <v>338</v>
      </c>
      <c r="N162" s="289"/>
      <c r="O162" s="289"/>
      <c r="P162" s="290"/>
      <c r="Q162" s="12">
        <v>1</v>
      </c>
      <c r="R162" s="1"/>
      <c r="S162" s="3">
        <f>$I$7</f>
        <v>150000</v>
      </c>
      <c r="T162" s="4">
        <f>Q162*R162*S162</f>
        <v>0</v>
      </c>
    </row>
    <row r="163" spans="2:23">
      <c r="B163" s="288"/>
      <c r="C163" s="289"/>
      <c r="D163" s="289"/>
      <c r="E163" s="290"/>
      <c r="F163" s="12"/>
      <c r="G163" s="1"/>
      <c r="H163" s="3"/>
      <c r="I163" s="4">
        <f>F163*G163*H163</f>
        <v>0</v>
      </c>
      <c r="M163" s="288"/>
      <c r="N163" s="289"/>
      <c r="O163" s="289"/>
      <c r="P163" s="290"/>
      <c r="Q163" s="12"/>
      <c r="R163" s="1"/>
      <c r="S163" s="3"/>
      <c r="T163" s="4">
        <f>Q163*R163*S163</f>
        <v>0</v>
      </c>
    </row>
    <row r="164" spans="2:23">
      <c r="B164" s="283" t="s">
        <v>73</v>
      </c>
      <c r="C164" s="284"/>
      <c r="D164" s="284"/>
      <c r="E164" s="284"/>
      <c r="F164" s="285"/>
      <c r="G164" s="1"/>
      <c r="H164" s="3">
        <f>$I$8</f>
        <v>12800</v>
      </c>
      <c r="I164" s="4">
        <f>G164*H164</f>
        <v>0</v>
      </c>
      <c r="M164" s="283" t="s">
        <v>339</v>
      </c>
      <c r="N164" s="284"/>
      <c r="O164" s="284"/>
      <c r="P164" s="284"/>
      <c r="Q164" s="285"/>
      <c r="R164" s="1"/>
      <c r="S164" s="3">
        <f>$I$8</f>
        <v>12800</v>
      </c>
      <c r="T164" s="4">
        <f>R164*S164</f>
        <v>0</v>
      </c>
    </row>
    <row r="165" spans="2:23">
      <c r="B165" s="283" t="s">
        <v>74</v>
      </c>
      <c r="C165" s="284"/>
      <c r="D165" s="284"/>
      <c r="E165" s="284"/>
      <c r="F165" s="285"/>
      <c r="G165" s="1"/>
      <c r="H165" s="3">
        <f>$I$9</f>
        <v>11100</v>
      </c>
      <c r="I165" s="4">
        <f>G165*H165</f>
        <v>0</v>
      </c>
      <c r="M165" s="283" t="s">
        <v>263</v>
      </c>
      <c r="N165" s="284"/>
      <c r="O165" s="284"/>
      <c r="P165" s="284"/>
      <c r="Q165" s="285"/>
      <c r="R165" s="1"/>
      <c r="S165" s="3">
        <f>$I$9</f>
        <v>11100</v>
      </c>
      <c r="T165" s="4">
        <f>R165*S165</f>
        <v>0</v>
      </c>
    </row>
    <row r="166" spans="2:23">
      <c r="B166" s="280" t="s">
        <v>308</v>
      </c>
      <c r="C166" s="281"/>
      <c r="D166" s="281"/>
      <c r="E166" s="281"/>
      <c r="F166" s="282"/>
      <c r="G166" s="1"/>
      <c r="H166" s="3">
        <f>$I$10</f>
        <v>58</v>
      </c>
      <c r="I166" s="4">
        <f t="shared" ref="I166:I178" si="16">G166*H166</f>
        <v>0</v>
      </c>
      <c r="M166" s="280" t="s">
        <v>340</v>
      </c>
      <c r="N166" s="281"/>
      <c r="O166" s="281"/>
      <c r="P166" s="281"/>
      <c r="Q166" s="282"/>
      <c r="R166" s="1"/>
      <c r="S166" s="3">
        <f>$I$10</f>
        <v>58</v>
      </c>
      <c r="T166" s="4">
        <f t="shared" ref="T166:T178" si="17">R166*S166</f>
        <v>0</v>
      </c>
    </row>
    <row r="167" spans="2:23">
      <c r="B167" s="280" t="s">
        <v>309</v>
      </c>
      <c r="C167" s="281"/>
      <c r="D167" s="281"/>
      <c r="E167" s="281"/>
      <c r="F167" s="282"/>
      <c r="G167" s="1"/>
      <c r="H167" s="3">
        <f>$I$11</f>
        <v>35</v>
      </c>
      <c r="I167" s="4">
        <f t="shared" si="16"/>
        <v>0</v>
      </c>
      <c r="M167" s="280" t="s">
        <v>341</v>
      </c>
      <c r="N167" s="281"/>
      <c r="O167" s="281"/>
      <c r="P167" s="281"/>
      <c r="Q167" s="282"/>
      <c r="R167" s="1"/>
      <c r="S167" s="3">
        <f>$I$11</f>
        <v>35</v>
      </c>
      <c r="T167" s="4">
        <f t="shared" si="17"/>
        <v>0</v>
      </c>
    </row>
    <row r="168" spans="2:23">
      <c r="B168" s="280" t="s">
        <v>310</v>
      </c>
      <c r="C168" s="281"/>
      <c r="D168" s="281"/>
      <c r="E168" s="281"/>
      <c r="F168" s="282"/>
      <c r="G168" s="1"/>
      <c r="H168" s="3">
        <f>$I$12</f>
        <v>1250</v>
      </c>
      <c r="I168" s="4">
        <f t="shared" si="16"/>
        <v>0</v>
      </c>
      <c r="M168" s="280" t="s">
        <v>342</v>
      </c>
      <c r="N168" s="281"/>
      <c r="O168" s="281"/>
      <c r="P168" s="281"/>
      <c r="Q168" s="282"/>
      <c r="R168" s="1"/>
      <c r="S168" s="3">
        <f>$I$12</f>
        <v>1250</v>
      </c>
      <c r="T168" s="4">
        <f t="shared" si="17"/>
        <v>0</v>
      </c>
    </row>
    <row r="169" spans="2:23">
      <c r="B169" s="280" t="s">
        <v>311</v>
      </c>
      <c r="C169" s="281"/>
      <c r="D169" s="281"/>
      <c r="E169" s="281"/>
      <c r="F169" s="282"/>
      <c r="G169" s="1"/>
      <c r="H169" s="3">
        <f>$I$13</f>
        <v>1250</v>
      </c>
      <c r="I169" s="4">
        <f t="shared" si="16"/>
        <v>0</v>
      </c>
      <c r="M169" s="280" t="s">
        <v>343</v>
      </c>
      <c r="N169" s="281"/>
      <c r="O169" s="281"/>
      <c r="P169" s="281"/>
      <c r="Q169" s="282"/>
      <c r="R169" s="1"/>
      <c r="S169" s="3">
        <f>$I$13</f>
        <v>1250</v>
      </c>
      <c r="T169" s="4">
        <f t="shared" si="17"/>
        <v>0</v>
      </c>
    </row>
    <row r="170" spans="2:23">
      <c r="B170" s="280" t="s">
        <v>312</v>
      </c>
      <c r="C170" s="281"/>
      <c r="D170" s="281"/>
      <c r="E170" s="281"/>
      <c r="F170" s="282"/>
      <c r="G170" s="1"/>
      <c r="H170" s="3">
        <f>$I$14</f>
        <v>750</v>
      </c>
      <c r="I170" s="4">
        <f t="shared" si="16"/>
        <v>0</v>
      </c>
      <c r="M170" s="280" t="s">
        <v>344</v>
      </c>
      <c r="N170" s="281"/>
      <c r="O170" s="281"/>
      <c r="P170" s="281"/>
      <c r="Q170" s="282"/>
      <c r="R170" s="1"/>
      <c r="S170" s="3">
        <f>$I$14</f>
        <v>750</v>
      </c>
      <c r="T170" s="4">
        <f t="shared" si="17"/>
        <v>0</v>
      </c>
    </row>
    <row r="171" spans="2:23">
      <c r="B171" s="280" t="s">
        <v>313</v>
      </c>
      <c r="C171" s="281"/>
      <c r="D171" s="281"/>
      <c r="E171" s="281"/>
      <c r="F171" s="282"/>
      <c r="G171" s="1"/>
      <c r="H171" s="3">
        <f>$I$15</f>
        <v>175</v>
      </c>
      <c r="I171" s="4">
        <f t="shared" si="16"/>
        <v>0</v>
      </c>
      <c r="M171" s="280" t="s">
        <v>345</v>
      </c>
      <c r="N171" s="281"/>
      <c r="O171" s="281"/>
      <c r="P171" s="281"/>
      <c r="Q171" s="282"/>
      <c r="R171" s="1"/>
      <c r="S171" s="3">
        <f>$I$15</f>
        <v>175</v>
      </c>
      <c r="T171" s="4">
        <f t="shared" si="17"/>
        <v>0</v>
      </c>
    </row>
    <row r="172" spans="2:23">
      <c r="B172" s="280" t="s">
        <v>314</v>
      </c>
      <c r="C172" s="281"/>
      <c r="D172" s="281"/>
      <c r="E172" s="281"/>
      <c r="F172" s="282"/>
      <c r="G172" s="1"/>
      <c r="H172" s="3">
        <f>$I$16</f>
        <v>175</v>
      </c>
      <c r="I172" s="4">
        <f t="shared" si="16"/>
        <v>0</v>
      </c>
      <c r="M172" s="280" t="s">
        <v>346</v>
      </c>
      <c r="N172" s="281"/>
      <c r="O172" s="281"/>
      <c r="P172" s="281"/>
      <c r="Q172" s="282"/>
      <c r="R172" s="1"/>
      <c r="S172" s="3">
        <f>$I$16</f>
        <v>175</v>
      </c>
      <c r="T172" s="4">
        <f t="shared" si="17"/>
        <v>0</v>
      </c>
    </row>
    <row r="173" spans="2:23">
      <c r="B173" s="288" t="s">
        <v>222</v>
      </c>
      <c r="C173" s="289"/>
      <c r="D173" s="289"/>
      <c r="E173" s="289"/>
      <c r="F173" s="290"/>
      <c r="G173" s="1"/>
      <c r="H173" s="3">
        <f>$I$17</f>
        <v>90000</v>
      </c>
      <c r="I173" s="4">
        <f t="shared" si="16"/>
        <v>0</v>
      </c>
      <c r="M173" s="288" t="s">
        <v>222</v>
      </c>
      <c r="N173" s="289"/>
      <c r="O173" s="289"/>
      <c r="P173" s="289"/>
      <c r="Q173" s="290"/>
      <c r="R173" s="1"/>
      <c r="S173" s="3">
        <f>$I$17</f>
        <v>90000</v>
      </c>
      <c r="T173" s="4">
        <f t="shared" si="17"/>
        <v>0</v>
      </c>
    </row>
    <row r="174" spans="2:23" ht="15" thickBot="1">
      <c r="B174" s="283" t="s">
        <v>337</v>
      </c>
      <c r="C174" s="284"/>
      <c r="D174" s="284"/>
      <c r="E174" s="284"/>
      <c r="F174" s="285"/>
      <c r="G174" s="1"/>
      <c r="H174" s="3">
        <f>$I$18</f>
        <v>21000</v>
      </c>
      <c r="I174" s="4">
        <f t="shared" si="16"/>
        <v>0</v>
      </c>
      <c r="M174" s="283" t="s">
        <v>337</v>
      </c>
      <c r="N174" s="284"/>
      <c r="O174" s="284"/>
      <c r="P174" s="284"/>
      <c r="Q174" s="285"/>
      <c r="R174" s="1"/>
      <c r="S174" s="3">
        <f>$I$18</f>
        <v>21000</v>
      </c>
      <c r="T174" s="4">
        <f t="shared" si="17"/>
        <v>0</v>
      </c>
    </row>
    <row r="175" spans="2:23">
      <c r="B175" s="283" t="s">
        <v>269</v>
      </c>
      <c r="C175" s="284"/>
      <c r="D175" s="284"/>
      <c r="E175" s="284"/>
      <c r="F175" s="285"/>
      <c r="G175" s="1"/>
      <c r="H175" s="3">
        <f>$I$19</f>
        <v>40000</v>
      </c>
      <c r="I175" s="4">
        <f t="shared" si="16"/>
        <v>0</v>
      </c>
      <c r="J175" s="308" t="s">
        <v>275</v>
      </c>
      <c r="K175" s="309"/>
      <c r="L175" s="310"/>
      <c r="M175" s="283" t="s">
        <v>269</v>
      </c>
      <c r="N175" s="284"/>
      <c r="O175" s="284"/>
      <c r="P175" s="284"/>
      <c r="Q175" s="285"/>
      <c r="R175" s="1"/>
      <c r="S175" s="3">
        <f>$I$19</f>
        <v>40000</v>
      </c>
      <c r="T175" s="4">
        <f t="shared" si="17"/>
        <v>0</v>
      </c>
      <c r="U175" s="308" t="s">
        <v>275</v>
      </c>
      <c r="V175" s="309"/>
      <c r="W175" s="310"/>
    </row>
    <row r="176" spans="2:23" ht="15" thickBot="1">
      <c r="B176" s="283" t="s">
        <v>270</v>
      </c>
      <c r="C176" s="284"/>
      <c r="D176" s="284"/>
      <c r="E176" s="284"/>
      <c r="F176" s="285"/>
      <c r="G176" s="1"/>
      <c r="H176" s="3">
        <f>$I$20</f>
        <v>13000</v>
      </c>
      <c r="I176" s="4">
        <f t="shared" si="16"/>
        <v>0</v>
      </c>
      <c r="J176" s="311"/>
      <c r="K176" s="312"/>
      <c r="L176" s="313"/>
      <c r="M176" s="283" t="s">
        <v>270</v>
      </c>
      <c r="N176" s="284"/>
      <c r="O176" s="284"/>
      <c r="P176" s="284"/>
      <c r="Q176" s="285"/>
      <c r="R176" s="1"/>
      <c r="S176" s="3">
        <f>$I$20</f>
        <v>13000</v>
      </c>
      <c r="T176" s="4">
        <f t="shared" si="17"/>
        <v>0</v>
      </c>
      <c r="U176" s="311"/>
      <c r="V176" s="312"/>
      <c r="W176" s="313"/>
    </row>
    <row r="177" spans="2:23">
      <c r="B177" s="280"/>
      <c r="C177" s="281"/>
      <c r="D177" s="281"/>
      <c r="E177" s="281"/>
      <c r="F177" s="282"/>
      <c r="G177" s="1"/>
      <c r="H177" s="3"/>
      <c r="I177" s="4">
        <f t="shared" si="16"/>
        <v>0</v>
      </c>
      <c r="J177" s="257">
        <f>SUM(I159:I178)</f>
        <v>0</v>
      </c>
      <c r="K177" s="258"/>
      <c r="L177" s="259"/>
      <c r="M177" s="280"/>
      <c r="N177" s="281"/>
      <c r="O177" s="281"/>
      <c r="P177" s="281"/>
      <c r="Q177" s="282"/>
      <c r="R177" s="1"/>
      <c r="S177" s="3"/>
      <c r="T177" s="4">
        <f t="shared" si="17"/>
        <v>0</v>
      </c>
      <c r="U177" s="257">
        <f>SUM(T159:T178)</f>
        <v>0</v>
      </c>
      <c r="V177" s="258"/>
      <c r="W177" s="259"/>
    </row>
    <row r="178" spans="2:23" ht="15" thickBot="1">
      <c r="B178" s="286"/>
      <c r="C178" s="287"/>
      <c r="D178" s="287"/>
      <c r="E178" s="287"/>
      <c r="F178" s="287"/>
      <c r="G178" s="66"/>
      <c r="H178" s="67"/>
      <c r="I178" s="68">
        <f t="shared" si="16"/>
        <v>0</v>
      </c>
      <c r="J178" s="260"/>
      <c r="K178" s="261"/>
      <c r="L178" s="262"/>
      <c r="M178" s="286"/>
      <c r="N178" s="287"/>
      <c r="O178" s="287"/>
      <c r="P178" s="287"/>
      <c r="Q178" s="287"/>
      <c r="R178" s="66"/>
      <c r="S178" s="67"/>
      <c r="T178" s="68">
        <f t="shared" si="17"/>
        <v>0</v>
      </c>
      <c r="U178" s="260"/>
      <c r="V178" s="261"/>
      <c r="W178" s="262"/>
    </row>
    <row r="179" spans="2:23" ht="15" thickBot="1">
      <c r="B179" s="417" t="s">
        <v>271</v>
      </c>
      <c r="C179" s="418"/>
      <c r="D179" s="418"/>
      <c r="E179" s="418"/>
      <c r="F179" s="418"/>
      <c r="G179" s="418"/>
      <c r="H179" s="418"/>
      <c r="I179" s="419"/>
      <c r="M179" s="417" t="s">
        <v>271</v>
      </c>
      <c r="N179" s="418"/>
      <c r="O179" s="418"/>
      <c r="P179" s="418"/>
      <c r="Q179" s="418"/>
      <c r="R179" s="418"/>
      <c r="S179" s="418"/>
      <c r="T179" s="419"/>
    </row>
    <row r="180" spans="2:23" ht="15" thickBot="1">
      <c r="B180" s="314" t="s">
        <v>267</v>
      </c>
      <c r="C180" s="315"/>
      <c r="D180" s="315"/>
      <c r="E180" s="315"/>
      <c r="F180" s="315"/>
      <c r="G180" s="71" t="s">
        <v>266</v>
      </c>
      <c r="H180" s="71" t="s">
        <v>0</v>
      </c>
      <c r="I180" s="72" t="s">
        <v>265</v>
      </c>
      <c r="M180" s="314" t="s">
        <v>267</v>
      </c>
      <c r="N180" s="315"/>
      <c r="O180" s="315"/>
      <c r="P180" s="315"/>
      <c r="Q180" s="315"/>
      <c r="R180" s="71" t="s">
        <v>266</v>
      </c>
      <c r="S180" s="71" t="s">
        <v>0</v>
      </c>
      <c r="T180" s="72" t="s">
        <v>265</v>
      </c>
    </row>
    <row r="181" spans="2:23">
      <c r="B181" s="318" t="s">
        <v>272</v>
      </c>
      <c r="C181" s="319"/>
      <c r="D181" s="319"/>
      <c r="E181" s="319"/>
      <c r="F181" s="320"/>
      <c r="G181" s="6"/>
      <c r="H181" s="7">
        <f>$I$23</f>
        <v>220000</v>
      </c>
      <c r="I181" s="69">
        <f t="shared" ref="I181:I186" si="18">G181*H181</f>
        <v>0</v>
      </c>
      <c r="M181" s="318" t="s">
        <v>272</v>
      </c>
      <c r="N181" s="319"/>
      <c r="O181" s="319"/>
      <c r="P181" s="319"/>
      <c r="Q181" s="320"/>
      <c r="R181" s="6"/>
      <c r="S181" s="7">
        <f>$I$23</f>
        <v>220000</v>
      </c>
      <c r="T181" s="69">
        <f t="shared" ref="T181:T186" si="19">R181*S181</f>
        <v>0</v>
      </c>
    </row>
    <row r="182" spans="2:23">
      <c r="B182" s="283" t="s">
        <v>273</v>
      </c>
      <c r="C182" s="284"/>
      <c r="D182" s="284"/>
      <c r="E182" s="284"/>
      <c r="F182" s="285"/>
      <c r="G182" s="1"/>
      <c r="H182" s="7">
        <f>$I$26</f>
        <v>90000</v>
      </c>
      <c r="I182" s="4">
        <f t="shared" si="18"/>
        <v>0</v>
      </c>
      <c r="M182" s="283" t="s">
        <v>273</v>
      </c>
      <c r="N182" s="284"/>
      <c r="O182" s="284"/>
      <c r="P182" s="284"/>
      <c r="Q182" s="285"/>
      <c r="R182" s="1"/>
      <c r="S182" s="7">
        <f>$I$26</f>
        <v>90000</v>
      </c>
      <c r="T182" s="4">
        <f t="shared" si="19"/>
        <v>0</v>
      </c>
    </row>
    <row r="183" spans="2:23">
      <c r="B183" s="283" t="s">
        <v>224</v>
      </c>
      <c r="C183" s="284"/>
      <c r="D183" s="284"/>
      <c r="E183" s="284"/>
      <c r="F183" s="285"/>
      <c r="G183" s="1"/>
      <c r="H183" s="7">
        <f>$I$27</f>
        <v>60000</v>
      </c>
      <c r="I183" s="4">
        <f t="shared" si="18"/>
        <v>0</v>
      </c>
      <c r="M183" s="283" t="s">
        <v>224</v>
      </c>
      <c r="N183" s="284"/>
      <c r="O183" s="284"/>
      <c r="P183" s="284"/>
      <c r="Q183" s="285"/>
      <c r="R183" s="1"/>
      <c r="S183" s="7">
        <f>$I$27</f>
        <v>60000</v>
      </c>
      <c r="T183" s="4">
        <f t="shared" si="19"/>
        <v>0</v>
      </c>
    </row>
    <row r="184" spans="2:23">
      <c r="B184" s="283" t="s">
        <v>274</v>
      </c>
      <c r="C184" s="284"/>
      <c r="D184" s="284"/>
      <c r="E184" s="284"/>
      <c r="F184" s="285"/>
      <c r="G184" s="1"/>
      <c r="H184" s="7">
        <f>$I$26</f>
        <v>90000</v>
      </c>
      <c r="I184" s="4">
        <f t="shared" si="18"/>
        <v>0</v>
      </c>
      <c r="M184" s="283" t="s">
        <v>274</v>
      </c>
      <c r="N184" s="284"/>
      <c r="O184" s="284"/>
      <c r="P184" s="284"/>
      <c r="Q184" s="285"/>
      <c r="R184" s="1"/>
      <c r="S184" s="7">
        <f>$I$26</f>
        <v>90000</v>
      </c>
      <c r="T184" s="4">
        <f t="shared" si="19"/>
        <v>0</v>
      </c>
    </row>
    <row r="185" spans="2:23">
      <c r="B185" s="283" t="s">
        <v>226</v>
      </c>
      <c r="C185" s="284"/>
      <c r="D185" s="284"/>
      <c r="E185" s="284"/>
      <c r="F185" s="285"/>
      <c r="G185" s="1"/>
      <c r="H185" s="7"/>
      <c r="I185" s="4">
        <f t="shared" si="18"/>
        <v>0</v>
      </c>
      <c r="M185" s="283" t="s">
        <v>226</v>
      </c>
      <c r="N185" s="284"/>
      <c r="O185" s="284"/>
      <c r="P185" s="284"/>
      <c r="Q185" s="285"/>
      <c r="R185" s="1"/>
      <c r="S185" s="7"/>
      <c r="T185" s="4">
        <f t="shared" si="19"/>
        <v>0</v>
      </c>
    </row>
    <row r="186" spans="2:23">
      <c r="B186" s="58" t="s">
        <v>227</v>
      </c>
      <c r="C186" s="59"/>
      <c r="D186" s="59"/>
      <c r="E186" s="59"/>
      <c r="F186" s="60"/>
      <c r="G186" s="1"/>
      <c r="H186" s="7"/>
      <c r="I186" s="4">
        <f t="shared" si="18"/>
        <v>0</v>
      </c>
      <c r="M186" s="58" t="s">
        <v>227</v>
      </c>
      <c r="N186" s="59"/>
      <c r="O186" s="59"/>
      <c r="P186" s="59"/>
      <c r="Q186" s="60"/>
      <c r="R186" s="1"/>
      <c r="S186" s="7"/>
      <c r="T186" s="4">
        <f t="shared" si="19"/>
        <v>0</v>
      </c>
    </row>
    <row r="187" spans="2:23">
      <c r="B187" s="58" t="s">
        <v>225</v>
      </c>
      <c r="C187" s="59"/>
      <c r="D187" s="59"/>
      <c r="E187" s="59"/>
      <c r="F187" s="60"/>
      <c r="G187" s="1"/>
      <c r="H187" s="7"/>
      <c r="I187" s="4"/>
      <c r="M187" s="58" t="s">
        <v>225</v>
      </c>
      <c r="N187" s="59"/>
      <c r="O187" s="59"/>
      <c r="P187" s="59"/>
      <c r="Q187" s="60"/>
      <c r="R187" s="1"/>
      <c r="S187" s="7"/>
      <c r="T187" s="4"/>
    </row>
    <row r="188" spans="2:23" ht="15" thickBot="1">
      <c r="B188" s="58"/>
      <c r="C188" s="59"/>
      <c r="D188" s="59"/>
      <c r="E188" s="59"/>
      <c r="F188" s="60"/>
      <c r="G188" s="1"/>
      <c r="H188" s="3"/>
      <c r="I188" s="4">
        <f t="shared" ref="I188:I192" si="20">G188*H188</f>
        <v>0</v>
      </c>
      <c r="M188" s="58"/>
      <c r="N188" s="59"/>
      <c r="O188" s="59"/>
      <c r="P188" s="59"/>
      <c r="Q188" s="60"/>
      <c r="R188" s="1"/>
      <c r="S188" s="3"/>
      <c r="T188" s="4">
        <f t="shared" ref="T188:T192" si="21">R188*S188</f>
        <v>0</v>
      </c>
    </row>
    <row r="189" spans="2:23">
      <c r="B189" s="283"/>
      <c r="C189" s="284"/>
      <c r="D189" s="284"/>
      <c r="E189" s="284"/>
      <c r="F189" s="285"/>
      <c r="G189" s="1"/>
      <c r="H189" s="3"/>
      <c r="I189" s="4">
        <f t="shared" si="20"/>
        <v>0</v>
      </c>
      <c r="J189" s="308" t="s">
        <v>275</v>
      </c>
      <c r="K189" s="309"/>
      <c r="L189" s="310"/>
      <c r="M189" s="283"/>
      <c r="N189" s="284"/>
      <c r="O189" s="284"/>
      <c r="P189" s="284"/>
      <c r="Q189" s="285"/>
      <c r="R189" s="1"/>
      <c r="S189" s="3"/>
      <c r="T189" s="4">
        <f t="shared" si="21"/>
        <v>0</v>
      </c>
      <c r="U189" s="308" t="s">
        <v>275</v>
      </c>
      <c r="V189" s="309"/>
      <c r="W189" s="310"/>
    </row>
    <row r="190" spans="2:23" ht="15" thickBot="1">
      <c r="B190" s="283"/>
      <c r="C190" s="284"/>
      <c r="D190" s="284"/>
      <c r="E190" s="284"/>
      <c r="F190" s="285"/>
      <c r="G190" s="1"/>
      <c r="H190" s="3"/>
      <c r="I190" s="4">
        <f t="shared" si="20"/>
        <v>0</v>
      </c>
      <c r="J190" s="311"/>
      <c r="K190" s="312"/>
      <c r="L190" s="313"/>
      <c r="M190" s="283"/>
      <c r="N190" s="284"/>
      <c r="O190" s="284"/>
      <c r="P190" s="284"/>
      <c r="Q190" s="285"/>
      <c r="R190" s="1"/>
      <c r="S190" s="3"/>
      <c r="T190" s="4">
        <f t="shared" si="21"/>
        <v>0</v>
      </c>
      <c r="U190" s="311"/>
      <c r="V190" s="312"/>
      <c r="W190" s="313"/>
    </row>
    <row r="191" spans="2:23">
      <c r="B191" s="283"/>
      <c r="C191" s="284"/>
      <c r="D191" s="284"/>
      <c r="E191" s="284"/>
      <c r="F191" s="285"/>
      <c r="G191" s="1"/>
      <c r="H191" s="3"/>
      <c r="I191" s="4">
        <f t="shared" si="20"/>
        <v>0</v>
      </c>
      <c r="J191" s="257">
        <f>SUM(I181:I192)</f>
        <v>0</v>
      </c>
      <c r="K191" s="258"/>
      <c r="L191" s="259"/>
      <c r="M191" s="283"/>
      <c r="N191" s="284"/>
      <c r="O191" s="284"/>
      <c r="P191" s="284"/>
      <c r="Q191" s="285"/>
      <c r="R191" s="1"/>
      <c r="S191" s="3"/>
      <c r="T191" s="4">
        <f t="shared" si="21"/>
        <v>0</v>
      </c>
      <c r="U191" s="257">
        <f>SUM(T181:T192)</f>
        <v>0</v>
      </c>
      <c r="V191" s="258"/>
      <c r="W191" s="259"/>
    </row>
    <row r="192" spans="2:23" ht="15" thickBot="1">
      <c r="B192" s="73"/>
      <c r="C192" s="74"/>
      <c r="D192" s="74"/>
      <c r="E192" s="74"/>
      <c r="F192" s="75"/>
      <c r="G192" s="66"/>
      <c r="H192" s="67"/>
      <c r="I192" s="68">
        <f t="shared" si="20"/>
        <v>0</v>
      </c>
      <c r="J192" s="260"/>
      <c r="K192" s="261"/>
      <c r="L192" s="262"/>
      <c r="M192" s="73"/>
      <c r="N192" s="74"/>
      <c r="O192" s="74"/>
      <c r="P192" s="74"/>
      <c r="Q192" s="75"/>
      <c r="R192" s="66"/>
      <c r="S192" s="67"/>
      <c r="T192" s="68">
        <f t="shared" si="21"/>
        <v>0</v>
      </c>
      <c r="U192" s="260"/>
      <c r="V192" s="261"/>
      <c r="W192" s="262"/>
    </row>
    <row r="193" spans="2:23" ht="16.2" thickBot="1">
      <c r="B193" s="394" t="s">
        <v>25</v>
      </c>
      <c r="C193" s="395"/>
      <c r="D193" s="395"/>
      <c r="E193" s="395"/>
      <c r="F193" s="395"/>
      <c r="G193" s="395"/>
      <c r="H193" s="395"/>
      <c r="I193" s="396"/>
      <c r="J193" s="65"/>
      <c r="K193" s="65"/>
      <c r="L193" s="65"/>
      <c r="M193" s="394" t="s">
        <v>25</v>
      </c>
      <c r="N193" s="395"/>
      <c r="O193" s="395"/>
      <c r="P193" s="395"/>
      <c r="Q193" s="395"/>
      <c r="R193" s="395"/>
      <c r="S193" s="395"/>
      <c r="T193" s="396"/>
      <c r="U193" s="65"/>
      <c r="V193" s="65"/>
      <c r="W193" s="65"/>
    </row>
    <row r="194" spans="2:23" ht="16.2" thickBot="1">
      <c r="B194" s="400" t="s">
        <v>267</v>
      </c>
      <c r="C194" s="401"/>
      <c r="D194" s="401"/>
      <c r="E194" s="401"/>
      <c r="F194" s="401"/>
      <c r="G194" s="84" t="s">
        <v>266</v>
      </c>
      <c r="H194" s="85" t="s">
        <v>0</v>
      </c>
      <c r="I194" s="86" t="s">
        <v>265</v>
      </c>
      <c r="J194" s="65"/>
      <c r="K194" s="65"/>
      <c r="L194" s="65"/>
      <c r="M194" s="400" t="s">
        <v>267</v>
      </c>
      <c r="N194" s="401"/>
      <c r="O194" s="401"/>
      <c r="P194" s="401"/>
      <c r="Q194" s="401"/>
      <c r="R194" s="84" t="s">
        <v>266</v>
      </c>
      <c r="S194" s="85" t="s">
        <v>0</v>
      </c>
      <c r="T194" s="86" t="s">
        <v>265</v>
      </c>
      <c r="U194" s="65"/>
      <c r="V194" s="65"/>
      <c r="W194" s="65"/>
    </row>
    <row r="195" spans="2:23" ht="15.6">
      <c r="B195" s="397" t="s">
        <v>31</v>
      </c>
      <c r="C195" s="398"/>
      <c r="D195" s="398"/>
      <c r="E195" s="398"/>
      <c r="F195" s="399"/>
      <c r="G195" s="6"/>
      <c r="H195" s="7">
        <f>$R$4</f>
        <v>300000</v>
      </c>
      <c r="I195" s="4">
        <f t="shared" ref="I195:I197" si="22">G195*H195</f>
        <v>0</v>
      </c>
      <c r="J195" s="65"/>
      <c r="K195" s="65"/>
      <c r="L195" s="65"/>
      <c r="M195" s="397" t="s">
        <v>31</v>
      </c>
      <c r="N195" s="398"/>
      <c r="O195" s="398"/>
      <c r="P195" s="398"/>
      <c r="Q195" s="399"/>
      <c r="R195" s="6"/>
      <c r="S195" s="7">
        <f>$R$4</f>
        <v>300000</v>
      </c>
      <c r="T195" s="4">
        <f t="shared" ref="T195:T197" si="23">R195*S195</f>
        <v>0</v>
      </c>
      <c r="U195" s="65"/>
      <c r="V195" s="65"/>
      <c r="W195" s="65"/>
    </row>
    <row r="196" spans="2:23" ht="15.6">
      <c r="B196" s="277" t="s">
        <v>11</v>
      </c>
      <c r="C196" s="278"/>
      <c r="D196" s="278"/>
      <c r="E196" s="278"/>
      <c r="F196" s="279"/>
      <c r="G196" s="1"/>
      <c r="H196" s="7">
        <f>$R$5</f>
        <v>250000</v>
      </c>
      <c r="I196" s="4">
        <f t="shared" si="22"/>
        <v>0</v>
      </c>
      <c r="J196" s="65"/>
      <c r="K196" s="65"/>
      <c r="L196" s="65"/>
      <c r="M196" s="277" t="s">
        <v>11</v>
      </c>
      <c r="N196" s="278"/>
      <c r="O196" s="278"/>
      <c r="P196" s="278"/>
      <c r="Q196" s="279"/>
      <c r="R196" s="1"/>
      <c r="S196" s="7">
        <f>$R$5</f>
        <v>250000</v>
      </c>
      <c r="T196" s="4">
        <f t="shared" si="23"/>
        <v>0</v>
      </c>
      <c r="U196" s="65"/>
      <c r="V196" s="65"/>
      <c r="W196" s="65"/>
    </row>
    <row r="197" spans="2:23" ht="15.6">
      <c r="B197" s="277" t="s">
        <v>32</v>
      </c>
      <c r="C197" s="278"/>
      <c r="D197" s="278"/>
      <c r="E197" s="278"/>
      <c r="F197" s="279"/>
      <c r="G197" s="1"/>
      <c r="H197" s="7">
        <f>$R$6</f>
        <v>65000</v>
      </c>
      <c r="I197" s="4">
        <f t="shared" si="22"/>
        <v>0</v>
      </c>
      <c r="J197" s="65"/>
      <c r="K197" s="65"/>
      <c r="L197" s="65"/>
      <c r="M197" s="277" t="s">
        <v>32</v>
      </c>
      <c r="N197" s="278"/>
      <c r="O197" s="278"/>
      <c r="P197" s="278"/>
      <c r="Q197" s="279"/>
      <c r="R197" s="1"/>
      <c r="S197" s="7">
        <f>$R$6</f>
        <v>65000</v>
      </c>
      <c r="T197" s="4">
        <f t="shared" si="23"/>
        <v>0</v>
      </c>
      <c r="U197" s="65"/>
      <c r="V197" s="65"/>
      <c r="W197" s="65"/>
    </row>
    <row r="198" spans="2:23">
      <c r="B198" s="277" t="s">
        <v>327</v>
      </c>
      <c r="C198" s="278"/>
      <c r="D198" s="278"/>
      <c r="E198" s="278"/>
      <c r="F198" s="279"/>
      <c r="G198" s="1"/>
      <c r="H198" s="7">
        <f>$R$7</f>
        <v>30000</v>
      </c>
      <c r="I198" s="4">
        <f>G198*H198</f>
        <v>0</v>
      </c>
      <c r="M198" s="277" t="s">
        <v>327</v>
      </c>
      <c r="N198" s="278"/>
      <c r="O198" s="278"/>
      <c r="P198" s="278"/>
      <c r="Q198" s="279"/>
      <c r="R198" s="1"/>
      <c r="S198" s="7">
        <f>$R$7</f>
        <v>30000</v>
      </c>
      <c r="T198" s="4">
        <f>R198*S198</f>
        <v>0</v>
      </c>
    </row>
    <row r="199" spans="2:23">
      <c r="B199" s="277" t="s">
        <v>100</v>
      </c>
      <c r="C199" s="278"/>
      <c r="D199" s="278"/>
      <c r="E199" s="278"/>
      <c r="F199" s="279"/>
      <c r="G199" s="1"/>
      <c r="H199" s="7">
        <f>$R$8</f>
        <v>30000</v>
      </c>
      <c r="I199" s="4">
        <f t="shared" ref="I199:I206" si="24">G199*H199</f>
        <v>0</v>
      </c>
      <c r="M199" s="277" t="s">
        <v>100</v>
      </c>
      <c r="N199" s="278"/>
      <c r="O199" s="278"/>
      <c r="P199" s="278"/>
      <c r="Q199" s="279"/>
      <c r="R199" s="1"/>
      <c r="S199" s="7">
        <f>$R$8</f>
        <v>30000</v>
      </c>
      <c r="T199" s="4">
        <f t="shared" ref="T199:T206" si="25">R199*S199</f>
        <v>0</v>
      </c>
    </row>
    <row r="200" spans="2:23">
      <c r="B200" s="277" t="s">
        <v>328</v>
      </c>
      <c r="C200" s="278"/>
      <c r="D200" s="278"/>
      <c r="E200" s="278"/>
      <c r="F200" s="279"/>
      <c r="G200" s="1"/>
      <c r="H200" s="7">
        <f>$R$9</f>
        <v>50000</v>
      </c>
      <c r="I200" s="4">
        <f t="shared" si="24"/>
        <v>0</v>
      </c>
      <c r="M200" s="277" t="s">
        <v>328</v>
      </c>
      <c r="N200" s="278"/>
      <c r="O200" s="278"/>
      <c r="P200" s="278"/>
      <c r="Q200" s="279"/>
      <c r="R200" s="1"/>
      <c r="S200" s="7">
        <f>$R$9</f>
        <v>50000</v>
      </c>
      <c r="T200" s="4">
        <f t="shared" si="25"/>
        <v>0</v>
      </c>
    </row>
    <row r="201" spans="2:23">
      <c r="B201" s="277" t="s">
        <v>325</v>
      </c>
      <c r="C201" s="278"/>
      <c r="D201" s="278"/>
      <c r="E201" s="278"/>
      <c r="F201" s="279"/>
      <c r="G201" s="1"/>
      <c r="H201" s="7">
        <f>$R$10</f>
        <v>15000</v>
      </c>
      <c r="I201" s="4">
        <f t="shared" si="24"/>
        <v>0</v>
      </c>
      <c r="M201" s="277" t="s">
        <v>325</v>
      </c>
      <c r="N201" s="278"/>
      <c r="O201" s="278"/>
      <c r="P201" s="278"/>
      <c r="Q201" s="279"/>
      <c r="R201" s="1"/>
      <c r="S201" s="7">
        <f>$R$10</f>
        <v>15000</v>
      </c>
      <c r="T201" s="4">
        <f t="shared" si="25"/>
        <v>0</v>
      </c>
    </row>
    <row r="202" spans="2:23" ht="15" thickBot="1">
      <c r="B202" s="277" t="s">
        <v>326</v>
      </c>
      <c r="C202" s="278"/>
      <c r="D202" s="278"/>
      <c r="E202" s="278"/>
      <c r="F202" s="279"/>
      <c r="G202" s="1"/>
      <c r="H202" s="7">
        <f>$R$11</f>
        <v>15000</v>
      </c>
      <c r="I202" s="4">
        <f t="shared" si="24"/>
        <v>0</v>
      </c>
      <c r="M202" s="277" t="s">
        <v>326</v>
      </c>
      <c r="N202" s="278"/>
      <c r="O202" s="278"/>
      <c r="P202" s="278"/>
      <c r="Q202" s="279"/>
      <c r="R202" s="1"/>
      <c r="S202" s="7">
        <f>$R$11</f>
        <v>15000</v>
      </c>
      <c r="T202" s="4">
        <f t="shared" si="25"/>
        <v>0</v>
      </c>
    </row>
    <row r="203" spans="2:23">
      <c r="B203" s="55" t="s">
        <v>276</v>
      </c>
      <c r="C203" s="56"/>
      <c r="D203" s="56"/>
      <c r="E203" s="56"/>
      <c r="F203" s="57"/>
      <c r="G203" s="1"/>
      <c r="H203" s="7">
        <f>$R$12</f>
        <v>75000</v>
      </c>
      <c r="I203" s="4">
        <f t="shared" si="24"/>
        <v>0</v>
      </c>
      <c r="J203" s="308" t="s">
        <v>275</v>
      </c>
      <c r="K203" s="309"/>
      <c r="L203" s="310"/>
      <c r="M203" s="55" t="s">
        <v>276</v>
      </c>
      <c r="N203" s="56"/>
      <c r="O203" s="56"/>
      <c r="P203" s="56"/>
      <c r="Q203" s="57"/>
      <c r="R203" s="1"/>
      <c r="S203" s="7">
        <f>$R$12</f>
        <v>75000</v>
      </c>
      <c r="T203" s="4">
        <f t="shared" si="25"/>
        <v>0</v>
      </c>
      <c r="U203" s="308" t="s">
        <v>275</v>
      </c>
      <c r="V203" s="309"/>
      <c r="W203" s="310"/>
    </row>
    <row r="204" spans="2:23" ht="15" thickBot="1">
      <c r="B204" s="55" t="s">
        <v>277</v>
      </c>
      <c r="C204" s="56"/>
      <c r="D204" s="56"/>
      <c r="E204" s="56"/>
      <c r="F204" s="57"/>
      <c r="G204" s="1"/>
      <c r="H204" s="7">
        <f>$R$13</f>
        <v>75000</v>
      </c>
      <c r="I204" s="4">
        <f t="shared" si="24"/>
        <v>0</v>
      </c>
      <c r="J204" s="311"/>
      <c r="K204" s="312"/>
      <c r="L204" s="313"/>
      <c r="M204" s="55" t="s">
        <v>277</v>
      </c>
      <c r="N204" s="56"/>
      <c r="O204" s="56"/>
      <c r="P204" s="56"/>
      <c r="Q204" s="57"/>
      <c r="R204" s="1"/>
      <c r="S204" s="7">
        <f>$R$13</f>
        <v>75000</v>
      </c>
      <c r="T204" s="4">
        <f t="shared" si="25"/>
        <v>0</v>
      </c>
      <c r="U204" s="311"/>
      <c r="V204" s="312"/>
      <c r="W204" s="313"/>
    </row>
    <row r="205" spans="2:23">
      <c r="B205" s="277" t="s">
        <v>75</v>
      </c>
      <c r="C205" s="278"/>
      <c r="D205" s="278"/>
      <c r="E205" s="278"/>
      <c r="F205" s="279"/>
      <c r="G205" s="1"/>
      <c r="H205" s="7">
        <f>$R$14</f>
        <v>30000</v>
      </c>
      <c r="I205" s="4">
        <f t="shared" si="24"/>
        <v>0</v>
      </c>
      <c r="J205" s="257">
        <f>SUM(I195:I206)</f>
        <v>0</v>
      </c>
      <c r="K205" s="258"/>
      <c r="L205" s="259"/>
      <c r="M205" s="277" t="s">
        <v>347</v>
      </c>
      <c r="N205" s="278"/>
      <c r="O205" s="278"/>
      <c r="P205" s="278"/>
      <c r="Q205" s="279"/>
      <c r="R205" s="1"/>
      <c r="S205" s="7">
        <f>$R$14</f>
        <v>30000</v>
      </c>
      <c r="T205" s="4">
        <f t="shared" si="25"/>
        <v>0</v>
      </c>
      <c r="U205" s="257">
        <f>SUM(T195:T206)</f>
        <v>0</v>
      </c>
      <c r="V205" s="258"/>
      <c r="W205" s="259"/>
    </row>
    <row r="206" spans="2:23" ht="15" thickBot="1">
      <c r="B206" s="277" t="s">
        <v>12</v>
      </c>
      <c r="C206" s="278"/>
      <c r="D206" s="278"/>
      <c r="E206" s="278"/>
      <c r="F206" s="279"/>
      <c r="G206" s="66"/>
      <c r="H206" s="7">
        <f>$R$15</f>
        <v>12000</v>
      </c>
      <c r="I206" s="4">
        <f t="shared" si="24"/>
        <v>0</v>
      </c>
      <c r="J206" s="260"/>
      <c r="K206" s="261"/>
      <c r="L206" s="262"/>
      <c r="M206" s="277" t="s">
        <v>12</v>
      </c>
      <c r="N206" s="278"/>
      <c r="O206" s="278"/>
      <c r="P206" s="278"/>
      <c r="Q206" s="279"/>
      <c r="R206" s="66"/>
      <c r="S206" s="7">
        <f>$R$15</f>
        <v>12000</v>
      </c>
      <c r="T206" s="4">
        <f t="shared" si="25"/>
        <v>0</v>
      </c>
      <c r="U206" s="260"/>
      <c r="V206" s="261"/>
      <c r="W206" s="262"/>
    </row>
    <row r="207" spans="2:23" ht="15" thickBot="1">
      <c r="B207" s="402" t="s">
        <v>27</v>
      </c>
      <c r="C207" s="403"/>
      <c r="D207" s="403"/>
      <c r="E207" s="403"/>
      <c r="F207" s="403"/>
      <c r="G207" s="403"/>
      <c r="H207" s="403"/>
      <c r="I207" s="404"/>
      <c r="M207" s="402" t="s">
        <v>27</v>
      </c>
      <c r="N207" s="403"/>
      <c r="O207" s="403"/>
      <c r="P207" s="403"/>
      <c r="Q207" s="403"/>
      <c r="R207" s="403"/>
      <c r="S207" s="403"/>
      <c r="T207" s="404"/>
    </row>
    <row r="208" spans="2:23" ht="15" thickBot="1">
      <c r="B208" s="402" t="s">
        <v>267</v>
      </c>
      <c r="C208" s="403"/>
      <c r="D208" s="403"/>
      <c r="E208" s="403"/>
      <c r="F208" s="403"/>
      <c r="G208" s="76" t="s">
        <v>266</v>
      </c>
      <c r="H208" s="76" t="s">
        <v>0</v>
      </c>
      <c r="I208" s="77" t="s">
        <v>265</v>
      </c>
      <c r="M208" s="402" t="s">
        <v>267</v>
      </c>
      <c r="N208" s="403"/>
      <c r="O208" s="403"/>
      <c r="P208" s="403"/>
      <c r="Q208" s="403"/>
      <c r="R208" s="76" t="s">
        <v>266</v>
      </c>
      <c r="S208" s="76" t="s">
        <v>0</v>
      </c>
      <c r="T208" s="77" t="s">
        <v>265</v>
      </c>
    </row>
    <row r="209" spans="2:23">
      <c r="B209" s="373" t="s">
        <v>315</v>
      </c>
      <c r="C209" s="374"/>
      <c r="D209" s="374"/>
      <c r="E209" s="374"/>
      <c r="F209" s="375"/>
      <c r="G209" s="6"/>
      <c r="H209" s="7"/>
      <c r="I209" s="4">
        <f t="shared" ref="I209:I220" si="26">G209*H209</f>
        <v>0</v>
      </c>
      <c r="M209" s="373" t="s">
        <v>348</v>
      </c>
      <c r="N209" s="374"/>
      <c r="O209" s="374"/>
      <c r="P209" s="374"/>
      <c r="Q209" s="375"/>
      <c r="R209" s="6"/>
      <c r="S209" s="7"/>
      <c r="T209" s="4">
        <f t="shared" ref="T209:T220" si="27">R209*S209</f>
        <v>0</v>
      </c>
    </row>
    <row r="210" spans="2:23">
      <c r="B210" s="373" t="s">
        <v>316</v>
      </c>
      <c r="C210" s="374"/>
      <c r="D210" s="374"/>
      <c r="E210" s="374"/>
      <c r="F210" s="375"/>
      <c r="G210" s="1"/>
      <c r="H210" s="3"/>
      <c r="I210" s="4">
        <f t="shared" si="26"/>
        <v>0</v>
      </c>
      <c r="M210" s="373" t="s">
        <v>349</v>
      </c>
      <c r="N210" s="374"/>
      <c r="O210" s="374"/>
      <c r="P210" s="374"/>
      <c r="Q210" s="375"/>
      <c r="R210" s="1"/>
      <c r="S210" s="3"/>
      <c r="T210" s="4">
        <f t="shared" si="27"/>
        <v>0</v>
      </c>
    </row>
    <row r="211" spans="2:23">
      <c r="B211" s="263" t="s">
        <v>280</v>
      </c>
      <c r="C211" s="264"/>
      <c r="D211" s="264"/>
      <c r="E211" s="264"/>
      <c r="F211" s="265"/>
      <c r="G211" s="1"/>
      <c r="H211" s="3"/>
      <c r="I211" s="4">
        <f t="shared" si="26"/>
        <v>0</v>
      </c>
      <c r="M211" s="263" t="s">
        <v>280</v>
      </c>
      <c r="N211" s="264"/>
      <c r="O211" s="264"/>
      <c r="P211" s="264"/>
      <c r="Q211" s="265"/>
      <c r="R211" s="1"/>
      <c r="S211" s="3"/>
      <c r="T211" s="4">
        <f t="shared" si="27"/>
        <v>0</v>
      </c>
    </row>
    <row r="212" spans="2:23">
      <c r="B212" s="263" t="s">
        <v>94</v>
      </c>
      <c r="C212" s="264"/>
      <c r="D212" s="264"/>
      <c r="E212" s="264"/>
      <c r="F212" s="265"/>
      <c r="G212" s="1"/>
      <c r="H212" s="3"/>
      <c r="I212" s="4">
        <f t="shared" si="26"/>
        <v>0</v>
      </c>
      <c r="M212" s="263" t="s">
        <v>94</v>
      </c>
      <c r="N212" s="264"/>
      <c r="O212" s="264"/>
      <c r="P212" s="264"/>
      <c r="Q212" s="265"/>
      <c r="R212" s="1"/>
      <c r="S212" s="3"/>
      <c r="T212" s="4">
        <f t="shared" si="27"/>
        <v>0</v>
      </c>
    </row>
    <row r="213" spans="2:23">
      <c r="B213" s="52" t="s">
        <v>282</v>
      </c>
      <c r="C213" s="53"/>
      <c r="D213" s="53"/>
      <c r="E213" s="53"/>
      <c r="F213" s="54"/>
      <c r="G213" s="1"/>
      <c r="H213" s="3"/>
      <c r="I213" s="4">
        <f t="shared" si="26"/>
        <v>0</v>
      </c>
      <c r="M213" s="52" t="s">
        <v>283</v>
      </c>
      <c r="N213" s="53"/>
      <c r="O213" s="53"/>
      <c r="P213" s="53"/>
      <c r="Q213" s="54"/>
      <c r="R213" s="1"/>
      <c r="S213" s="3"/>
      <c r="T213" s="4">
        <f t="shared" si="27"/>
        <v>0</v>
      </c>
    </row>
    <row r="214" spans="2:23">
      <c r="B214" s="263" t="s">
        <v>317</v>
      </c>
      <c r="C214" s="264"/>
      <c r="D214" s="264"/>
      <c r="E214" s="264"/>
      <c r="F214" s="265"/>
      <c r="G214" s="1"/>
      <c r="H214" s="3"/>
      <c r="I214" s="4">
        <f t="shared" si="26"/>
        <v>0</v>
      </c>
      <c r="M214" s="263" t="s">
        <v>350</v>
      </c>
      <c r="N214" s="264"/>
      <c r="O214" s="264"/>
      <c r="P214" s="264"/>
      <c r="Q214" s="265"/>
      <c r="R214" s="1"/>
      <c r="S214" s="3"/>
      <c r="T214" s="4">
        <f t="shared" si="27"/>
        <v>0</v>
      </c>
    </row>
    <row r="215" spans="2:23">
      <c r="B215" s="263" t="s">
        <v>286</v>
      </c>
      <c r="C215" s="264"/>
      <c r="D215" s="264"/>
      <c r="E215" s="264"/>
      <c r="F215" s="265"/>
      <c r="G215" s="1"/>
      <c r="H215" s="3"/>
      <c r="I215" s="4">
        <f t="shared" si="26"/>
        <v>0</v>
      </c>
      <c r="M215" s="263" t="s">
        <v>287</v>
      </c>
      <c r="N215" s="264"/>
      <c r="O215" s="264"/>
      <c r="P215" s="264"/>
      <c r="Q215" s="265"/>
      <c r="R215" s="1"/>
      <c r="S215" s="3"/>
      <c r="T215" s="4">
        <f t="shared" si="27"/>
        <v>0</v>
      </c>
    </row>
    <row r="216" spans="2:23" ht="15" thickBot="1">
      <c r="B216" s="52" t="s">
        <v>318</v>
      </c>
      <c r="C216" s="53"/>
      <c r="D216" s="53"/>
      <c r="E216" s="53"/>
      <c r="F216" s="54"/>
      <c r="G216" s="1"/>
      <c r="H216" s="3"/>
      <c r="I216" s="4">
        <f t="shared" si="26"/>
        <v>0</v>
      </c>
      <c r="M216" s="52" t="s">
        <v>351</v>
      </c>
      <c r="N216" s="53"/>
      <c r="O216" s="53"/>
      <c r="P216" s="53"/>
      <c r="Q216" s="54"/>
      <c r="R216" s="1"/>
      <c r="S216" s="3"/>
      <c r="T216" s="4">
        <f t="shared" si="27"/>
        <v>0</v>
      </c>
    </row>
    <row r="217" spans="2:23">
      <c r="B217" s="263" t="s">
        <v>319</v>
      </c>
      <c r="C217" s="264"/>
      <c r="D217" s="264"/>
      <c r="E217" s="264"/>
      <c r="F217" s="265"/>
      <c r="G217" s="1"/>
      <c r="H217" s="3"/>
      <c r="I217" s="4">
        <f t="shared" si="26"/>
        <v>0</v>
      </c>
      <c r="J217" s="308" t="s">
        <v>275</v>
      </c>
      <c r="K217" s="309"/>
      <c r="L217" s="310"/>
      <c r="M217" s="263" t="s">
        <v>352</v>
      </c>
      <c r="N217" s="264"/>
      <c r="O217" s="264"/>
      <c r="P217" s="264"/>
      <c r="Q217" s="265"/>
      <c r="R217" s="1"/>
      <c r="S217" s="3"/>
      <c r="T217" s="4">
        <f t="shared" si="27"/>
        <v>0</v>
      </c>
      <c r="U217" s="308" t="s">
        <v>275</v>
      </c>
      <c r="V217" s="309"/>
      <c r="W217" s="310"/>
    </row>
    <row r="218" spans="2:23" ht="15" thickBot="1">
      <c r="B218" s="263" t="s">
        <v>320</v>
      </c>
      <c r="C218" s="264"/>
      <c r="D218" s="264"/>
      <c r="E218" s="264"/>
      <c r="F218" s="265"/>
      <c r="G218" s="1"/>
      <c r="H218" s="3"/>
      <c r="I218" s="4">
        <f t="shared" si="26"/>
        <v>0</v>
      </c>
      <c r="J218" s="311"/>
      <c r="K218" s="312"/>
      <c r="L218" s="313"/>
      <c r="M218" s="263" t="s">
        <v>353</v>
      </c>
      <c r="N218" s="264"/>
      <c r="O218" s="264"/>
      <c r="P218" s="264"/>
      <c r="Q218" s="265"/>
      <c r="R218" s="1"/>
      <c r="S218" s="3"/>
      <c r="T218" s="4">
        <f t="shared" si="27"/>
        <v>0</v>
      </c>
      <c r="U218" s="311"/>
      <c r="V218" s="312"/>
      <c r="W218" s="313"/>
    </row>
    <row r="219" spans="2:23">
      <c r="B219" s="263"/>
      <c r="C219" s="264"/>
      <c r="D219" s="264"/>
      <c r="E219" s="264"/>
      <c r="F219" s="265"/>
      <c r="G219" s="1"/>
      <c r="H219" s="3"/>
      <c r="I219" s="4">
        <f t="shared" si="26"/>
        <v>0</v>
      </c>
      <c r="J219" s="257">
        <f>SUM(I209:I220)</f>
        <v>0</v>
      </c>
      <c r="K219" s="258"/>
      <c r="L219" s="259"/>
      <c r="M219" s="263"/>
      <c r="N219" s="264"/>
      <c r="O219" s="264"/>
      <c r="P219" s="264"/>
      <c r="Q219" s="265"/>
      <c r="R219" s="1"/>
      <c r="S219" s="3"/>
      <c r="T219" s="4">
        <f t="shared" si="27"/>
        <v>0</v>
      </c>
      <c r="U219" s="257">
        <f>SUM(T209:T220)</f>
        <v>0</v>
      </c>
      <c r="V219" s="258"/>
      <c r="W219" s="259"/>
    </row>
    <row r="220" spans="2:23" ht="15" thickBot="1">
      <c r="B220" s="405"/>
      <c r="C220" s="406"/>
      <c r="D220" s="406"/>
      <c r="E220" s="406"/>
      <c r="F220" s="407"/>
      <c r="G220" s="66"/>
      <c r="H220" s="67"/>
      <c r="I220" s="68">
        <f t="shared" si="26"/>
        <v>0</v>
      </c>
      <c r="J220" s="260"/>
      <c r="K220" s="261"/>
      <c r="L220" s="262"/>
      <c r="M220" s="405"/>
      <c r="N220" s="406"/>
      <c r="O220" s="406"/>
      <c r="P220" s="406"/>
      <c r="Q220" s="407"/>
      <c r="R220" s="66"/>
      <c r="S220" s="67"/>
      <c r="T220" s="68">
        <f t="shared" si="27"/>
        <v>0</v>
      </c>
      <c r="U220" s="260"/>
      <c r="V220" s="261"/>
      <c r="W220" s="262"/>
    </row>
    <row r="221" spans="2:23" ht="16.2" thickBot="1">
      <c r="B221" s="367" t="s">
        <v>26</v>
      </c>
      <c r="C221" s="368"/>
      <c r="D221" s="368"/>
      <c r="E221" s="368"/>
      <c r="F221" s="368"/>
      <c r="G221" s="368"/>
      <c r="H221" s="368"/>
      <c r="I221" s="369"/>
      <c r="J221" s="65"/>
      <c r="K221" s="65"/>
      <c r="L221" s="65"/>
      <c r="M221" s="367" t="s">
        <v>26</v>
      </c>
      <c r="N221" s="368"/>
      <c r="O221" s="368"/>
      <c r="P221" s="368"/>
      <c r="Q221" s="368"/>
      <c r="R221" s="368"/>
      <c r="S221" s="368"/>
      <c r="T221" s="369"/>
      <c r="U221" s="65"/>
      <c r="V221" s="65"/>
      <c r="W221" s="65"/>
    </row>
    <row r="222" spans="2:23" ht="16.2" thickBot="1">
      <c r="B222" s="367" t="s">
        <v>267</v>
      </c>
      <c r="C222" s="368"/>
      <c r="D222" s="368"/>
      <c r="E222" s="368"/>
      <c r="F222" s="368"/>
      <c r="G222" s="87" t="s">
        <v>266</v>
      </c>
      <c r="H222" s="87" t="s">
        <v>0</v>
      </c>
      <c r="I222" s="88" t="s">
        <v>265</v>
      </c>
      <c r="J222" s="65"/>
      <c r="K222" s="65"/>
      <c r="L222" s="65"/>
      <c r="M222" s="367" t="s">
        <v>267</v>
      </c>
      <c r="N222" s="368"/>
      <c r="O222" s="368"/>
      <c r="P222" s="368"/>
      <c r="Q222" s="368"/>
      <c r="R222" s="87" t="s">
        <v>266</v>
      </c>
      <c r="S222" s="87" t="s">
        <v>0</v>
      </c>
      <c r="T222" s="88" t="s">
        <v>265</v>
      </c>
      <c r="U222" s="65"/>
      <c r="V222" s="65"/>
      <c r="W222" s="65"/>
    </row>
    <row r="223" spans="2:23">
      <c r="B223" s="408" t="s">
        <v>296</v>
      </c>
      <c r="C223" s="409"/>
      <c r="D223" s="409"/>
      <c r="E223" s="409"/>
      <c r="F223" s="410"/>
      <c r="G223" s="81"/>
      <c r="H223" s="82"/>
      <c r="I223" s="83">
        <f t="shared" ref="I223:I239" si="28">G223*H223</f>
        <v>0</v>
      </c>
      <c r="M223" s="408" t="s">
        <v>296</v>
      </c>
      <c r="N223" s="409"/>
      <c r="O223" s="409"/>
      <c r="P223" s="409"/>
      <c r="Q223" s="410"/>
      <c r="R223" s="81"/>
      <c r="S223" s="82"/>
      <c r="T223" s="83">
        <f t="shared" ref="T223:T239" si="29">R223*S223</f>
        <v>0</v>
      </c>
    </row>
    <row r="224" spans="2:23">
      <c r="B224" s="268" t="s">
        <v>295</v>
      </c>
      <c r="C224" s="269"/>
      <c r="D224" s="269"/>
      <c r="E224" s="269"/>
      <c r="F224" s="270"/>
      <c r="G224" s="1"/>
      <c r="H224" s="3"/>
      <c r="I224" s="4">
        <f t="shared" si="28"/>
        <v>0</v>
      </c>
      <c r="M224" s="268" t="s">
        <v>295</v>
      </c>
      <c r="N224" s="269"/>
      <c r="O224" s="269"/>
      <c r="P224" s="269"/>
      <c r="Q224" s="270"/>
      <c r="R224" s="1"/>
      <c r="S224" s="3"/>
      <c r="T224" s="4">
        <f t="shared" si="29"/>
        <v>0</v>
      </c>
    </row>
    <row r="225" spans="2:23">
      <c r="B225" s="268" t="s">
        <v>330</v>
      </c>
      <c r="C225" s="269"/>
      <c r="D225" s="269"/>
      <c r="E225" s="269"/>
      <c r="F225" s="270"/>
      <c r="G225" s="1"/>
      <c r="H225" s="3"/>
      <c r="I225" s="4">
        <f t="shared" si="28"/>
        <v>0</v>
      </c>
      <c r="M225" s="268" t="s">
        <v>330</v>
      </c>
      <c r="N225" s="269"/>
      <c r="O225" s="269"/>
      <c r="P225" s="269"/>
      <c r="Q225" s="270"/>
      <c r="R225" s="1"/>
      <c r="S225" s="3"/>
      <c r="T225" s="4">
        <f t="shared" si="29"/>
        <v>0</v>
      </c>
    </row>
    <row r="226" spans="2:23">
      <c r="B226" s="268" t="s">
        <v>329</v>
      </c>
      <c r="C226" s="269"/>
      <c r="D226" s="269"/>
      <c r="E226" s="269"/>
      <c r="F226" s="270"/>
      <c r="G226" s="1"/>
      <c r="H226" s="3"/>
      <c r="I226" s="4">
        <f t="shared" si="28"/>
        <v>0</v>
      </c>
      <c r="M226" s="268" t="s">
        <v>329</v>
      </c>
      <c r="N226" s="269"/>
      <c r="O226" s="269"/>
      <c r="P226" s="269"/>
      <c r="Q226" s="270"/>
      <c r="R226" s="1"/>
      <c r="S226" s="3"/>
      <c r="T226" s="4">
        <f t="shared" si="29"/>
        <v>0</v>
      </c>
    </row>
    <row r="227" spans="2:23">
      <c r="B227" s="268" t="s">
        <v>331</v>
      </c>
      <c r="C227" s="269"/>
      <c r="D227" s="269"/>
      <c r="E227" s="269"/>
      <c r="F227" s="270"/>
      <c r="G227" s="1"/>
      <c r="H227" s="3"/>
      <c r="I227" s="4">
        <f t="shared" si="28"/>
        <v>0</v>
      </c>
      <c r="M227" s="268" t="s">
        <v>331</v>
      </c>
      <c r="N227" s="269"/>
      <c r="O227" s="269"/>
      <c r="P227" s="269"/>
      <c r="Q227" s="270"/>
      <c r="R227" s="1"/>
      <c r="S227" s="3"/>
      <c r="T227" s="4">
        <f t="shared" si="29"/>
        <v>0</v>
      </c>
    </row>
    <row r="228" spans="2:23">
      <c r="B228" s="49" t="s">
        <v>321</v>
      </c>
      <c r="C228" s="50"/>
      <c r="D228" s="50"/>
      <c r="E228" s="50"/>
      <c r="F228" s="51"/>
      <c r="G228" s="1"/>
      <c r="H228" s="3"/>
      <c r="I228" s="4">
        <f t="shared" si="28"/>
        <v>0</v>
      </c>
      <c r="M228" s="49" t="s">
        <v>321</v>
      </c>
      <c r="N228" s="50"/>
      <c r="O228" s="50"/>
      <c r="P228" s="50"/>
      <c r="Q228" s="51"/>
      <c r="R228" s="1"/>
      <c r="S228" s="3"/>
      <c r="T228" s="4">
        <f t="shared" si="29"/>
        <v>0</v>
      </c>
    </row>
    <row r="229" spans="2:23">
      <c r="B229" s="49" t="s">
        <v>322</v>
      </c>
      <c r="C229" s="50"/>
      <c r="D229" s="50"/>
      <c r="E229" s="50"/>
      <c r="F229" s="51"/>
      <c r="G229" s="1"/>
      <c r="H229" s="3"/>
      <c r="I229" s="4">
        <f t="shared" si="28"/>
        <v>0</v>
      </c>
      <c r="M229" s="49" t="s">
        <v>322</v>
      </c>
      <c r="N229" s="50"/>
      <c r="O229" s="50"/>
      <c r="P229" s="50"/>
      <c r="Q229" s="51"/>
      <c r="R229" s="1"/>
      <c r="S229" s="3"/>
      <c r="T229" s="4">
        <f t="shared" si="29"/>
        <v>0</v>
      </c>
    </row>
    <row r="230" spans="2:23">
      <c r="B230" s="49" t="s">
        <v>323</v>
      </c>
      <c r="C230" s="50"/>
      <c r="D230" s="50"/>
      <c r="E230" s="50"/>
      <c r="F230" s="51"/>
      <c r="G230" s="1"/>
      <c r="H230" s="3"/>
      <c r="I230" s="4">
        <f t="shared" si="28"/>
        <v>0</v>
      </c>
      <c r="M230" s="49" t="s">
        <v>354</v>
      </c>
      <c r="N230" s="50"/>
      <c r="O230" s="50"/>
      <c r="P230" s="50"/>
      <c r="Q230" s="51"/>
      <c r="R230" s="1"/>
      <c r="S230" s="3"/>
      <c r="T230" s="4">
        <f t="shared" si="29"/>
        <v>0</v>
      </c>
    </row>
    <row r="231" spans="2:23">
      <c r="B231" s="49" t="s">
        <v>324</v>
      </c>
      <c r="C231" s="50"/>
      <c r="D231" s="50"/>
      <c r="E231" s="50"/>
      <c r="F231" s="51"/>
      <c r="G231" s="1"/>
      <c r="H231" s="3"/>
      <c r="I231" s="4">
        <f t="shared" si="28"/>
        <v>0</v>
      </c>
      <c r="M231" s="49" t="s">
        <v>355</v>
      </c>
      <c r="N231" s="50"/>
      <c r="O231" s="50"/>
      <c r="P231" s="50"/>
      <c r="Q231" s="51"/>
      <c r="R231" s="1"/>
      <c r="S231" s="3"/>
      <c r="T231" s="4">
        <f t="shared" si="29"/>
        <v>0</v>
      </c>
    </row>
    <row r="232" spans="2:23">
      <c r="B232" s="49" t="s">
        <v>67</v>
      </c>
      <c r="C232" s="50"/>
      <c r="D232" s="50"/>
      <c r="E232" s="50"/>
      <c r="F232" s="51"/>
      <c r="G232" s="1"/>
      <c r="H232" s="3"/>
      <c r="I232" s="4">
        <f t="shared" si="28"/>
        <v>0</v>
      </c>
      <c r="M232" s="49" t="s">
        <v>67</v>
      </c>
      <c r="N232" s="50"/>
      <c r="O232" s="50"/>
      <c r="P232" s="50"/>
      <c r="Q232" s="51"/>
      <c r="R232" s="1"/>
      <c r="S232" s="3"/>
      <c r="T232" s="4">
        <f t="shared" si="29"/>
        <v>0</v>
      </c>
    </row>
    <row r="233" spans="2:23">
      <c r="B233" s="49" t="s">
        <v>68</v>
      </c>
      <c r="C233" s="50"/>
      <c r="D233" s="50"/>
      <c r="E233" s="50"/>
      <c r="F233" s="51"/>
      <c r="G233" s="1"/>
      <c r="H233" s="3"/>
      <c r="I233" s="4">
        <f t="shared" si="28"/>
        <v>0</v>
      </c>
      <c r="M233" s="49" t="s">
        <v>68</v>
      </c>
      <c r="N233" s="50"/>
      <c r="O233" s="50"/>
      <c r="P233" s="50"/>
      <c r="Q233" s="51"/>
      <c r="R233" s="1"/>
      <c r="S233" s="3"/>
      <c r="T233" s="4">
        <f t="shared" si="29"/>
        <v>0</v>
      </c>
    </row>
    <row r="234" spans="2:23">
      <c r="B234" s="268" t="s">
        <v>70</v>
      </c>
      <c r="C234" s="269"/>
      <c r="D234" s="269"/>
      <c r="E234" s="269"/>
      <c r="F234" s="270"/>
      <c r="G234" s="1"/>
      <c r="H234" s="3"/>
      <c r="I234" s="4">
        <f t="shared" si="28"/>
        <v>0</v>
      </c>
      <c r="M234" s="268" t="s">
        <v>70</v>
      </c>
      <c r="N234" s="269"/>
      <c r="O234" s="269"/>
      <c r="P234" s="269"/>
      <c r="Q234" s="270"/>
      <c r="R234" s="1"/>
      <c r="S234" s="3"/>
      <c r="T234" s="4">
        <f t="shared" si="29"/>
        <v>0</v>
      </c>
    </row>
    <row r="235" spans="2:23" ht="15" thickBot="1">
      <c r="B235" s="268" t="s">
        <v>332</v>
      </c>
      <c r="C235" s="269"/>
      <c r="D235" s="269"/>
      <c r="E235" s="269"/>
      <c r="F235" s="270"/>
      <c r="G235" s="1"/>
      <c r="H235" s="3"/>
      <c r="I235" s="4">
        <f t="shared" si="28"/>
        <v>0</v>
      </c>
      <c r="M235" s="268" t="s">
        <v>332</v>
      </c>
      <c r="N235" s="269"/>
      <c r="O235" s="269"/>
      <c r="P235" s="269"/>
      <c r="Q235" s="270"/>
      <c r="R235" s="1"/>
      <c r="S235" s="3"/>
      <c r="T235" s="4">
        <f t="shared" si="29"/>
        <v>0</v>
      </c>
    </row>
    <row r="236" spans="2:23">
      <c r="B236" s="268" t="s">
        <v>16</v>
      </c>
      <c r="C236" s="269"/>
      <c r="D236" s="269"/>
      <c r="E236" s="269"/>
      <c r="F236" s="270"/>
      <c r="G236" s="1"/>
      <c r="H236" s="3"/>
      <c r="I236" s="4">
        <f t="shared" si="28"/>
        <v>0</v>
      </c>
      <c r="J236" s="308" t="s">
        <v>275</v>
      </c>
      <c r="K236" s="309"/>
      <c r="L236" s="310"/>
      <c r="M236" s="268" t="s">
        <v>16</v>
      </c>
      <c r="N236" s="269"/>
      <c r="O236" s="269"/>
      <c r="P236" s="269"/>
      <c r="Q236" s="270"/>
      <c r="R236" s="1"/>
      <c r="S236" s="3"/>
      <c r="T236" s="4">
        <f t="shared" si="29"/>
        <v>0</v>
      </c>
      <c r="U236" s="308" t="s">
        <v>275</v>
      </c>
      <c r="V236" s="309"/>
      <c r="W236" s="310"/>
    </row>
    <row r="237" spans="2:23" ht="15" thickBot="1">
      <c r="B237" s="268" t="s">
        <v>17</v>
      </c>
      <c r="C237" s="269"/>
      <c r="D237" s="269"/>
      <c r="E237" s="269"/>
      <c r="F237" s="270"/>
      <c r="G237" s="1"/>
      <c r="H237" s="3"/>
      <c r="I237" s="4">
        <f t="shared" si="28"/>
        <v>0</v>
      </c>
      <c r="J237" s="311"/>
      <c r="K237" s="312"/>
      <c r="L237" s="313"/>
      <c r="M237" s="268" t="s">
        <v>17</v>
      </c>
      <c r="N237" s="269"/>
      <c r="O237" s="269"/>
      <c r="P237" s="269"/>
      <c r="Q237" s="270"/>
      <c r="R237" s="1"/>
      <c r="S237" s="3"/>
      <c r="T237" s="4">
        <f t="shared" si="29"/>
        <v>0</v>
      </c>
      <c r="U237" s="311"/>
      <c r="V237" s="312"/>
      <c r="W237" s="313"/>
    </row>
    <row r="238" spans="2:23">
      <c r="B238" s="268"/>
      <c r="C238" s="269"/>
      <c r="D238" s="269"/>
      <c r="E238" s="269"/>
      <c r="F238" s="270"/>
      <c r="G238" s="1"/>
      <c r="H238" s="3"/>
      <c r="I238" s="4">
        <f t="shared" si="28"/>
        <v>0</v>
      </c>
      <c r="J238" s="257">
        <f>SUM(I223:I239)</f>
        <v>0</v>
      </c>
      <c r="K238" s="258"/>
      <c r="L238" s="259"/>
      <c r="M238" s="268"/>
      <c r="N238" s="269"/>
      <c r="O238" s="269"/>
      <c r="P238" s="269"/>
      <c r="Q238" s="270"/>
      <c r="R238" s="1"/>
      <c r="S238" s="3"/>
      <c r="T238" s="4">
        <f t="shared" si="29"/>
        <v>0</v>
      </c>
      <c r="U238" s="257">
        <f>SUM(T223:T239)</f>
        <v>0</v>
      </c>
      <c r="V238" s="258"/>
      <c r="W238" s="259"/>
    </row>
    <row r="239" spans="2:23" ht="15" thickBot="1">
      <c r="B239" s="274"/>
      <c r="C239" s="275"/>
      <c r="D239" s="275"/>
      <c r="E239" s="275"/>
      <c r="F239" s="276"/>
      <c r="G239" s="66"/>
      <c r="H239" s="67"/>
      <c r="I239" s="68">
        <f t="shared" si="28"/>
        <v>0</v>
      </c>
      <c r="J239" s="260"/>
      <c r="K239" s="261"/>
      <c r="L239" s="262"/>
      <c r="M239" s="274"/>
      <c r="N239" s="275"/>
      <c r="O239" s="275"/>
      <c r="P239" s="275"/>
      <c r="Q239" s="276"/>
      <c r="R239" s="66"/>
      <c r="S239" s="67"/>
      <c r="T239" s="68">
        <f t="shared" si="29"/>
        <v>0</v>
      </c>
      <c r="U239" s="260"/>
      <c r="V239" s="261"/>
      <c r="W239" s="262"/>
    </row>
    <row r="240" spans="2:23" ht="16.2" thickBot="1">
      <c r="B240" s="321" t="s">
        <v>297</v>
      </c>
      <c r="C240" s="322"/>
      <c r="D240" s="322"/>
      <c r="E240" s="322"/>
      <c r="F240" s="322"/>
      <c r="G240" s="322"/>
      <c r="H240" s="322"/>
      <c r="I240" s="323"/>
      <c r="J240" s="65"/>
      <c r="K240" s="65"/>
      <c r="L240" s="65"/>
      <c r="M240" s="321" t="s">
        <v>297</v>
      </c>
      <c r="N240" s="322"/>
      <c r="O240" s="322"/>
      <c r="P240" s="322"/>
      <c r="Q240" s="322"/>
      <c r="R240" s="322"/>
      <c r="S240" s="322"/>
      <c r="T240" s="323"/>
      <c r="U240" s="65"/>
      <c r="V240" s="65"/>
      <c r="W240" s="65"/>
    </row>
    <row r="241" spans="2:23" ht="16.2" thickBot="1">
      <c r="B241" s="321" t="s">
        <v>267</v>
      </c>
      <c r="C241" s="322"/>
      <c r="D241" s="322"/>
      <c r="E241" s="322"/>
      <c r="F241" s="322"/>
      <c r="G241" s="89" t="s">
        <v>266</v>
      </c>
      <c r="H241" s="89" t="s">
        <v>0</v>
      </c>
      <c r="I241" s="90" t="s">
        <v>265</v>
      </c>
      <c r="J241" s="65"/>
      <c r="K241" s="65"/>
      <c r="L241" s="65"/>
      <c r="M241" s="321" t="s">
        <v>267</v>
      </c>
      <c r="N241" s="322"/>
      <c r="O241" s="322"/>
      <c r="P241" s="322"/>
      <c r="Q241" s="322"/>
      <c r="R241" s="89" t="s">
        <v>266</v>
      </c>
      <c r="S241" s="89" t="s">
        <v>0</v>
      </c>
      <c r="T241" s="90" t="s">
        <v>265</v>
      </c>
      <c r="U241" s="65"/>
      <c r="V241" s="65"/>
      <c r="W241" s="65"/>
    </row>
    <row r="242" spans="2:23">
      <c r="B242" s="324" t="s">
        <v>333</v>
      </c>
      <c r="C242" s="325"/>
      <c r="D242" s="325"/>
      <c r="E242" s="325"/>
      <c r="F242" s="326"/>
      <c r="G242" s="6"/>
      <c r="H242" s="7"/>
      <c r="I242" s="69"/>
      <c r="M242" s="324" t="s">
        <v>333</v>
      </c>
      <c r="N242" s="325"/>
      <c r="O242" s="325"/>
      <c r="P242" s="325"/>
      <c r="Q242" s="326"/>
      <c r="R242" s="6"/>
      <c r="S242" s="7"/>
      <c r="T242" s="69"/>
    </row>
    <row r="243" spans="2:23">
      <c r="B243" s="271" t="s">
        <v>291</v>
      </c>
      <c r="C243" s="272"/>
      <c r="D243" s="272"/>
      <c r="E243" s="272"/>
      <c r="F243" s="273"/>
      <c r="G243" s="1"/>
      <c r="H243" s="3"/>
      <c r="I243" s="4">
        <f t="shared" ref="I243:I253" si="30">G243*H243</f>
        <v>0</v>
      </c>
      <c r="M243" s="271" t="s">
        <v>291</v>
      </c>
      <c r="N243" s="272"/>
      <c r="O243" s="272"/>
      <c r="P243" s="272"/>
      <c r="Q243" s="273"/>
      <c r="R243" s="1"/>
      <c r="S243" s="3"/>
      <c r="T243" s="4">
        <f t="shared" ref="T243:T253" si="31">R243*S243</f>
        <v>0</v>
      </c>
    </row>
    <row r="244" spans="2:23">
      <c r="B244" s="271" t="s">
        <v>292</v>
      </c>
      <c r="C244" s="272"/>
      <c r="D244" s="272"/>
      <c r="E244" s="272"/>
      <c r="F244" s="273"/>
      <c r="G244" s="1"/>
      <c r="H244" s="3"/>
      <c r="I244" s="4">
        <f t="shared" si="30"/>
        <v>0</v>
      </c>
      <c r="M244" s="271" t="s">
        <v>292</v>
      </c>
      <c r="N244" s="272"/>
      <c r="O244" s="272"/>
      <c r="P244" s="272"/>
      <c r="Q244" s="273"/>
      <c r="R244" s="1"/>
      <c r="S244" s="3"/>
      <c r="T244" s="4">
        <f t="shared" si="31"/>
        <v>0</v>
      </c>
    </row>
    <row r="245" spans="2:23">
      <c r="B245" s="271" t="s">
        <v>293</v>
      </c>
      <c r="C245" s="272"/>
      <c r="D245" s="272"/>
      <c r="E245" s="272"/>
      <c r="F245" s="273"/>
      <c r="G245" s="1"/>
      <c r="H245" s="3"/>
      <c r="I245" s="4">
        <f t="shared" si="30"/>
        <v>0</v>
      </c>
      <c r="M245" s="271" t="s">
        <v>293</v>
      </c>
      <c r="N245" s="272"/>
      <c r="O245" s="272"/>
      <c r="P245" s="272"/>
      <c r="Q245" s="273"/>
      <c r="R245" s="1"/>
      <c r="S245" s="3"/>
      <c r="T245" s="4">
        <f t="shared" si="31"/>
        <v>0</v>
      </c>
    </row>
    <row r="246" spans="2:23">
      <c r="B246" s="271" t="s">
        <v>193</v>
      </c>
      <c r="C246" s="272"/>
      <c r="D246" s="272"/>
      <c r="E246" s="272"/>
      <c r="F246" s="273"/>
      <c r="G246" s="1"/>
      <c r="H246" s="3"/>
      <c r="I246" s="4">
        <f t="shared" si="30"/>
        <v>0</v>
      </c>
      <c r="M246" s="271" t="s">
        <v>193</v>
      </c>
      <c r="N246" s="272"/>
      <c r="O246" s="272"/>
      <c r="P246" s="272"/>
      <c r="Q246" s="273"/>
      <c r="R246" s="1"/>
      <c r="S246" s="3"/>
      <c r="T246" s="4">
        <f t="shared" si="31"/>
        <v>0</v>
      </c>
    </row>
    <row r="247" spans="2:23">
      <c r="B247" s="271" t="s">
        <v>294</v>
      </c>
      <c r="C247" s="272"/>
      <c r="D247" s="272"/>
      <c r="E247" s="272"/>
      <c r="F247" s="273"/>
      <c r="G247" s="1"/>
      <c r="H247" s="3"/>
      <c r="I247" s="4">
        <f t="shared" si="30"/>
        <v>0</v>
      </c>
      <c r="M247" s="271" t="s">
        <v>294</v>
      </c>
      <c r="N247" s="272"/>
      <c r="O247" s="272"/>
      <c r="P247" s="272"/>
      <c r="Q247" s="273"/>
      <c r="R247" s="1"/>
      <c r="S247" s="3"/>
      <c r="T247" s="4">
        <f t="shared" si="31"/>
        <v>0</v>
      </c>
    </row>
    <row r="248" spans="2:23">
      <c r="B248" s="271"/>
      <c r="C248" s="272"/>
      <c r="D248" s="272"/>
      <c r="E248" s="272"/>
      <c r="F248" s="273"/>
      <c r="G248" s="1"/>
      <c r="H248" s="3"/>
      <c r="I248" s="4">
        <f t="shared" si="30"/>
        <v>0</v>
      </c>
      <c r="M248" s="271"/>
      <c r="N248" s="272"/>
      <c r="O248" s="272"/>
      <c r="P248" s="272"/>
      <c r="Q248" s="273"/>
      <c r="R248" s="1"/>
      <c r="S248" s="3"/>
      <c r="T248" s="4">
        <f t="shared" si="31"/>
        <v>0</v>
      </c>
    </row>
    <row r="249" spans="2:23" ht="15" thickBot="1">
      <c r="B249" s="271"/>
      <c r="C249" s="272"/>
      <c r="D249" s="272"/>
      <c r="E249" s="272"/>
      <c r="F249" s="273"/>
      <c r="G249" s="1"/>
      <c r="H249" s="3"/>
      <c r="I249" s="4">
        <f t="shared" si="30"/>
        <v>0</v>
      </c>
      <c r="M249" s="271"/>
      <c r="N249" s="272"/>
      <c r="O249" s="272"/>
      <c r="P249" s="272"/>
      <c r="Q249" s="273"/>
      <c r="R249" s="1"/>
      <c r="S249" s="3"/>
      <c r="T249" s="4">
        <f t="shared" si="31"/>
        <v>0</v>
      </c>
    </row>
    <row r="250" spans="2:23">
      <c r="B250" s="271"/>
      <c r="C250" s="272"/>
      <c r="D250" s="272"/>
      <c r="E250" s="272"/>
      <c r="F250" s="273"/>
      <c r="G250" s="1"/>
      <c r="H250" s="3"/>
      <c r="I250" s="4">
        <f t="shared" si="30"/>
        <v>0</v>
      </c>
      <c r="J250" s="308" t="s">
        <v>275</v>
      </c>
      <c r="K250" s="309"/>
      <c r="L250" s="310"/>
      <c r="M250" s="271"/>
      <c r="N250" s="272"/>
      <c r="O250" s="272"/>
      <c r="P250" s="272"/>
      <c r="Q250" s="273"/>
      <c r="R250" s="1"/>
      <c r="S250" s="3"/>
      <c r="T250" s="4">
        <f t="shared" si="31"/>
        <v>0</v>
      </c>
      <c r="U250" s="308" t="s">
        <v>275</v>
      </c>
      <c r="V250" s="309"/>
      <c r="W250" s="310"/>
    </row>
    <row r="251" spans="2:23" ht="15" thickBot="1">
      <c r="B251" s="414" t="s">
        <v>2</v>
      </c>
      <c r="C251" s="415"/>
      <c r="D251" s="415"/>
      <c r="E251" s="415"/>
      <c r="F251" s="416"/>
      <c r="G251" s="79"/>
      <c r="H251" s="80"/>
      <c r="I251" s="68">
        <f t="shared" si="30"/>
        <v>0</v>
      </c>
      <c r="J251" s="311"/>
      <c r="K251" s="312"/>
      <c r="L251" s="313"/>
      <c r="M251" s="414" t="s">
        <v>2</v>
      </c>
      <c r="N251" s="415"/>
      <c r="O251" s="415"/>
      <c r="P251" s="415"/>
      <c r="Q251" s="416"/>
      <c r="R251" s="79"/>
      <c r="S251" s="80"/>
      <c r="T251" s="68">
        <f t="shared" si="31"/>
        <v>0</v>
      </c>
      <c r="U251" s="311"/>
      <c r="V251" s="312"/>
      <c r="W251" s="313"/>
    </row>
    <row r="252" spans="2:23">
      <c r="B252" s="412" t="s">
        <v>22</v>
      </c>
      <c r="C252" s="413"/>
      <c r="D252" s="413"/>
      <c r="E252" s="413"/>
      <c r="F252" s="413"/>
      <c r="G252" s="1"/>
      <c r="H252" s="3"/>
      <c r="I252" s="4">
        <f t="shared" si="30"/>
        <v>0</v>
      </c>
      <c r="J252" s="257">
        <f>SUM(I242:I253)</f>
        <v>0</v>
      </c>
      <c r="K252" s="258"/>
      <c r="L252" s="259"/>
      <c r="M252" s="412" t="s">
        <v>22</v>
      </c>
      <c r="N252" s="413"/>
      <c r="O252" s="413"/>
      <c r="P252" s="413"/>
      <c r="Q252" s="413"/>
      <c r="R252" s="1"/>
      <c r="S252" s="3"/>
      <c r="T252" s="4">
        <f t="shared" si="31"/>
        <v>0</v>
      </c>
      <c r="U252" s="257">
        <f>SUM(T242:T253)</f>
        <v>0</v>
      </c>
      <c r="V252" s="258"/>
      <c r="W252" s="259"/>
    </row>
    <row r="253" spans="2:23" ht="15" thickBot="1">
      <c r="B253" s="412" t="s">
        <v>21</v>
      </c>
      <c r="C253" s="413"/>
      <c r="D253" s="413"/>
      <c r="E253" s="413"/>
      <c r="F253" s="413"/>
      <c r="G253" s="1"/>
      <c r="H253" s="3"/>
      <c r="I253" s="4">
        <f t="shared" si="30"/>
        <v>0</v>
      </c>
      <c r="J253" s="260"/>
      <c r="K253" s="261"/>
      <c r="L253" s="262"/>
      <c r="M253" s="412" t="s">
        <v>21</v>
      </c>
      <c r="N253" s="413"/>
      <c r="O253" s="413"/>
      <c r="P253" s="413"/>
      <c r="Q253" s="413"/>
      <c r="R253" s="1"/>
      <c r="S253" s="3"/>
      <c r="T253" s="4">
        <f t="shared" si="31"/>
        <v>0</v>
      </c>
      <c r="U253" s="260"/>
      <c r="V253" s="261"/>
      <c r="W253" s="262"/>
    </row>
    <row r="254" spans="2:23" ht="16.2" thickBot="1">
      <c r="B254" s="316" t="s">
        <v>334</v>
      </c>
      <c r="C254" s="317"/>
      <c r="D254" s="317"/>
      <c r="E254" s="317"/>
      <c r="F254" s="317"/>
      <c r="G254" s="317"/>
      <c r="H254" s="317"/>
      <c r="I254" s="420"/>
      <c r="J254" s="64"/>
      <c r="K254" s="65"/>
      <c r="L254" s="65"/>
      <c r="M254" s="316" t="s">
        <v>334</v>
      </c>
      <c r="N254" s="317"/>
      <c r="O254" s="317"/>
      <c r="P254" s="317"/>
      <c r="Q254" s="317"/>
      <c r="R254" s="317"/>
      <c r="S254" s="317"/>
      <c r="T254" s="420"/>
      <c r="U254" s="64"/>
      <c r="V254" s="65"/>
      <c r="W254" s="65"/>
    </row>
    <row r="255" spans="2:23" ht="16.2" thickBot="1">
      <c r="B255" s="316" t="s">
        <v>267</v>
      </c>
      <c r="C255" s="317"/>
      <c r="D255" s="317"/>
      <c r="E255" s="317"/>
      <c r="F255" s="317"/>
      <c r="G255" s="91" t="s">
        <v>266</v>
      </c>
      <c r="H255" s="91" t="s">
        <v>0</v>
      </c>
      <c r="I255" s="92" t="s">
        <v>265</v>
      </c>
      <c r="J255" s="64"/>
      <c r="K255" s="65"/>
      <c r="L255" s="65"/>
      <c r="M255" s="316" t="s">
        <v>267</v>
      </c>
      <c r="N255" s="317"/>
      <c r="O255" s="317"/>
      <c r="P255" s="317"/>
      <c r="Q255" s="317"/>
      <c r="R255" s="91" t="s">
        <v>266</v>
      </c>
      <c r="S255" s="91" t="s">
        <v>0</v>
      </c>
      <c r="T255" s="92" t="s">
        <v>265</v>
      </c>
      <c r="U255" s="64"/>
      <c r="V255" s="65"/>
      <c r="W255" s="65"/>
    </row>
    <row r="256" spans="2:23">
      <c r="B256" s="266" t="s">
        <v>8</v>
      </c>
      <c r="C256" s="267"/>
      <c r="D256" s="267"/>
      <c r="E256" s="267"/>
      <c r="F256" s="267"/>
      <c r="G256" s="1"/>
      <c r="H256" s="3"/>
      <c r="I256" s="4">
        <f t="shared" ref="I256:I259" si="32">G256*H256</f>
        <v>0</v>
      </c>
      <c r="J256" s="308" t="s">
        <v>275</v>
      </c>
      <c r="K256" s="309"/>
      <c r="L256" s="310"/>
      <c r="M256" s="266" t="s">
        <v>8</v>
      </c>
      <c r="N256" s="267"/>
      <c r="O256" s="267"/>
      <c r="P256" s="267"/>
      <c r="Q256" s="267"/>
      <c r="R256" s="1"/>
      <c r="S256" s="3"/>
      <c r="T256" s="4">
        <f t="shared" ref="T256:T259" si="33">R256*S256</f>
        <v>0</v>
      </c>
      <c r="U256" s="308" t="s">
        <v>275</v>
      </c>
      <c r="V256" s="309"/>
      <c r="W256" s="310"/>
    </row>
    <row r="257" spans="2:23" ht="15" thickBot="1">
      <c r="B257" s="266" t="s">
        <v>9</v>
      </c>
      <c r="C257" s="267"/>
      <c r="D257" s="267"/>
      <c r="E257" s="267"/>
      <c r="F257" s="267"/>
      <c r="G257" s="1"/>
      <c r="H257" s="3"/>
      <c r="I257" s="4">
        <f t="shared" si="32"/>
        <v>0</v>
      </c>
      <c r="J257" s="311"/>
      <c r="K257" s="312"/>
      <c r="L257" s="313"/>
      <c r="M257" s="266" t="s">
        <v>9</v>
      </c>
      <c r="N257" s="267"/>
      <c r="O257" s="267"/>
      <c r="P257" s="267"/>
      <c r="Q257" s="267"/>
      <c r="R257" s="1"/>
      <c r="S257" s="3"/>
      <c r="T257" s="4">
        <f t="shared" si="33"/>
        <v>0</v>
      </c>
      <c r="U257" s="311"/>
      <c r="V257" s="312"/>
      <c r="W257" s="313"/>
    </row>
    <row r="258" spans="2:23">
      <c r="B258" s="266" t="s">
        <v>335</v>
      </c>
      <c r="C258" s="267"/>
      <c r="D258" s="267"/>
      <c r="E258" s="267"/>
      <c r="F258" s="267"/>
      <c r="G258" s="1"/>
      <c r="H258" s="3"/>
      <c r="I258" s="4">
        <f t="shared" si="32"/>
        <v>0</v>
      </c>
      <c r="J258" s="257">
        <f>SUM(I256:I259)</f>
        <v>0</v>
      </c>
      <c r="K258" s="258"/>
      <c r="L258" s="259"/>
      <c r="M258" s="266" t="s">
        <v>335</v>
      </c>
      <c r="N258" s="267"/>
      <c r="O258" s="267"/>
      <c r="P258" s="267"/>
      <c r="Q258" s="267"/>
      <c r="R258" s="1"/>
      <c r="S258" s="3"/>
      <c r="T258" s="4">
        <f t="shared" si="33"/>
        <v>0</v>
      </c>
      <c r="U258" s="257">
        <f>SUM(T256:T259)</f>
        <v>0</v>
      </c>
      <c r="V258" s="258"/>
      <c r="W258" s="259"/>
    </row>
    <row r="259" spans="2:23" ht="15" thickBot="1">
      <c r="B259" s="297" t="s">
        <v>336</v>
      </c>
      <c r="C259" s="298"/>
      <c r="D259" s="298"/>
      <c r="E259" s="298"/>
      <c r="F259" s="298"/>
      <c r="G259" s="2"/>
      <c r="H259" s="5"/>
      <c r="I259" s="14">
        <f t="shared" si="32"/>
        <v>0</v>
      </c>
      <c r="J259" s="260"/>
      <c r="K259" s="261"/>
      <c r="L259" s="262"/>
      <c r="M259" s="297" t="s">
        <v>336</v>
      </c>
      <c r="N259" s="298"/>
      <c r="O259" s="298"/>
      <c r="P259" s="298"/>
      <c r="Q259" s="298"/>
      <c r="R259" s="2"/>
      <c r="S259" s="5"/>
      <c r="T259" s="14">
        <f t="shared" si="33"/>
        <v>0</v>
      </c>
      <c r="U259" s="260"/>
      <c r="V259" s="261"/>
      <c r="W259" s="262"/>
    </row>
    <row r="260" spans="2:23">
      <c r="B260" s="299" t="s">
        <v>298</v>
      </c>
      <c r="C260" s="300"/>
      <c r="D260" s="300"/>
      <c r="E260" s="300"/>
      <c r="F260" s="300"/>
      <c r="G260" s="300"/>
      <c r="H260" s="300"/>
      <c r="I260" s="301"/>
      <c r="J260" s="385">
        <f>SUM(J258,J252,J238,J219,J205,J191,J177)</f>
        <v>0</v>
      </c>
      <c r="K260" s="386"/>
      <c r="L260" s="387"/>
      <c r="M260" s="299" t="s">
        <v>298</v>
      </c>
      <c r="N260" s="300"/>
      <c r="O260" s="300"/>
      <c r="P260" s="300"/>
      <c r="Q260" s="300"/>
      <c r="R260" s="300"/>
      <c r="S260" s="300"/>
      <c r="T260" s="301"/>
      <c r="U260" s="385">
        <f>SUM(U258,U252,U238,U219,U205,U191,U177)</f>
        <v>0</v>
      </c>
      <c r="V260" s="386"/>
      <c r="W260" s="387"/>
    </row>
    <row r="261" spans="2:23">
      <c r="B261" s="302"/>
      <c r="C261" s="303"/>
      <c r="D261" s="303"/>
      <c r="E261" s="303"/>
      <c r="F261" s="303"/>
      <c r="G261" s="303"/>
      <c r="H261" s="303"/>
      <c r="I261" s="304"/>
      <c r="J261" s="388"/>
      <c r="K261" s="389"/>
      <c r="L261" s="390"/>
      <c r="M261" s="302"/>
      <c r="N261" s="303"/>
      <c r="O261" s="303"/>
      <c r="P261" s="303"/>
      <c r="Q261" s="303"/>
      <c r="R261" s="303"/>
      <c r="S261" s="303"/>
      <c r="T261" s="304"/>
      <c r="U261" s="388"/>
      <c r="V261" s="389"/>
      <c r="W261" s="390"/>
    </row>
    <row r="262" spans="2:23" ht="15" thickBot="1">
      <c r="B262" s="305"/>
      <c r="C262" s="306"/>
      <c r="D262" s="306"/>
      <c r="E262" s="306"/>
      <c r="F262" s="306"/>
      <c r="G262" s="306"/>
      <c r="H262" s="306"/>
      <c r="I262" s="307"/>
      <c r="J262" s="391"/>
      <c r="K262" s="392"/>
      <c r="L262" s="393"/>
      <c r="M262" s="305"/>
      <c r="N262" s="306"/>
      <c r="O262" s="306"/>
      <c r="P262" s="306"/>
      <c r="Q262" s="306"/>
      <c r="R262" s="306"/>
      <c r="S262" s="306"/>
      <c r="T262" s="307"/>
      <c r="U262" s="391"/>
      <c r="V262" s="392"/>
      <c r="W262" s="393"/>
    </row>
    <row r="263" spans="2:23" ht="15" thickBot="1"/>
    <row r="264" spans="2:23">
      <c r="B264" s="376"/>
      <c r="C264" s="377"/>
      <c r="D264" s="377"/>
      <c r="E264" s="377"/>
      <c r="F264" s="377"/>
      <c r="G264" s="377"/>
      <c r="H264" s="377"/>
      <c r="I264" s="378"/>
      <c r="M264" s="376"/>
      <c r="N264" s="377"/>
      <c r="O264" s="377"/>
      <c r="P264" s="377"/>
      <c r="Q264" s="377"/>
      <c r="R264" s="377"/>
      <c r="S264" s="377"/>
      <c r="T264" s="378"/>
    </row>
    <row r="265" spans="2:23">
      <c r="B265" s="379"/>
      <c r="C265" s="380"/>
      <c r="D265" s="380"/>
      <c r="E265" s="380"/>
      <c r="F265" s="380"/>
      <c r="G265" s="380"/>
      <c r="H265" s="380"/>
      <c r="I265" s="381"/>
      <c r="M265" s="379"/>
      <c r="N265" s="380"/>
      <c r="O265" s="380"/>
      <c r="P265" s="380"/>
      <c r="Q265" s="380"/>
      <c r="R265" s="380"/>
      <c r="S265" s="380"/>
      <c r="T265" s="381"/>
    </row>
    <row r="266" spans="2:23" ht="15" thickBot="1">
      <c r="B266" s="382"/>
      <c r="C266" s="383"/>
      <c r="D266" s="383"/>
      <c r="E266" s="383"/>
      <c r="F266" s="383"/>
      <c r="G266" s="383"/>
      <c r="H266" s="383"/>
      <c r="I266" s="384"/>
      <c r="M266" s="382"/>
      <c r="N266" s="383"/>
      <c r="O266" s="383"/>
      <c r="P266" s="383"/>
      <c r="Q266" s="383"/>
      <c r="R266" s="383"/>
      <c r="S266" s="383"/>
      <c r="T266" s="384"/>
    </row>
    <row r="267" spans="2:23" ht="15" thickBot="1">
      <c r="B267" s="314" t="s">
        <v>262</v>
      </c>
      <c r="C267" s="315"/>
      <c r="D267" s="315"/>
      <c r="E267" s="315"/>
      <c r="F267" s="315"/>
      <c r="G267" s="315"/>
      <c r="H267" s="315"/>
      <c r="I267" s="411"/>
      <c r="M267" s="314" t="s">
        <v>262</v>
      </c>
      <c r="N267" s="315"/>
      <c r="O267" s="315"/>
      <c r="P267" s="315"/>
      <c r="Q267" s="315"/>
      <c r="R267" s="315"/>
      <c r="S267" s="315"/>
      <c r="T267" s="411"/>
    </row>
    <row r="268" spans="2:23" ht="15" thickBot="1">
      <c r="B268" s="314" t="s">
        <v>267</v>
      </c>
      <c r="C268" s="315"/>
      <c r="D268" s="315"/>
      <c r="E268" s="315"/>
      <c r="F268" s="315"/>
      <c r="G268" s="71" t="s">
        <v>266</v>
      </c>
      <c r="H268" s="71" t="s">
        <v>0</v>
      </c>
      <c r="I268" s="72" t="s">
        <v>265</v>
      </c>
      <c r="M268" s="314" t="s">
        <v>267</v>
      </c>
      <c r="N268" s="315"/>
      <c r="O268" s="315"/>
      <c r="P268" s="315"/>
      <c r="Q268" s="315"/>
      <c r="R268" s="71" t="s">
        <v>266</v>
      </c>
      <c r="S268" s="71" t="s">
        <v>0</v>
      </c>
      <c r="T268" s="72" t="s">
        <v>265</v>
      </c>
    </row>
    <row r="269" spans="2:23">
      <c r="B269" s="370" t="s">
        <v>13</v>
      </c>
      <c r="C269" s="371"/>
      <c r="D269" s="371"/>
      <c r="E269" s="372"/>
      <c r="F269" s="70">
        <v>1</v>
      </c>
      <c r="G269" s="6"/>
      <c r="H269" s="7">
        <f>$I$4</f>
        <v>160000</v>
      </c>
      <c r="I269" s="69">
        <f>F269*G269*H269</f>
        <v>0</v>
      </c>
      <c r="M269" s="370" t="s">
        <v>13</v>
      </c>
      <c r="N269" s="371"/>
      <c r="O269" s="371"/>
      <c r="P269" s="372"/>
      <c r="Q269" s="70">
        <v>1</v>
      </c>
      <c r="R269" s="6"/>
      <c r="S269" s="7">
        <f>$I$4</f>
        <v>160000</v>
      </c>
      <c r="T269" s="69">
        <f>Q269*R269*S269</f>
        <v>0</v>
      </c>
    </row>
    <row r="270" spans="2:23">
      <c r="B270" s="61" t="s">
        <v>261</v>
      </c>
      <c r="C270" s="62"/>
      <c r="D270" s="62"/>
      <c r="E270" s="63"/>
      <c r="F270" s="12">
        <v>1</v>
      </c>
      <c r="G270" s="1"/>
      <c r="H270" s="3">
        <f>$I$5</f>
        <v>165000</v>
      </c>
      <c r="I270" s="4"/>
      <c r="M270" s="61" t="s">
        <v>261</v>
      </c>
      <c r="N270" s="62"/>
      <c r="O270" s="62"/>
      <c r="P270" s="63"/>
      <c r="Q270" s="12">
        <v>1</v>
      </c>
      <c r="R270" s="1"/>
      <c r="S270" s="3">
        <f>$I$5</f>
        <v>165000</v>
      </c>
      <c r="T270" s="4"/>
    </row>
    <row r="271" spans="2:23">
      <c r="B271" s="288" t="s">
        <v>306</v>
      </c>
      <c r="C271" s="289"/>
      <c r="D271" s="289"/>
      <c r="E271" s="290"/>
      <c r="F271" s="12">
        <v>1</v>
      </c>
      <c r="G271" s="1"/>
      <c r="H271" s="3">
        <f>$I$6</f>
        <v>140000</v>
      </c>
      <c r="I271" s="4">
        <f>F271*G271*H271</f>
        <v>0</v>
      </c>
      <c r="M271" s="288" t="s">
        <v>15</v>
      </c>
      <c r="N271" s="289"/>
      <c r="O271" s="289"/>
      <c r="P271" s="290"/>
      <c r="Q271" s="12">
        <v>1</v>
      </c>
      <c r="R271" s="1"/>
      <c r="S271" s="3">
        <f>$I$6</f>
        <v>140000</v>
      </c>
      <c r="T271" s="4">
        <f>Q271*R271*S271</f>
        <v>0</v>
      </c>
    </row>
    <row r="272" spans="2:23">
      <c r="B272" s="288" t="s">
        <v>307</v>
      </c>
      <c r="C272" s="289"/>
      <c r="D272" s="289"/>
      <c r="E272" s="290"/>
      <c r="F272" s="12">
        <v>1</v>
      </c>
      <c r="G272" s="1"/>
      <c r="H272" s="3">
        <f>$I$7</f>
        <v>150000</v>
      </c>
      <c r="I272" s="4">
        <f>F272*G272*H272</f>
        <v>0</v>
      </c>
      <c r="M272" s="288" t="s">
        <v>338</v>
      </c>
      <c r="N272" s="289"/>
      <c r="O272" s="289"/>
      <c r="P272" s="290"/>
      <c r="Q272" s="12">
        <v>1</v>
      </c>
      <c r="R272" s="1"/>
      <c r="S272" s="3">
        <f>$I$7</f>
        <v>150000</v>
      </c>
      <c r="T272" s="4">
        <f>Q272*R272*S272</f>
        <v>0</v>
      </c>
    </row>
    <row r="273" spans="2:23">
      <c r="B273" s="288"/>
      <c r="C273" s="289"/>
      <c r="D273" s="289"/>
      <c r="E273" s="290"/>
      <c r="F273" s="12"/>
      <c r="G273" s="1"/>
      <c r="H273" s="3"/>
      <c r="I273" s="4">
        <f>F273*G273*H273</f>
        <v>0</v>
      </c>
      <c r="M273" s="288"/>
      <c r="N273" s="289"/>
      <c r="O273" s="289"/>
      <c r="P273" s="290"/>
      <c r="Q273" s="12"/>
      <c r="R273" s="1"/>
      <c r="S273" s="3"/>
      <c r="T273" s="4">
        <f>Q273*R273*S273</f>
        <v>0</v>
      </c>
    </row>
    <row r="274" spans="2:23">
      <c r="B274" s="283" t="s">
        <v>73</v>
      </c>
      <c r="C274" s="284"/>
      <c r="D274" s="284"/>
      <c r="E274" s="284"/>
      <c r="F274" s="285"/>
      <c r="G274" s="1"/>
      <c r="H274" s="3">
        <f>$I$8</f>
        <v>12800</v>
      </c>
      <c r="I274" s="4">
        <f>G274*H274</f>
        <v>0</v>
      </c>
      <c r="M274" s="283" t="s">
        <v>339</v>
      </c>
      <c r="N274" s="284"/>
      <c r="O274" s="284"/>
      <c r="P274" s="284"/>
      <c r="Q274" s="285"/>
      <c r="R274" s="1"/>
      <c r="S274" s="3">
        <f>$I$8</f>
        <v>12800</v>
      </c>
      <c r="T274" s="4">
        <f>R274*S274</f>
        <v>0</v>
      </c>
    </row>
    <row r="275" spans="2:23">
      <c r="B275" s="283" t="s">
        <v>74</v>
      </c>
      <c r="C275" s="284"/>
      <c r="D275" s="284"/>
      <c r="E275" s="284"/>
      <c r="F275" s="285"/>
      <c r="G275" s="1"/>
      <c r="H275" s="3">
        <f>$I$9</f>
        <v>11100</v>
      </c>
      <c r="I275" s="4">
        <f>G275*H275</f>
        <v>0</v>
      </c>
      <c r="M275" s="283" t="s">
        <v>263</v>
      </c>
      <c r="N275" s="284"/>
      <c r="O275" s="284"/>
      <c r="P275" s="284"/>
      <c r="Q275" s="285"/>
      <c r="R275" s="1"/>
      <c r="S275" s="3">
        <f>$I$9</f>
        <v>11100</v>
      </c>
      <c r="T275" s="4">
        <f>R275*S275</f>
        <v>0</v>
      </c>
    </row>
    <row r="276" spans="2:23">
      <c r="B276" s="280" t="s">
        <v>308</v>
      </c>
      <c r="C276" s="281"/>
      <c r="D276" s="281"/>
      <c r="E276" s="281"/>
      <c r="F276" s="282"/>
      <c r="G276" s="1"/>
      <c r="H276" s="3">
        <f>$I$10</f>
        <v>58</v>
      </c>
      <c r="I276" s="4">
        <f t="shared" ref="I276:I288" si="34">G276*H276</f>
        <v>0</v>
      </c>
      <c r="M276" s="280" t="s">
        <v>340</v>
      </c>
      <c r="N276" s="281"/>
      <c r="O276" s="281"/>
      <c r="P276" s="281"/>
      <c r="Q276" s="282"/>
      <c r="R276" s="1"/>
      <c r="S276" s="3">
        <f>$I$10</f>
        <v>58</v>
      </c>
      <c r="T276" s="4">
        <f t="shared" ref="T276:T288" si="35">R276*S276</f>
        <v>0</v>
      </c>
    </row>
    <row r="277" spans="2:23">
      <c r="B277" s="280" t="s">
        <v>309</v>
      </c>
      <c r="C277" s="281"/>
      <c r="D277" s="281"/>
      <c r="E277" s="281"/>
      <c r="F277" s="282"/>
      <c r="G277" s="1"/>
      <c r="H277" s="3">
        <f>$I$11</f>
        <v>35</v>
      </c>
      <c r="I277" s="4">
        <f t="shared" si="34"/>
        <v>0</v>
      </c>
      <c r="M277" s="280" t="s">
        <v>341</v>
      </c>
      <c r="N277" s="281"/>
      <c r="O277" s="281"/>
      <c r="P277" s="281"/>
      <c r="Q277" s="282"/>
      <c r="R277" s="1"/>
      <c r="S277" s="3">
        <f>$I$11</f>
        <v>35</v>
      </c>
      <c r="T277" s="4">
        <f t="shared" si="35"/>
        <v>0</v>
      </c>
    </row>
    <row r="278" spans="2:23">
      <c r="B278" s="280" t="s">
        <v>310</v>
      </c>
      <c r="C278" s="281"/>
      <c r="D278" s="281"/>
      <c r="E278" s="281"/>
      <c r="F278" s="282"/>
      <c r="G278" s="1"/>
      <c r="H278" s="3">
        <f>$I$12</f>
        <v>1250</v>
      </c>
      <c r="I278" s="4">
        <f t="shared" si="34"/>
        <v>0</v>
      </c>
      <c r="M278" s="280" t="s">
        <v>342</v>
      </c>
      <c r="N278" s="281"/>
      <c r="O278" s="281"/>
      <c r="P278" s="281"/>
      <c r="Q278" s="282"/>
      <c r="R278" s="1"/>
      <c r="S278" s="3">
        <f>$I$12</f>
        <v>1250</v>
      </c>
      <c r="T278" s="4">
        <f t="shared" si="35"/>
        <v>0</v>
      </c>
    </row>
    <row r="279" spans="2:23">
      <c r="B279" s="280" t="s">
        <v>311</v>
      </c>
      <c r="C279" s="281"/>
      <c r="D279" s="281"/>
      <c r="E279" s="281"/>
      <c r="F279" s="282"/>
      <c r="G279" s="1"/>
      <c r="H279" s="3">
        <f>$I$13</f>
        <v>1250</v>
      </c>
      <c r="I279" s="4">
        <f t="shared" si="34"/>
        <v>0</v>
      </c>
      <c r="M279" s="280" t="s">
        <v>343</v>
      </c>
      <c r="N279" s="281"/>
      <c r="O279" s="281"/>
      <c r="P279" s="281"/>
      <c r="Q279" s="282"/>
      <c r="R279" s="1"/>
      <c r="S279" s="3">
        <f>$I$13</f>
        <v>1250</v>
      </c>
      <c r="T279" s="4">
        <f t="shared" si="35"/>
        <v>0</v>
      </c>
    </row>
    <row r="280" spans="2:23">
      <c r="B280" s="280" t="s">
        <v>312</v>
      </c>
      <c r="C280" s="281"/>
      <c r="D280" s="281"/>
      <c r="E280" s="281"/>
      <c r="F280" s="282"/>
      <c r="G280" s="1"/>
      <c r="H280" s="3">
        <f>$I$14</f>
        <v>750</v>
      </c>
      <c r="I280" s="4">
        <f t="shared" si="34"/>
        <v>0</v>
      </c>
      <c r="M280" s="280" t="s">
        <v>344</v>
      </c>
      <c r="N280" s="281"/>
      <c r="O280" s="281"/>
      <c r="P280" s="281"/>
      <c r="Q280" s="282"/>
      <c r="R280" s="1"/>
      <c r="S280" s="3">
        <f>$I$14</f>
        <v>750</v>
      </c>
      <c r="T280" s="4">
        <f t="shared" si="35"/>
        <v>0</v>
      </c>
    </row>
    <row r="281" spans="2:23">
      <c r="B281" s="280" t="s">
        <v>313</v>
      </c>
      <c r="C281" s="281"/>
      <c r="D281" s="281"/>
      <c r="E281" s="281"/>
      <c r="F281" s="282"/>
      <c r="G281" s="1"/>
      <c r="H281" s="3">
        <f>$I$15</f>
        <v>175</v>
      </c>
      <c r="I281" s="4">
        <f t="shared" si="34"/>
        <v>0</v>
      </c>
      <c r="M281" s="280" t="s">
        <v>345</v>
      </c>
      <c r="N281" s="281"/>
      <c r="O281" s="281"/>
      <c r="P281" s="281"/>
      <c r="Q281" s="282"/>
      <c r="R281" s="1"/>
      <c r="S281" s="3">
        <f>$I$15</f>
        <v>175</v>
      </c>
      <c r="T281" s="4">
        <f t="shared" si="35"/>
        <v>0</v>
      </c>
    </row>
    <row r="282" spans="2:23">
      <c r="B282" s="280" t="s">
        <v>314</v>
      </c>
      <c r="C282" s="281"/>
      <c r="D282" s="281"/>
      <c r="E282" s="281"/>
      <c r="F282" s="282"/>
      <c r="G282" s="1"/>
      <c r="H282" s="3">
        <f>$I$16</f>
        <v>175</v>
      </c>
      <c r="I282" s="4">
        <f t="shared" si="34"/>
        <v>0</v>
      </c>
      <c r="M282" s="280" t="s">
        <v>346</v>
      </c>
      <c r="N282" s="281"/>
      <c r="O282" s="281"/>
      <c r="P282" s="281"/>
      <c r="Q282" s="282"/>
      <c r="R282" s="1"/>
      <c r="S282" s="3">
        <f>$I$16</f>
        <v>175</v>
      </c>
      <c r="T282" s="4">
        <f t="shared" si="35"/>
        <v>0</v>
      </c>
    </row>
    <row r="283" spans="2:23">
      <c r="B283" s="288" t="s">
        <v>222</v>
      </c>
      <c r="C283" s="289"/>
      <c r="D283" s="289"/>
      <c r="E283" s="289"/>
      <c r="F283" s="290"/>
      <c r="G283" s="1"/>
      <c r="H283" s="3">
        <f>$I$17</f>
        <v>90000</v>
      </c>
      <c r="I283" s="4">
        <f t="shared" si="34"/>
        <v>0</v>
      </c>
      <c r="M283" s="288" t="s">
        <v>222</v>
      </c>
      <c r="N283" s="289"/>
      <c r="O283" s="289"/>
      <c r="P283" s="289"/>
      <c r="Q283" s="290"/>
      <c r="R283" s="1"/>
      <c r="S283" s="3">
        <f>$I$17</f>
        <v>90000</v>
      </c>
      <c r="T283" s="4">
        <f t="shared" si="35"/>
        <v>0</v>
      </c>
    </row>
    <row r="284" spans="2:23" ht="15" thickBot="1">
      <c r="B284" s="283" t="s">
        <v>337</v>
      </c>
      <c r="C284" s="284"/>
      <c r="D284" s="284"/>
      <c r="E284" s="284"/>
      <c r="F284" s="285"/>
      <c r="G284" s="1"/>
      <c r="H284" s="3">
        <f>$I$18</f>
        <v>21000</v>
      </c>
      <c r="I284" s="4">
        <f t="shared" si="34"/>
        <v>0</v>
      </c>
      <c r="M284" s="283" t="s">
        <v>337</v>
      </c>
      <c r="N284" s="284"/>
      <c r="O284" s="284"/>
      <c r="P284" s="284"/>
      <c r="Q284" s="285"/>
      <c r="R284" s="1"/>
      <c r="S284" s="3">
        <f>$I$18</f>
        <v>21000</v>
      </c>
      <c r="T284" s="4">
        <f t="shared" si="35"/>
        <v>0</v>
      </c>
    </row>
    <row r="285" spans="2:23">
      <c r="B285" s="283" t="s">
        <v>269</v>
      </c>
      <c r="C285" s="284"/>
      <c r="D285" s="284"/>
      <c r="E285" s="284"/>
      <c r="F285" s="285"/>
      <c r="G285" s="1"/>
      <c r="H285" s="3">
        <f>$I$19</f>
        <v>40000</v>
      </c>
      <c r="I285" s="4">
        <f t="shared" si="34"/>
        <v>0</v>
      </c>
      <c r="J285" s="308" t="s">
        <v>275</v>
      </c>
      <c r="K285" s="309"/>
      <c r="L285" s="310"/>
      <c r="M285" s="283" t="s">
        <v>269</v>
      </c>
      <c r="N285" s="284"/>
      <c r="O285" s="284"/>
      <c r="P285" s="284"/>
      <c r="Q285" s="285"/>
      <c r="R285" s="1"/>
      <c r="S285" s="3">
        <f>$I$19</f>
        <v>40000</v>
      </c>
      <c r="T285" s="4">
        <f t="shared" si="35"/>
        <v>0</v>
      </c>
      <c r="U285" s="308" t="s">
        <v>275</v>
      </c>
      <c r="V285" s="309"/>
      <c r="W285" s="310"/>
    </row>
    <row r="286" spans="2:23" ht="15" thickBot="1">
      <c r="B286" s="283" t="s">
        <v>270</v>
      </c>
      <c r="C286" s="284"/>
      <c r="D286" s="284"/>
      <c r="E286" s="284"/>
      <c r="F286" s="285"/>
      <c r="G286" s="1"/>
      <c r="H286" s="3">
        <f>$I$20</f>
        <v>13000</v>
      </c>
      <c r="I286" s="4">
        <f t="shared" si="34"/>
        <v>0</v>
      </c>
      <c r="J286" s="311"/>
      <c r="K286" s="312"/>
      <c r="L286" s="313"/>
      <c r="M286" s="283" t="s">
        <v>270</v>
      </c>
      <c r="N286" s="284"/>
      <c r="O286" s="284"/>
      <c r="P286" s="284"/>
      <c r="Q286" s="285"/>
      <c r="R286" s="1"/>
      <c r="S286" s="3">
        <f>$I$20</f>
        <v>13000</v>
      </c>
      <c r="T286" s="4">
        <f t="shared" si="35"/>
        <v>0</v>
      </c>
      <c r="U286" s="311"/>
      <c r="V286" s="312"/>
      <c r="W286" s="313"/>
    </row>
    <row r="287" spans="2:23">
      <c r="B287" s="280"/>
      <c r="C287" s="281"/>
      <c r="D287" s="281"/>
      <c r="E287" s="281"/>
      <c r="F287" s="282"/>
      <c r="G287" s="1"/>
      <c r="H287" s="3"/>
      <c r="I287" s="4">
        <f t="shared" si="34"/>
        <v>0</v>
      </c>
      <c r="J287" s="257">
        <f>SUM(I269:I288)</f>
        <v>0</v>
      </c>
      <c r="K287" s="258"/>
      <c r="L287" s="259"/>
      <c r="M287" s="280"/>
      <c r="N287" s="281"/>
      <c r="O287" s="281"/>
      <c r="P287" s="281"/>
      <c r="Q287" s="282"/>
      <c r="R287" s="1"/>
      <c r="S287" s="3"/>
      <c r="T287" s="4">
        <f t="shared" si="35"/>
        <v>0</v>
      </c>
      <c r="U287" s="257">
        <f>SUM(T269:T288)</f>
        <v>0</v>
      </c>
      <c r="V287" s="258"/>
      <c r="W287" s="259"/>
    </row>
    <row r="288" spans="2:23" ht="15" thickBot="1">
      <c r="B288" s="286"/>
      <c r="C288" s="287"/>
      <c r="D288" s="287"/>
      <c r="E288" s="287"/>
      <c r="F288" s="287"/>
      <c r="G288" s="66"/>
      <c r="H288" s="67"/>
      <c r="I288" s="68">
        <f t="shared" si="34"/>
        <v>0</v>
      </c>
      <c r="J288" s="260"/>
      <c r="K288" s="261"/>
      <c r="L288" s="262"/>
      <c r="M288" s="286"/>
      <c r="N288" s="287"/>
      <c r="O288" s="287"/>
      <c r="P288" s="287"/>
      <c r="Q288" s="287"/>
      <c r="R288" s="66"/>
      <c r="S288" s="67"/>
      <c r="T288" s="68">
        <f t="shared" si="35"/>
        <v>0</v>
      </c>
      <c r="U288" s="260"/>
      <c r="V288" s="261"/>
      <c r="W288" s="262"/>
    </row>
    <row r="289" spans="2:23" ht="15" thickBot="1">
      <c r="B289" s="417" t="s">
        <v>271</v>
      </c>
      <c r="C289" s="418"/>
      <c r="D289" s="418"/>
      <c r="E289" s="418"/>
      <c r="F289" s="418"/>
      <c r="G289" s="418"/>
      <c r="H289" s="418"/>
      <c r="I289" s="419"/>
      <c r="M289" s="417" t="s">
        <v>271</v>
      </c>
      <c r="N289" s="418"/>
      <c r="O289" s="418"/>
      <c r="P289" s="418"/>
      <c r="Q289" s="418"/>
      <c r="R289" s="418"/>
      <c r="S289" s="418"/>
      <c r="T289" s="419"/>
    </row>
    <row r="290" spans="2:23" ht="15" thickBot="1">
      <c r="B290" s="314" t="s">
        <v>267</v>
      </c>
      <c r="C290" s="315"/>
      <c r="D290" s="315"/>
      <c r="E290" s="315"/>
      <c r="F290" s="315"/>
      <c r="G290" s="71" t="s">
        <v>266</v>
      </c>
      <c r="H290" s="71" t="s">
        <v>0</v>
      </c>
      <c r="I290" s="72" t="s">
        <v>265</v>
      </c>
      <c r="M290" s="314" t="s">
        <v>267</v>
      </c>
      <c r="N290" s="315"/>
      <c r="O290" s="315"/>
      <c r="P290" s="315"/>
      <c r="Q290" s="315"/>
      <c r="R290" s="71" t="s">
        <v>266</v>
      </c>
      <c r="S290" s="71" t="s">
        <v>0</v>
      </c>
      <c r="T290" s="72" t="s">
        <v>265</v>
      </c>
    </row>
    <row r="291" spans="2:23">
      <c r="B291" s="318" t="s">
        <v>272</v>
      </c>
      <c r="C291" s="319"/>
      <c r="D291" s="319"/>
      <c r="E291" s="319"/>
      <c r="F291" s="320"/>
      <c r="G291" s="6"/>
      <c r="H291" s="7">
        <f>$I$23</f>
        <v>220000</v>
      </c>
      <c r="I291" s="69">
        <f t="shared" ref="I291:I296" si="36">G291*H291</f>
        <v>0</v>
      </c>
      <c r="M291" s="318" t="s">
        <v>272</v>
      </c>
      <c r="N291" s="319"/>
      <c r="O291" s="319"/>
      <c r="P291" s="319"/>
      <c r="Q291" s="320"/>
      <c r="R291" s="6"/>
      <c r="S291" s="7">
        <f>$I$23</f>
        <v>220000</v>
      </c>
      <c r="T291" s="69">
        <f t="shared" ref="T291:T296" si="37">R291*S291</f>
        <v>0</v>
      </c>
    </row>
    <row r="292" spans="2:23">
      <c r="B292" s="283" t="s">
        <v>273</v>
      </c>
      <c r="C292" s="284"/>
      <c r="D292" s="284"/>
      <c r="E292" s="284"/>
      <c r="F292" s="285"/>
      <c r="G292" s="1"/>
      <c r="H292" s="7">
        <f>$I$26</f>
        <v>90000</v>
      </c>
      <c r="I292" s="4">
        <f t="shared" si="36"/>
        <v>0</v>
      </c>
      <c r="M292" s="283" t="s">
        <v>273</v>
      </c>
      <c r="N292" s="284"/>
      <c r="O292" s="284"/>
      <c r="P292" s="284"/>
      <c r="Q292" s="285"/>
      <c r="R292" s="1"/>
      <c r="S292" s="7">
        <f>$I$26</f>
        <v>90000</v>
      </c>
      <c r="T292" s="4">
        <f t="shared" si="37"/>
        <v>0</v>
      </c>
    </row>
    <row r="293" spans="2:23">
      <c r="B293" s="283" t="s">
        <v>224</v>
      </c>
      <c r="C293" s="284"/>
      <c r="D293" s="284"/>
      <c r="E293" s="284"/>
      <c r="F293" s="285"/>
      <c r="G293" s="1"/>
      <c r="H293" s="7">
        <f>$I$27</f>
        <v>60000</v>
      </c>
      <c r="I293" s="4">
        <f t="shared" si="36"/>
        <v>0</v>
      </c>
      <c r="M293" s="283" t="s">
        <v>224</v>
      </c>
      <c r="N293" s="284"/>
      <c r="O293" s="284"/>
      <c r="P293" s="284"/>
      <c r="Q293" s="285"/>
      <c r="R293" s="1"/>
      <c r="S293" s="7">
        <f>$I$27</f>
        <v>60000</v>
      </c>
      <c r="T293" s="4">
        <f t="shared" si="37"/>
        <v>0</v>
      </c>
    </row>
    <row r="294" spans="2:23">
      <c r="B294" s="283" t="s">
        <v>274</v>
      </c>
      <c r="C294" s="284"/>
      <c r="D294" s="284"/>
      <c r="E294" s="284"/>
      <c r="F294" s="285"/>
      <c r="G294" s="1"/>
      <c r="H294" s="7">
        <f>$I$26</f>
        <v>90000</v>
      </c>
      <c r="I294" s="4">
        <f t="shared" si="36"/>
        <v>0</v>
      </c>
      <c r="M294" s="283" t="s">
        <v>274</v>
      </c>
      <c r="N294" s="284"/>
      <c r="O294" s="284"/>
      <c r="P294" s="284"/>
      <c r="Q294" s="285"/>
      <c r="R294" s="1"/>
      <c r="S294" s="7">
        <f>$I$26</f>
        <v>90000</v>
      </c>
      <c r="T294" s="4">
        <f t="shared" si="37"/>
        <v>0</v>
      </c>
    </row>
    <row r="295" spans="2:23">
      <c r="B295" s="283" t="s">
        <v>226</v>
      </c>
      <c r="C295" s="284"/>
      <c r="D295" s="284"/>
      <c r="E295" s="284"/>
      <c r="F295" s="285"/>
      <c r="G295" s="1"/>
      <c r="H295" s="7"/>
      <c r="I295" s="4">
        <f t="shared" si="36"/>
        <v>0</v>
      </c>
      <c r="M295" s="283" t="s">
        <v>226</v>
      </c>
      <c r="N295" s="284"/>
      <c r="O295" s="284"/>
      <c r="P295" s="284"/>
      <c r="Q295" s="285"/>
      <c r="R295" s="1"/>
      <c r="S295" s="7"/>
      <c r="T295" s="4">
        <f t="shared" si="37"/>
        <v>0</v>
      </c>
    </row>
    <row r="296" spans="2:23">
      <c r="B296" s="58" t="s">
        <v>227</v>
      </c>
      <c r="C296" s="59"/>
      <c r="D296" s="59"/>
      <c r="E296" s="59"/>
      <c r="F296" s="60"/>
      <c r="G296" s="1"/>
      <c r="H296" s="7"/>
      <c r="I296" s="4">
        <f t="shared" si="36"/>
        <v>0</v>
      </c>
      <c r="M296" s="58" t="s">
        <v>227</v>
      </c>
      <c r="N296" s="59"/>
      <c r="O296" s="59"/>
      <c r="P296" s="59"/>
      <c r="Q296" s="60"/>
      <c r="R296" s="1"/>
      <c r="S296" s="7"/>
      <c r="T296" s="4">
        <f t="shared" si="37"/>
        <v>0</v>
      </c>
    </row>
    <row r="297" spans="2:23">
      <c r="B297" s="58" t="s">
        <v>225</v>
      </c>
      <c r="C297" s="59"/>
      <c r="D297" s="59"/>
      <c r="E297" s="59"/>
      <c r="F297" s="60"/>
      <c r="G297" s="1"/>
      <c r="H297" s="7"/>
      <c r="I297" s="4"/>
      <c r="M297" s="58" t="s">
        <v>225</v>
      </c>
      <c r="N297" s="59"/>
      <c r="O297" s="59"/>
      <c r="P297" s="59"/>
      <c r="Q297" s="60"/>
      <c r="R297" s="1"/>
      <c r="S297" s="7"/>
      <c r="T297" s="4"/>
    </row>
    <row r="298" spans="2:23" ht="15" thickBot="1">
      <c r="B298" s="58"/>
      <c r="C298" s="59"/>
      <c r="D298" s="59"/>
      <c r="E298" s="59"/>
      <c r="F298" s="60"/>
      <c r="G298" s="1"/>
      <c r="H298" s="3"/>
      <c r="I298" s="4">
        <f t="shared" ref="I298:I302" si="38">G298*H298</f>
        <v>0</v>
      </c>
      <c r="M298" s="58"/>
      <c r="N298" s="59"/>
      <c r="O298" s="59"/>
      <c r="P298" s="59"/>
      <c r="Q298" s="60"/>
      <c r="R298" s="1"/>
      <c r="S298" s="3"/>
      <c r="T298" s="4">
        <f t="shared" ref="T298:T302" si="39">R298*S298</f>
        <v>0</v>
      </c>
    </row>
    <row r="299" spans="2:23">
      <c r="B299" s="283"/>
      <c r="C299" s="284"/>
      <c r="D299" s="284"/>
      <c r="E299" s="284"/>
      <c r="F299" s="285"/>
      <c r="G299" s="1"/>
      <c r="H299" s="3"/>
      <c r="I299" s="4">
        <f t="shared" si="38"/>
        <v>0</v>
      </c>
      <c r="J299" s="308" t="s">
        <v>275</v>
      </c>
      <c r="K299" s="309"/>
      <c r="L299" s="310"/>
      <c r="M299" s="283"/>
      <c r="N299" s="284"/>
      <c r="O299" s="284"/>
      <c r="P299" s="284"/>
      <c r="Q299" s="285"/>
      <c r="R299" s="1"/>
      <c r="S299" s="3"/>
      <c r="T299" s="4">
        <f t="shared" si="39"/>
        <v>0</v>
      </c>
      <c r="U299" s="308" t="s">
        <v>275</v>
      </c>
      <c r="V299" s="309"/>
      <c r="W299" s="310"/>
    </row>
    <row r="300" spans="2:23" ht="15" thickBot="1">
      <c r="B300" s="283"/>
      <c r="C300" s="284"/>
      <c r="D300" s="284"/>
      <c r="E300" s="284"/>
      <c r="F300" s="285"/>
      <c r="G300" s="1"/>
      <c r="H300" s="3"/>
      <c r="I300" s="4">
        <f t="shared" si="38"/>
        <v>0</v>
      </c>
      <c r="J300" s="311"/>
      <c r="K300" s="312"/>
      <c r="L300" s="313"/>
      <c r="M300" s="283"/>
      <c r="N300" s="284"/>
      <c r="O300" s="284"/>
      <c r="P300" s="284"/>
      <c r="Q300" s="285"/>
      <c r="R300" s="1"/>
      <c r="S300" s="3"/>
      <c r="T300" s="4">
        <f t="shared" si="39"/>
        <v>0</v>
      </c>
      <c r="U300" s="311"/>
      <c r="V300" s="312"/>
      <c r="W300" s="313"/>
    </row>
    <row r="301" spans="2:23">
      <c r="B301" s="283"/>
      <c r="C301" s="284"/>
      <c r="D301" s="284"/>
      <c r="E301" s="284"/>
      <c r="F301" s="285"/>
      <c r="G301" s="1"/>
      <c r="H301" s="3"/>
      <c r="I301" s="4">
        <f t="shared" si="38"/>
        <v>0</v>
      </c>
      <c r="J301" s="257">
        <f>SUM(I291:I302)</f>
        <v>0</v>
      </c>
      <c r="K301" s="258"/>
      <c r="L301" s="259"/>
      <c r="M301" s="283"/>
      <c r="N301" s="284"/>
      <c r="O301" s="284"/>
      <c r="P301" s="284"/>
      <c r="Q301" s="285"/>
      <c r="R301" s="1"/>
      <c r="S301" s="3"/>
      <c r="T301" s="4">
        <f t="shared" si="39"/>
        <v>0</v>
      </c>
      <c r="U301" s="257">
        <f>SUM(T291:T302)</f>
        <v>0</v>
      </c>
      <c r="V301" s="258"/>
      <c r="W301" s="259"/>
    </row>
    <row r="302" spans="2:23" ht="15" thickBot="1">
      <c r="B302" s="73"/>
      <c r="C302" s="74"/>
      <c r="D302" s="74"/>
      <c r="E302" s="74"/>
      <c r="F302" s="75"/>
      <c r="G302" s="66"/>
      <c r="H302" s="67"/>
      <c r="I302" s="68">
        <f t="shared" si="38"/>
        <v>0</v>
      </c>
      <c r="J302" s="260"/>
      <c r="K302" s="261"/>
      <c r="L302" s="262"/>
      <c r="M302" s="73"/>
      <c r="N302" s="74"/>
      <c r="O302" s="74"/>
      <c r="P302" s="74"/>
      <c r="Q302" s="75"/>
      <c r="R302" s="66"/>
      <c r="S302" s="67"/>
      <c r="T302" s="68">
        <f t="shared" si="39"/>
        <v>0</v>
      </c>
      <c r="U302" s="260"/>
      <c r="V302" s="261"/>
      <c r="W302" s="262"/>
    </row>
    <row r="303" spans="2:23" ht="16.2" thickBot="1">
      <c r="B303" s="394" t="s">
        <v>25</v>
      </c>
      <c r="C303" s="395"/>
      <c r="D303" s="395"/>
      <c r="E303" s="395"/>
      <c r="F303" s="395"/>
      <c r="G303" s="395"/>
      <c r="H303" s="395"/>
      <c r="I303" s="396"/>
      <c r="J303" s="65"/>
      <c r="K303" s="65"/>
      <c r="L303" s="65"/>
      <c r="M303" s="394" t="s">
        <v>25</v>
      </c>
      <c r="N303" s="395"/>
      <c r="O303" s="395"/>
      <c r="P303" s="395"/>
      <c r="Q303" s="395"/>
      <c r="R303" s="395"/>
      <c r="S303" s="395"/>
      <c r="T303" s="396"/>
      <c r="U303" s="65"/>
      <c r="V303" s="65"/>
      <c r="W303" s="65"/>
    </row>
    <row r="304" spans="2:23" ht="16.2" thickBot="1">
      <c r="B304" s="400" t="s">
        <v>267</v>
      </c>
      <c r="C304" s="401"/>
      <c r="D304" s="401"/>
      <c r="E304" s="401"/>
      <c r="F304" s="401"/>
      <c r="G304" s="84" t="s">
        <v>266</v>
      </c>
      <c r="H304" s="85" t="s">
        <v>0</v>
      </c>
      <c r="I304" s="86" t="s">
        <v>265</v>
      </c>
      <c r="J304" s="65"/>
      <c r="K304" s="65"/>
      <c r="L304" s="65"/>
      <c r="M304" s="400" t="s">
        <v>267</v>
      </c>
      <c r="N304" s="401"/>
      <c r="O304" s="401"/>
      <c r="P304" s="401"/>
      <c r="Q304" s="401"/>
      <c r="R304" s="84" t="s">
        <v>266</v>
      </c>
      <c r="S304" s="85" t="s">
        <v>0</v>
      </c>
      <c r="T304" s="86" t="s">
        <v>265</v>
      </c>
      <c r="U304" s="65"/>
      <c r="V304" s="65"/>
      <c r="W304" s="65"/>
    </row>
    <row r="305" spans="2:23" ht="15.6">
      <c r="B305" s="397" t="s">
        <v>31</v>
      </c>
      <c r="C305" s="398"/>
      <c r="D305" s="398"/>
      <c r="E305" s="398"/>
      <c r="F305" s="399"/>
      <c r="G305" s="6"/>
      <c r="H305" s="7">
        <f>$R$4</f>
        <v>300000</v>
      </c>
      <c r="I305" s="4">
        <f t="shared" ref="I305:I307" si="40">G305*H305</f>
        <v>0</v>
      </c>
      <c r="J305" s="65"/>
      <c r="K305" s="65"/>
      <c r="L305" s="65"/>
      <c r="M305" s="397" t="s">
        <v>31</v>
      </c>
      <c r="N305" s="398"/>
      <c r="O305" s="398"/>
      <c r="P305" s="398"/>
      <c r="Q305" s="399"/>
      <c r="R305" s="6"/>
      <c r="S305" s="7">
        <f>$R$4</f>
        <v>300000</v>
      </c>
      <c r="T305" s="4">
        <f t="shared" ref="T305:T307" si="41">R305*S305</f>
        <v>0</v>
      </c>
      <c r="U305" s="65"/>
      <c r="V305" s="65"/>
      <c r="W305" s="65"/>
    </row>
    <row r="306" spans="2:23" ht="15.6">
      <c r="B306" s="277" t="s">
        <v>11</v>
      </c>
      <c r="C306" s="278"/>
      <c r="D306" s="278"/>
      <c r="E306" s="278"/>
      <c r="F306" s="279"/>
      <c r="G306" s="1"/>
      <c r="H306" s="7">
        <f>$R$5</f>
        <v>250000</v>
      </c>
      <c r="I306" s="4">
        <f t="shared" si="40"/>
        <v>0</v>
      </c>
      <c r="J306" s="65"/>
      <c r="K306" s="65"/>
      <c r="L306" s="65"/>
      <c r="M306" s="277" t="s">
        <v>11</v>
      </c>
      <c r="N306" s="278"/>
      <c r="O306" s="278"/>
      <c r="P306" s="278"/>
      <c r="Q306" s="279"/>
      <c r="R306" s="1"/>
      <c r="S306" s="7">
        <f>$R$5</f>
        <v>250000</v>
      </c>
      <c r="T306" s="4">
        <f t="shared" si="41"/>
        <v>0</v>
      </c>
      <c r="U306" s="65"/>
      <c r="V306" s="65"/>
      <c r="W306" s="65"/>
    </row>
    <row r="307" spans="2:23" ht="15.6">
      <c r="B307" s="277" t="s">
        <v>32</v>
      </c>
      <c r="C307" s="278"/>
      <c r="D307" s="278"/>
      <c r="E307" s="278"/>
      <c r="F307" s="279"/>
      <c r="G307" s="1"/>
      <c r="H307" s="7">
        <f>$R$6</f>
        <v>65000</v>
      </c>
      <c r="I307" s="4">
        <f t="shared" si="40"/>
        <v>0</v>
      </c>
      <c r="J307" s="65"/>
      <c r="K307" s="65"/>
      <c r="L307" s="65"/>
      <c r="M307" s="277" t="s">
        <v>32</v>
      </c>
      <c r="N307" s="278"/>
      <c r="O307" s="278"/>
      <c r="P307" s="278"/>
      <c r="Q307" s="279"/>
      <c r="R307" s="1"/>
      <c r="S307" s="7">
        <f>$R$6</f>
        <v>65000</v>
      </c>
      <c r="T307" s="4">
        <f t="shared" si="41"/>
        <v>0</v>
      </c>
      <c r="U307" s="65"/>
      <c r="V307" s="65"/>
      <c r="W307" s="65"/>
    </row>
    <row r="308" spans="2:23">
      <c r="B308" s="277" t="s">
        <v>327</v>
      </c>
      <c r="C308" s="278"/>
      <c r="D308" s="278"/>
      <c r="E308" s="278"/>
      <c r="F308" s="279"/>
      <c r="G308" s="1"/>
      <c r="H308" s="7">
        <f>$R$7</f>
        <v>30000</v>
      </c>
      <c r="I308" s="4">
        <f>G308*H308</f>
        <v>0</v>
      </c>
      <c r="M308" s="277" t="s">
        <v>327</v>
      </c>
      <c r="N308" s="278"/>
      <c r="O308" s="278"/>
      <c r="P308" s="278"/>
      <c r="Q308" s="279"/>
      <c r="R308" s="1"/>
      <c r="S308" s="7">
        <f>$R$7</f>
        <v>30000</v>
      </c>
      <c r="T308" s="4">
        <f>R308*S308</f>
        <v>0</v>
      </c>
    </row>
    <row r="309" spans="2:23">
      <c r="B309" s="277" t="s">
        <v>100</v>
      </c>
      <c r="C309" s="278"/>
      <c r="D309" s="278"/>
      <c r="E309" s="278"/>
      <c r="F309" s="279"/>
      <c r="G309" s="1"/>
      <c r="H309" s="7">
        <f>$R$8</f>
        <v>30000</v>
      </c>
      <c r="I309" s="4">
        <f t="shared" ref="I309:I316" si="42">G309*H309</f>
        <v>0</v>
      </c>
      <c r="M309" s="277" t="s">
        <v>100</v>
      </c>
      <c r="N309" s="278"/>
      <c r="O309" s="278"/>
      <c r="P309" s="278"/>
      <c r="Q309" s="279"/>
      <c r="R309" s="1"/>
      <c r="S309" s="7">
        <f>$R$8</f>
        <v>30000</v>
      </c>
      <c r="T309" s="4">
        <f t="shared" ref="T309:T316" si="43">R309*S309</f>
        <v>0</v>
      </c>
    </row>
    <row r="310" spans="2:23">
      <c r="B310" s="277" t="s">
        <v>328</v>
      </c>
      <c r="C310" s="278"/>
      <c r="D310" s="278"/>
      <c r="E310" s="278"/>
      <c r="F310" s="279"/>
      <c r="G310" s="1"/>
      <c r="H310" s="7">
        <f>$R$9</f>
        <v>50000</v>
      </c>
      <c r="I310" s="4">
        <f t="shared" si="42"/>
        <v>0</v>
      </c>
      <c r="M310" s="277" t="s">
        <v>328</v>
      </c>
      <c r="N310" s="278"/>
      <c r="O310" s="278"/>
      <c r="P310" s="278"/>
      <c r="Q310" s="279"/>
      <c r="R310" s="1"/>
      <c r="S310" s="7">
        <f>$R$9</f>
        <v>50000</v>
      </c>
      <c r="T310" s="4">
        <f t="shared" si="43"/>
        <v>0</v>
      </c>
    </row>
    <row r="311" spans="2:23">
      <c r="B311" s="277" t="s">
        <v>325</v>
      </c>
      <c r="C311" s="278"/>
      <c r="D311" s="278"/>
      <c r="E311" s="278"/>
      <c r="F311" s="279"/>
      <c r="G311" s="1"/>
      <c r="H311" s="7">
        <f>$R$10</f>
        <v>15000</v>
      </c>
      <c r="I311" s="4">
        <f t="shared" si="42"/>
        <v>0</v>
      </c>
      <c r="M311" s="277" t="s">
        <v>325</v>
      </c>
      <c r="N311" s="278"/>
      <c r="O311" s="278"/>
      <c r="P311" s="278"/>
      <c r="Q311" s="279"/>
      <c r="R311" s="1"/>
      <c r="S311" s="7">
        <f>$R$10</f>
        <v>15000</v>
      </c>
      <c r="T311" s="4">
        <f t="shared" si="43"/>
        <v>0</v>
      </c>
    </row>
    <row r="312" spans="2:23" ht="15" thickBot="1">
      <c r="B312" s="277" t="s">
        <v>326</v>
      </c>
      <c r="C312" s="278"/>
      <c r="D312" s="278"/>
      <c r="E312" s="278"/>
      <c r="F312" s="279"/>
      <c r="G312" s="1"/>
      <c r="H312" s="7">
        <f>$R$11</f>
        <v>15000</v>
      </c>
      <c r="I312" s="4">
        <f t="shared" si="42"/>
        <v>0</v>
      </c>
      <c r="M312" s="277" t="s">
        <v>326</v>
      </c>
      <c r="N312" s="278"/>
      <c r="O312" s="278"/>
      <c r="P312" s="278"/>
      <c r="Q312" s="279"/>
      <c r="R312" s="1"/>
      <c r="S312" s="7">
        <f>$R$11</f>
        <v>15000</v>
      </c>
      <c r="T312" s="4">
        <f t="shared" si="43"/>
        <v>0</v>
      </c>
    </row>
    <row r="313" spans="2:23">
      <c r="B313" s="55" t="s">
        <v>276</v>
      </c>
      <c r="C313" s="56"/>
      <c r="D313" s="56"/>
      <c r="E313" s="56"/>
      <c r="F313" s="57"/>
      <c r="G313" s="1"/>
      <c r="H313" s="7">
        <f>$R$12</f>
        <v>75000</v>
      </c>
      <c r="I313" s="4">
        <f t="shared" si="42"/>
        <v>0</v>
      </c>
      <c r="J313" s="308" t="s">
        <v>275</v>
      </c>
      <c r="K313" s="309"/>
      <c r="L313" s="310"/>
      <c r="M313" s="55" t="s">
        <v>276</v>
      </c>
      <c r="N313" s="56"/>
      <c r="O313" s="56"/>
      <c r="P313" s="56"/>
      <c r="Q313" s="57"/>
      <c r="R313" s="1"/>
      <c r="S313" s="7">
        <f>$R$12</f>
        <v>75000</v>
      </c>
      <c r="T313" s="4">
        <f t="shared" si="43"/>
        <v>0</v>
      </c>
      <c r="U313" s="308" t="s">
        <v>275</v>
      </c>
      <c r="V313" s="309"/>
      <c r="W313" s="310"/>
    </row>
    <row r="314" spans="2:23" ht="15" thickBot="1">
      <c r="B314" s="55" t="s">
        <v>277</v>
      </c>
      <c r="C314" s="56"/>
      <c r="D314" s="56"/>
      <c r="E314" s="56"/>
      <c r="F314" s="57"/>
      <c r="G314" s="1"/>
      <c r="H314" s="7">
        <f>$R$13</f>
        <v>75000</v>
      </c>
      <c r="I314" s="4">
        <f t="shared" si="42"/>
        <v>0</v>
      </c>
      <c r="J314" s="311"/>
      <c r="K314" s="312"/>
      <c r="L314" s="313"/>
      <c r="M314" s="55" t="s">
        <v>277</v>
      </c>
      <c r="N314" s="56"/>
      <c r="O314" s="56"/>
      <c r="P314" s="56"/>
      <c r="Q314" s="57"/>
      <c r="R314" s="1"/>
      <c r="S314" s="7">
        <f>$R$13</f>
        <v>75000</v>
      </c>
      <c r="T314" s="4">
        <f t="shared" si="43"/>
        <v>0</v>
      </c>
      <c r="U314" s="311"/>
      <c r="V314" s="312"/>
      <c r="W314" s="313"/>
    </row>
    <row r="315" spans="2:23">
      <c r="B315" s="277" t="s">
        <v>75</v>
      </c>
      <c r="C315" s="278"/>
      <c r="D315" s="278"/>
      <c r="E315" s="278"/>
      <c r="F315" s="279"/>
      <c r="G315" s="1"/>
      <c r="H315" s="7">
        <f>$R$14</f>
        <v>30000</v>
      </c>
      <c r="I315" s="4">
        <f t="shared" si="42"/>
        <v>0</v>
      </c>
      <c r="J315" s="257">
        <f>SUM(I305:I316)</f>
        <v>0</v>
      </c>
      <c r="K315" s="258"/>
      <c r="L315" s="259"/>
      <c r="M315" s="277" t="s">
        <v>347</v>
      </c>
      <c r="N315" s="278"/>
      <c r="O315" s="278"/>
      <c r="P315" s="278"/>
      <c r="Q315" s="279"/>
      <c r="R315" s="1"/>
      <c r="S315" s="7">
        <f>$R$14</f>
        <v>30000</v>
      </c>
      <c r="T315" s="4">
        <f t="shared" si="43"/>
        <v>0</v>
      </c>
      <c r="U315" s="257">
        <f>SUM(T305:T316)</f>
        <v>0</v>
      </c>
      <c r="V315" s="258"/>
      <c r="W315" s="259"/>
    </row>
    <row r="316" spans="2:23" ht="15" thickBot="1">
      <c r="B316" s="277" t="s">
        <v>12</v>
      </c>
      <c r="C316" s="278"/>
      <c r="D316" s="278"/>
      <c r="E316" s="278"/>
      <c r="F316" s="279"/>
      <c r="G316" s="66"/>
      <c r="H316" s="7">
        <f>$R$15</f>
        <v>12000</v>
      </c>
      <c r="I316" s="4">
        <f t="shared" si="42"/>
        <v>0</v>
      </c>
      <c r="J316" s="260"/>
      <c r="K316" s="261"/>
      <c r="L316" s="262"/>
      <c r="M316" s="277" t="s">
        <v>12</v>
      </c>
      <c r="N316" s="278"/>
      <c r="O316" s="278"/>
      <c r="P316" s="278"/>
      <c r="Q316" s="279"/>
      <c r="R316" s="66"/>
      <c r="S316" s="7">
        <f>$R$15</f>
        <v>12000</v>
      </c>
      <c r="T316" s="4">
        <f t="shared" si="43"/>
        <v>0</v>
      </c>
      <c r="U316" s="260"/>
      <c r="V316" s="261"/>
      <c r="W316" s="262"/>
    </row>
    <row r="317" spans="2:23" ht="15" thickBot="1">
      <c r="B317" s="402" t="s">
        <v>27</v>
      </c>
      <c r="C317" s="403"/>
      <c r="D317" s="403"/>
      <c r="E317" s="403"/>
      <c r="F317" s="403"/>
      <c r="G317" s="403"/>
      <c r="H317" s="403"/>
      <c r="I317" s="404"/>
      <c r="M317" s="402" t="s">
        <v>27</v>
      </c>
      <c r="N317" s="403"/>
      <c r="O317" s="403"/>
      <c r="P317" s="403"/>
      <c r="Q317" s="403"/>
      <c r="R317" s="403"/>
      <c r="S317" s="403"/>
      <c r="T317" s="404"/>
    </row>
    <row r="318" spans="2:23" ht="15" thickBot="1">
      <c r="B318" s="402" t="s">
        <v>267</v>
      </c>
      <c r="C318" s="403"/>
      <c r="D318" s="403"/>
      <c r="E318" s="403"/>
      <c r="F318" s="403"/>
      <c r="G318" s="76" t="s">
        <v>266</v>
      </c>
      <c r="H318" s="76" t="s">
        <v>0</v>
      </c>
      <c r="I318" s="77" t="s">
        <v>265</v>
      </c>
      <c r="M318" s="402" t="s">
        <v>267</v>
      </c>
      <c r="N318" s="403"/>
      <c r="O318" s="403"/>
      <c r="P318" s="403"/>
      <c r="Q318" s="403"/>
      <c r="R318" s="76" t="s">
        <v>266</v>
      </c>
      <c r="S318" s="76" t="s">
        <v>0</v>
      </c>
      <c r="T318" s="77" t="s">
        <v>265</v>
      </c>
    </row>
    <row r="319" spans="2:23">
      <c r="B319" s="373" t="s">
        <v>315</v>
      </c>
      <c r="C319" s="374"/>
      <c r="D319" s="374"/>
      <c r="E319" s="374"/>
      <c r="F319" s="375"/>
      <c r="G319" s="6"/>
      <c r="H319" s="7"/>
      <c r="I319" s="4">
        <f t="shared" ref="I319:I330" si="44">G319*H319</f>
        <v>0</v>
      </c>
      <c r="M319" s="373" t="s">
        <v>348</v>
      </c>
      <c r="N319" s="374"/>
      <c r="O319" s="374"/>
      <c r="P319" s="374"/>
      <c r="Q319" s="375"/>
      <c r="R319" s="6"/>
      <c r="S319" s="7"/>
      <c r="T319" s="4">
        <f t="shared" ref="T319:T330" si="45">R319*S319</f>
        <v>0</v>
      </c>
    </row>
    <row r="320" spans="2:23">
      <c r="B320" s="373" t="s">
        <v>316</v>
      </c>
      <c r="C320" s="374"/>
      <c r="D320" s="374"/>
      <c r="E320" s="374"/>
      <c r="F320" s="375"/>
      <c r="G320" s="1"/>
      <c r="H320" s="3"/>
      <c r="I320" s="4">
        <f t="shared" si="44"/>
        <v>0</v>
      </c>
      <c r="M320" s="373" t="s">
        <v>349</v>
      </c>
      <c r="N320" s="374"/>
      <c r="O320" s="374"/>
      <c r="P320" s="374"/>
      <c r="Q320" s="375"/>
      <c r="R320" s="1"/>
      <c r="S320" s="3"/>
      <c r="T320" s="4">
        <f t="shared" si="45"/>
        <v>0</v>
      </c>
    </row>
    <row r="321" spans="2:23">
      <c r="B321" s="263" t="s">
        <v>280</v>
      </c>
      <c r="C321" s="264"/>
      <c r="D321" s="264"/>
      <c r="E321" s="264"/>
      <c r="F321" s="265"/>
      <c r="G321" s="1"/>
      <c r="H321" s="3"/>
      <c r="I321" s="4">
        <f t="shared" si="44"/>
        <v>0</v>
      </c>
      <c r="M321" s="263" t="s">
        <v>280</v>
      </c>
      <c r="N321" s="264"/>
      <c r="O321" s="264"/>
      <c r="P321" s="264"/>
      <c r="Q321" s="265"/>
      <c r="R321" s="1"/>
      <c r="S321" s="3"/>
      <c r="T321" s="4">
        <f t="shared" si="45"/>
        <v>0</v>
      </c>
    </row>
    <row r="322" spans="2:23">
      <c r="B322" s="263" t="s">
        <v>94</v>
      </c>
      <c r="C322" s="264"/>
      <c r="D322" s="264"/>
      <c r="E322" s="264"/>
      <c r="F322" s="265"/>
      <c r="G322" s="1"/>
      <c r="H322" s="3"/>
      <c r="I322" s="4">
        <f t="shared" si="44"/>
        <v>0</v>
      </c>
      <c r="M322" s="263" t="s">
        <v>94</v>
      </c>
      <c r="N322" s="264"/>
      <c r="O322" s="264"/>
      <c r="P322" s="264"/>
      <c r="Q322" s="265"/>
      <c r="R322" s="1"/>
      <c r="S322" s="3"/>
      <c r="T322" s="4">
        <f t="shared" si="45"/>
        <v>0</v>
      </c>
    </row>
    <row r="323" spans="2:23">
      <c r="B323" s="52" t="s">
        <v>282</v>
      </c>
      <c r="C323" s="53"/>
      <c r="D323" s="53"/>
      <c r="E323" s="53"/>
      <c r="F323" s="54"/>
      <c r="G323" s="1"/>
      <c r="H323" s="3"/>
      <c r="I323" s="4">
        <f t="shared" si="44"/>
        <v>0</v>
      </c>
      <c r="M323" s="52" t="s">
        <v>283</v>
      </c>
      <c r="N323" s="53"/>
      <c r="O323" s="53"/>
      <c r="P323" s="53"/>
      <c r="Q323" s="54"/>
      <c r="R323" s="1"/>
      <c r="S323" s="3"/>
      <c r="T323" s="4">
        <f t="shared" si="45"/>
        <v>0</v>
      </c>
    </row>
    <row r="324" spans="2:23">
      <c r="B324" s="263" t="s">
        <v>317</v>
      </c>
      <c r="C324" s="264"/>
      <c r="D324" s="264"/>
      <c r="E324" s="264"/>
      <c r="F324" s="265"/>
      <c r="G324" s="1"/>
      <c r="H324" s="3"/>
      <c r="I324" s="4">
        <f t="shared" si="44"/>
        <v>0</v>
      </c>
      <c r="M324" s="263" t="s">
        <v>350</v>
      </c>
      <c r="N324" s="264"/>
      <c r="O324" s="264"/>
      <c r="P324" s="264"/>
      <c r="Q324" s="265"/>
      <c r="R324" s="1"/>
      <c r="S324" s="3"/>
      <c r="T324" s="4">
        <f t="shared" si="45"/>
        <v>0</v>
      </c>
    </row>
    <row r="325" spans="2:23">
      <c r="B325" s="263" t="s">
        <v>286</v>
      </c>
      <c r="C325" s="264"/>
      <c r="D325" s="264"/>
      <c r="E325" s="264"/>
      <c r="F325" s="265"/>
      <c r="G325" s="1"/>
      <c r="H325" s="3"/>
      <c r="I325" s="4">
        <f t="shared" si="44"/>
        <v>0</v>
      </c>
      <c r="M325" s="263" t="s">
        <v>287</v>
      </c>
      <c r="N325" s="264"/>
      <c r="O325" s="264"/>
      <c r="P325" s="264"/>
      <c r="Q325" s="265"/>
      <c r="R325" s="1"/>
      <c r="S325" s="3"/>
      <c r="T325" s="4">
        <f t="shared" si="45"/>
        <v>0</v>
      </c>
    </row>
    <row r="326" spans="2:23" ht="15" thickBot="1">
      <c r="B326" s="52" t="s">
        <v>318</v>
      </c>
      <c r="C326" s="53"/>
      <c r="D326" s="53"/>
      <c r="E326" s="53"/>
      <c r="F326" s="54"/>
      <c r="G326" s="1"/>
      <c r="H326" s="3"/>
      <c r="I326" s="4">
        <f t="shared" si="44"/>
        <v>0</v>
      </c>
      <c r="M326" s="52" t="s">
        <v>351</v>
      </c>
      <c r="N326" s="53"/>
      <c r="O326" s="53"/>
      <c r="P326" s="53"/>
      <c r="Q326" s="54"/>
      <c r="R326" s="1"/>
      <c r="S326" s="3"/>
      <c r="T326" s="4">
        <f t="shared" si="45"/>
        <v>0</v>
      </c>
    </row>
    <row r="327" spans="2:23">
      <c r="B327" s="263" t="s">
        <v>319</v>
      </c>
      <c r="C327" s="264"/>
      <c r="D327" s="264"/>
      <c r="E327" s="264"/>
      <c r="F327" s="265"/>
      <c r="G327" s="1"/>
      <c r="H327" s="3"/>
      <c r="I327" s="4">
        <f t="shared" si="44"/>
        <v>0</v>
      </c>
      <c r="J327" s="308" t="s">
        <v>275</v>
      </c>
      <c r="K327" s="309"/>
      <c r="L327" s="310"/>
      <c r="M327" s="263" t="s">
        <v>352</v>
      </c>
      <c r="N327" s="264"/>
      <c r="O327" s="264"/>
      <c r="P327" s="264"/>
      <c r="Q327" s="265"/>
      <c r="R327" s="1"/>
      <c r="S327" s="3"/>
      <c r="T327" s="4">
        <f t="shared" si="45"/>
        <v>0</v>
      </c>
      <c r="U327" s="308" t="s">
        <v>275</v>
      </c>
      <c r="V327" s="309"/>
      <c r="W327" s="310"/>
    </row>
    <row r="328" spans="2:23" ht="15" thickBot="1">
      <c r="B328" s="263" t="s">
        <v>320</v>
      </c>
      <c r="C328" s="264"/>
      <c r="D328" s="264"/>
      <c r="E328" s="264"/>
      <c r="F328" s="265"/>
      <c r="G328" s="1"/>
      <c r="H328" s="3"/>
      <c r="I328" s="4">
        <f t="shared" si="44"/>
        <v>0</v>
      </c>
      <c r="J328" s="311"/>
      <c r="K328" s="312"/>
      <c r="L328" s="313"/>
      <c r="M328" s="263" t="s">
        <v>353</v>
      </c>
      <c r="N328" s="264"/>
      <c r="O328" s="264"/>
      <c r="P328" s="264"/>
      <c r="Q328" s="265"/>
      <c r="R328" s="1"/>
      <c r="S328" s="3"/>
      <c r="T328" s="4">
        <f t="shared" si="45"/>
        <v>0</v>
      </c>
      <c r="U328" s="311"/>
      <c r="V328" s="312"/>
      <c r="W328" s="313"/>
    </row>
    <row r="329" spans="2:23">
      <c r="B329" s="263"/>
      <c r="C329" s="264"/>
      <c r="D329" s="264"/>
      <c r="E329" s="264"/>
      <c r="F329" s="265"/>
      <c r="G329" s="1"/>
      <c r="H329" s="3"/>
      <c r="I329" s="4">
        <f t="shared" si="44"/>
        <v>0</v>
      </c>
      <c r="J329" s="257">
        <f>SUM(I319:I330)</f>
        <v>0</v>
      </c>
      <c r="K329" s="258"/>
      <c r="L329" s="259"/>
      <c r="M329" s="263"/>
      <c r="N329" s="264"/>
      <c r="O329" s="264"/>
      <c r="P329" s="264"/>
      <c r="Q329" s="265"/>
      <c r="R329" s="1"/>
      <c r="S329" s="3"/>
      <c r="T329" s="4">
        <f t="shared" si="45"/>
        <v>0</v>
      </c>
      <c r="U329" s="257">
        <f>SUM(T319:T330)</f>
        <v>0</v>
      </c>
      <c r="V329" s="258"/>
      <c r="W329" s="259"/>
    </row>
    <row r="330" spans="2:23" ht="15" thickBot="1">
      <c r="B330" s="405"/>
      <c r="C330" s="406"/>
      <c r="D330" s="406"/>
      <c r="E330" s="406"/>
      <c r="F330" s="407"/>
      <c r="G330" s="66"/>
      <c r="H330" s="67"/>
      <c r="I330" s="68">
        <f t="shared" si="44"/>
        <v>0</v>
      </c>
      <c r="J330" s="260"/>
      <c r="K330" s="261"/>
      <c r="L330" s="262"/>
      <c r="M330" s="405"/>
      <c r="N330" s="406"/>
      <c r="O330" s="406"/>
      <c r="P330" s="406"/>
      <c r="Q330" s="407"/>
      <c r="R330" s="66"/>
      <c r="S330" s="67"/>
      <c r="T330" s="68">
        <f t="shared" si="45"/>
        <v>0</v>
      </c>
      <c r="U330" s="260"/>
      <c r="V330" s="261"/>
      <c r="W330" s="262"/>
    </row>
    <row r="331" spans="2:23" ht="16.2" thickBot="1">
      <c r="B331" s="367" t="s">
        <v>26</v>
      </c>
      <c r="C331" s="368"/>
      <c r="D331" s="368"/>
      <c r="E331" s="368"/>
      <c r="F331" s="368"/>
      <c r="G331" s="368"/>
      <c r="H331" s="368"/>
      <c r="I331" s="369"/>
      <c r="J331" s="65"/>
      <c r="K331" s="65"/>
      <c r="L331" s="65"/>
      <c r="M331" s="367" t="s">
        <v>26</v>
      </c>
      <c r="N331" s="368"/>
      <c r="O331" s="368"/>
      <c r="P331" s="368"/>
      <c r="Q331" s="368"/>
      <c r="R331" s="368"/>
      <c r="S331" s="368"/>
      <c r="T331" s="369"/>
      <c r="U331" s="65"/>
      <c r="V331" s="65"/>
      <c r="W331" s="65"/>
    </row>
    <row r="332" spans="2:23" ht="16.2" thickBot="1">
      <c r="B332" s="367" t="s">
        <v>267</v>
      </c>
      <c r="C332" s="368"/>
      <c r="D332" s="368"/>
      <c r="E332" s="368"/>
      <c r="F332" s="368"/>
      <c r="G332" s="87" t="s">
        <v>266</v>
      </c>
      <c r="H332" s="87" t="s">
        <v>0</v>
      </c>
      <c r="I332" s="88" t="s">
        <v>265</v>
      </c>
      <c r="J332" s="65"/>
      <c r="K332" s="65"/>
      <c r="L332" s="65"/>
      <c r="M332" s="367" t="s">
        <v>267</v>
      </c>
      <c r="N332" s="368"/>
      <c r="O332" s="368"/>
      <c r="P332" s="368"/>
      <c r="Q332" s="368"/>
      <c r="R332" s="87" t="s">
        <v>266</v>
      </c>
      <c r="S332" s="87" t="s">
        <v>0</v>
      </c>
      <c r="T332" s="88" t="s">
        <v>265</v>
      </c>
      <c r="U332" s="65"/>
      <c r="V332" s="65"/>
      <c r="W332" s="65"/>
    </row>
    <row r="333" spans="2:23">
      <c r="B333" s="408" t="s">
        <v>296</v>
      </c>
      <c r="C333" s="409"/>
      <c r="D333" s="409"/>
      <c r="E333" s="409"/>
      <c r="F333" s="410"/>
      <c r="G333" s="81"/>
      <c r="H333" s="82"/>
      <c r="I333" s="83">
        <f t="shared" ref="I333:I349" si="46">G333*H333</f>
        <v>0</v>
      </c>
      <c r="M333" s="408" t="s">
        <v>296</v>
      </c>
      <c r="N333" s="409"/>
      <c r="O333" s="409"/>
      <c r="P333" s="409"/>
      <c r="Q333" s="410"/>
      <c r="R333" s="81"/>
      <c r="S333" s="82"/>
      <c r="T333" s="83">
        <f t="shared" ref="T333:T349" si="47">R333*S333</f>
        <v>0</v>
      </c>
    </row>
    <row r="334" spans="2:23">
      <c r="B334" s="268" t="s">
        <v>295</v>
      </c>
      <c r="C334" s="269"/>
      <c r="D334" s="269"/>
      <c r="E334" s="269"/>
      <c r="F334" s="270"/>
      <c r="G334" s="1"/>
      <c r="H334" s="3"/>
      <c r="I334" s="4">
        <f t="shared" si="46"/>
        <v>0</v>
      </c>
      <c r="M334" s="268" t="s">
        <v>295</v>
      </c>
      <c r="N334" s="269"/>
      <c r="O334" s="269"/>
      <c r="P334" s="269"/>
      <c r="Q334" s="270"/>
      <c r="R334" s="1"/>
      <c r="S334" s="3"/>
      <c r="T334" s="4">
        <f t="shared" si="47"/>
        <v>0</v>
      </c>
    </row>
    <row r="335" spans="2:23">
      <c r="B335" s="268" t="s">
        <v>330</v>
      </c>
      <c r="C335" s="269"/>
      <c r="D335" s="269"/>
      <c r="E335" s="269"/>
      <c r="F335" s="270"/>
      <c r="G335" s="1"/>
      <c r="H335" s="3"/>
      <c r="I335" s="4">
        <f t="shared" si="46"/>
        <v>0</v>
      </c>
      <c r="M335" s="268" t="s">
        <v>330</v>
      </c>
      <c r="N335" s="269"/>
      <c r="O335" s="269"/>
      <c r="P335" s="269"/>
      <c r="Q335" s="270"/>
      <c r="R335" s="1"/>
      <c r="S335" s="3"/>
      <c r="T335" s="4">
        <f t="shared" si="47"/>
        <v>0</v>
      </c>
    </row>
    <row r="336" spans="2:23">
      <c r="B336" s="268" t="s">
        <v>329</v>
      </c>
      <c r="C336" s="269"/>
      <c r="D336" s="269"/>
      <c r="E336" s="269"/>
      <c r="F336" s="270"/>
      <c r="G336" s="1"/>
      <c r="H336" s="3"/>
      <c r="I336" s="4">
        <f t="shared" si="46"/>
        <v>0</v>
      </c>
      <c r="M336" s="268" t="s">
        <v>329</v>
      </c>
      <c r="N336" s="269"/>
      <c r="O336" s="269"/>
      <c r="P336" s="269"/>
      <c r="Q336" s="270"/>
      <c r="R336" s="1"/>
      <c r="S336" s="3"/>
      <c r="T336" s="4">
        <f t="shared" si="47"/>
        <v>0</v>
      </c>
    </row>
    <row r="337" spans="2:23">
      <c r="B337" s="268" t="s">
        <v>331</v>
      </c>
      <c r="C337" s="269"/>
      <c r="D337" s="269"/>
      <c r="E337" s="269"/>
      <c r="F337" s="270"/>
      <c r="G337" s="1"/>
      <c r="H337" s="3"/>
      <c r="I337" s="4">
        <f t="shared" si="46"/>
        <v>0</v>
      </c>
      <c r="M337" s="268" t="s">
        <v>331</v>
      </c>
      <c r="N337" s="269"/>
      <c r="O337" s="269"/>
      <c r="P337" s="269"/>
      <c r="Q337" s="270"/>
      <c r="R337" s="1"/>
      <c r="S337" s="3"/>
      <c r="T337" s="4">
        <f t="shared" si="47"/>
        <v>0</v>
      </c>
    </row>
    <row r="338" spans="2:23">
      <c r="B338" s="49" t="s">
        <v>321</v>
      </c>
      <c r="C338" s="50"/>
      <c r="D338" s="50"/>
      <c r="E338" s="50"/>
      <c r="F338" s="51"/>
      <c r="G338" s="1"/>
      <c r="H338" s="3"/>
      <c r="I338" s="4">
        <f t="shared" si="46"/>
        <v>0</v>
      </c>
      <c r="M338" s="49" t="s">
        <v>321</v>
      </c>
      <c r="N338" s="50"/>
      <c r="O338" s="50"/>
      <c r="P338" s="50"/>
      <c r="Q338" s="51"/>
      <c r="R338" s="1"/>
      <c r="S338" s="3"/>
      <c r="T338" s="4">
        <f t="shared" si="47"/>
        <v>0</v>
      </c>
    </row>
    <row r="339" spans="2:23">
      <c r="B339" s="49" t="s">
        <v>322</v>
      </c>
      <c r="C339" s="50"/>
      <c r="D339" s="50"/>
      <c r="E339" s="50"/>
      <c r="F339" s="51"/>
      <c r="G339" s="1"/>
      <c r="H339" s="3"/>
      <c r="I339" s="4">
        <f t="shared" si="46"/>
        <v>0</v>
      </c>
      <c r="M339" s="49" t="s">
        <v>322</v>
      </c>
      <c r="N339" s="50"/>
      <c r="O339" s="50"/>
      <c r="P339" s="50"/>
      <c r="Q339" s="51"/>
      <c r="R339" s="1"/>
      <c r="S339" s="3"/>
      <c r="T339" s="4">
        <f t="shared" si="47"/>
        <v>0</v>
      </c>
    </row>
    <row r="340" spans="2:23">
      <c r="B340" s="49" t="s">
        <v>323</v>
      </c>
      <c r="C340" s="50"/>
      <c r="D340" s="50"/>
      <c r="E340" s="50"/>
      <c r="F340" s="51"/>
      <c r="G340" s="1"/>
      <c r="H340" s="3"/>
      <c r="I340" s="4">
        <f t="shared" si="46"/>
        <v>0</v>
      </c>
      <c r="M340" s="49" t="s">
        <v>354</v>
      </c>
      <c r="N340" s="50"/>
      <c r="O340" s="50"/>
      <c r="P340" s="50"/>
      <c r="Q340" s="51"/>
      <c r="R340" s="1"/>
      <c r="S340" s="3"/>
      <c r="T340" s="4">
        <f t="shared" si="47"/>
        <v>0</v>
      </c>
    </row>
    <row r="341" spans="2:23">
      <c r="B341" s="49" t="s">
        <v>324</v>
      </c>
      <c r="C341" s="50"/>
      <c r="D341" s="50"/>
      <c r="E341" s="50"/>
      <c r="F341" s="51"/>
      <c r="G341" s="1"/>
      <c r="H341" s="3"/>
      <c r="I341" s="4">
        <f t="shared" si="46"/>
        <v>0</v>
      </c>
      <c r="M341" s="49" t="s">
        <v>355</v>
      </c>
      <c r="N341" s="50"/>
      <c r="O341" s="50"/>
      <c r="P341" s="50"/>
      <c r="Q341" s="51"/>
      <c r="R341" s="1"/>
      <c r="S341" s="3"/>
      <c r="T341" s="4">
        <f t="shared" si="47"/>
        <v>0</v>
      </c>
    </row>
    <row r="342" spans="2:23">
      <c r="B342" s="49" t="s">
        <v>67</v>
      </c>
      <c r="C342" s="50"/>
      <c r="D342" s="50"/>
      <c r="E342" s="50"/>
      <c r="F342" s="51"/>
      <c r="G342" s="1"/>
      <c r="H342" s="3"/>
      <c r="I342" s="4">
        <f t="shared" si="46"/>
        <v>0</v>
      </c>
      <c r="M342" s="49" t="s">
        <v>67</v>
      </c>
      <c r="N342" s="50"/>
      <c r="O342" s="50"/>
      <c r="P342" s="50"/>
      <c r="Q342" s="51"/>
      <c r="R342" s="1"/>
      <c r="S342" s="3"/>
      <c r="T342" s="4">
        <f t="shared" si="47"/>
        <v>0</v>
      </c>
    </row>
    <row r="343" spans="2:23">
      <c r="B343" s="49" t="s">
        <v>68</v>
      </c>
      <c r="C343" s="50"/>
      <c r="D343" s="50"/>
      <c r="E343" s="50"/>
      <c r="F343" s="51"/>
      <c r="G343" s="1"/>
      <c r="H343" s="3"/>
      <c r="I343" s="4">
        <f t="shared" si="46"/>
        <v>0</v>
      </c>
      <c r="M343" s="49" t="s">
        <v>68</v>
      </c>
      <c r="N343" s="50"/>
      <c r="O343" s="50"/>
      <c r="P343" s="50"/>
      <c r="Q343" s="51"/>
      <c r="R343" s="1"/>
      <c r="S343" s="3"/>
      <c r="T343" s="4">
        <f t="shared" si="47"/>
        <v>0</v>
      </c>
    </row>
    <row r="344" spans="2:23">
      <c r="B344" s="268" t="s">
        <v>70</v>
      </c>
      <c r="C344" s="269"/>
      <c r="D344" s="269"/>
      <c r="E344" s="269"/>
      <c r="F344" s="270"/>
      <c r="G344" s="1"/>
      <c r="H344" s="3"/>
      <c r="I344" s="4">
        <f t="shared" si="46"/>
        <v>0</v>
      </c>
      <c r="M344" s="268" t="s">
        <v>70</v>
      </c>
      <c r="N344" s="269"/>
      <c r="O344" s="269"/>
      <c r="P344" s="269"/>
      <c r="Q344" s="270"/>
      <c r="R344" s="1"/>
      <c r="S344" s="3"/>
      <c r="T344" s="4">
        <f t="shared" si="47"/>
        <v>0</v>
      </c>
    </row>
    <row r="345" spans="2:23" ht="15" thickBot="1">
      <c r="B345" s="268" t="s">
        <v>332</v>
      </c>
      <c r="C345" s="269"/>
      <c r="D345" s="269"/>
      <c r="E345" s="269"/>
      <c r="F345" s="270"/>
      <c r="G345" s="1"/>
      <c r="H345" s="3"/>
      <c r="I345" s="4">
        <f t="shared" si="46"/>
        <v>0</v>
      </c>
      <c r="M345" s="268" t="s">
        <v>332</v>
      </c>
      <c r="N345" s="269"/>
      <c r="O345" s="269"/>
      <c r="P345" s="269"/>
      <c r="Q345" s="270"/>
      <c r="R345" s="1"/>
      <c r="S345" s="3"/>
      <c r="T345" s="4">
        <f t="shared" si="47"/>
        <v>0</v>
      </c>
    </row>
    <row r="346" spans="2:23">
      <c r="B346" s="268" t="s">
        <v>16</v>
      </c>
      <c r="C346" s="269"/>
      <c r="D346" s="269"/>
      <c r="E346" s="269"/>
      <c r="F346" s="270"/>
      <c r="G346" s="1"/>
      <c r="H346" s="3"/>
      <c r="I346" s="4">
        <f t="shared" si="46"/>
        <v>0</v>
      </c>
      <c r="J346" s="308" t="s">
        <v>275</v>
      </c>
      <c r="K346" s="309"/>
      <c r="L346" s="310"/>
      <c r="M346" s="268" t="s">
        <v>16</v>
      </c>
      <c r="N346" s="269"/>
      <c r="O346" s="269"/>
      <c r="P346" s="269"/>
      <c r="Q346" s="270"/>
      <c r="R346" s="1"/>
      <c r="S346" s="3"/>
      <c r="T346" s="4">
        <f t="shared" si="47"/>
        <v>0</v>
      </c>
      <c r="U346" s="308" t="s">
        <v>275</v>
      </c>
      <c r="V346" s="309"/>
      <c r="W346" s="310"/>
    </row>
    <row r="347" spans="2:23" ht="15" thickBot="1">
      <c r="B347" s="268" t="s">
        <v>17</v>
      </c>
      <c r="C347" s="269"/>
      <c r="D347" s="269"/>
      <c r="E347" s="269"/>
      <c r="F347" s="270"/>
      <c r="G347" s="1"/>
      <c r="H347" s="3"/>
      <c r="I347" s="4">
        <f t="shared" si="46"/>
        <v>0</v>
      </c>
      <c r="J347" s="311"/>
      <c r="K347" s="312"/>
      <c r="L347" s="313"/>
      <c r="M347" s="268" t="s">
        <v>17</v>
      </c>
      <c r="N347" s="269"/>
      <c r="O347" s="269"/>
      <c r="P347" s="269"/>
      <c r="Q347" s="270"/>
      <c r="R347" s="1"/>
      <c r="S347" s="3"/>
      <c r="T347" s="4">
        <f t="shared" si="47"/>
        <v>0</v>
      </c>
      <c r="U347" s="311"/>
      <c r="V347" s="312"/>
      <c r="W347" s="313"/>
    </row>
    <row r="348" spans="2:23">
      <c r="B348" s="268"/>
      <c r="C348" s="269"/>
      <c r="D348" s="269"/>
      <c r="E348" s="269"/>
      <c r="F348" s="270"/>
      <c r="G348" s="1"/>
      <c r="H348" s="3"/>
      <c r="I348" s="4">
        <f t="shared" si="46"/>
        <v>0</v>
      </c>
      <c r="J348" s="257">
        <f>SUM(I333:I349)</f>
        <v>0</v>
      </c>
      <c r="K348" s="258"/>
      <c r="L348" s="259"/>
      <c r="M348" s="268"/>
      <c r="N348" s="269"/>
      <c r="O348" s="269"/>
      <c r="P348" s="269"/>
      <c r="Q348" s="270"/>
      <c r="R348" s="1"/>
      <c r="S348" s="3"/>
      <c r="T348" s="4">
        <f t="shared" si="47"/>
        <v>0</v>
      </c>
      <c r="U348" s="257">
        <f>SUM(T333:T349)</f>
        <v>0</v>
      </c>
      <c r="V348" s="258"/>
      <c r="W348" s="259"/>
    </row>
    <row r="349" spans="2:23" ht="15" thickBot="1">
      <c r="B349" s="274"/>
      <c r="C349" s="275"/>
      <c r="D349" s="275"/>
      <c r="E349" s="275"/>
      <c r="F349" s="276"/>
      <c r="G349" s="66"/>
      <c r="H349" s="67"/>
      <c r="I349" s="68">
        <f t="shared" si="46"/>
        <v>0</v>
      </c>
      <c r="J349" s="260"/>
      <c r="K349" s="261"/>
      <c r="L349" s="262"/>
      <c r="M349" s="274"/>
      <c r="N349" s="275"/>
      <c r="O349" s="275"/>
      <c r="P349" s="275"/>
      <c r="Q349" s="276"/>
      <c r="R349" s="66"/>
      <c r="S349" s="67"/>
      <c r="T349" s="68">
        <f t="shared" si="47"/>
        <v>0</v>
      </c>
      <c r="U349" s="260"/>
      <c r="V349" s="261"/>
      <c r="W349" s="262"/>
    </row>
    <row r="350" spans="2:23" ht="16.2" thickBot="1">
      <c r="B350" s="321" t="s">
        <v>297</v>
      </c>
      <c r="C350" s="322"/>
      <c r="D350" s="322"/>
      <c r="E350" s="322"/>
      <c r="F350" s="322"/>
      <c r="G350" s="322"/>
      <c r="H350" s="322"/>
      <c r="I350" s="323"/>
      <c r="J350" s="65"/>
      <c r="K350" s="65"/>
      <c r="L350" s="65"/>
      <c r="M350" s="321" t="s">
        <v>297</v>
      </c>
      <c r="N350" s="322"/>
      <c r="O350" s="322"/>
      <c r="P350" s="322"/>
      <c r="Q350" s="322"/>
      <c r="R350" s="322"/>
      <c r="S350" s="322"/>
      <c r="T350" s="323"/>
      <c r="U350" s="65"/>
      <c r="V350" s="65"/>
      <c r="W350" s="65"/>
    </row>
    <row r="351" spans="2:23" ht="16.2" thickBot="1">
      <c r="B351" s="321" t="s">
        <v>267</v>
      </c>
      <c r="C351" s="322"/>
      <c r="D351" s="322"/>
      <c r="E351" s="322"/>
      <c r="F351" s="322"/>
      <c r="G351" s="89" t="s">
        <v>266</v>
      </c>
      <c r="H351" s="89" t="s">
        <v>0</v>
      </c>
      <c r="I351" s="90" t="s">
        <v>265</v>
      </c>
      <c r="J351" s="65"/>
      <c r="K351" s="65"/>
      <c r="L351" s="65"/>
      <c r="M351" s="321" t="s">
        <v>267</v>
      </c>
      <c r="N351" s="322"/>
      <c r="O351" s="322"/>
      <c r="P351" s="322"/>
      <c r="Q351" s="322"/>
      <c r="R351" s="89" t="s">
        <v>266</v>
      </c>
      <c r="S351" s="89" t="s">
        <v>0</v>
      </c>
      <c r="T351" s="90" t="s">
        <v>265</v>
      </c>
      <c r="U351" s="65"/>
      <c r="V351" s="65"/>
      <c r="W351" s="65"/>
    </row>
    <row r="352" spans="2:23">
      <c r="B352" s="324" t="s">
        <v>333</v>
      </c>
      <c r="C352" s="325"/>
      <c r="D352" s="325"/>
      <c r="E352" s="325"/>
      <c r="F352" s="326"/>
      <c r="G352" s="6"/>
      <c r="H352" s="7"/>
      <c r="I352" s="69"/>
      <c r="M352" s="324" t="s">
        <v>333</v>
      </c>
      <c r="N352" s="325"/>
      <c r="O352" s="325"/>
      <c r="P352" s="325"/>
      <c r="Q352" s="326"/>
      <c r="R352" s="6"/>
      <c r="S352" s="7"/>
      <c r="T352" s="69"/>
    </row>
    <row r="353" spans="2:23">
      <c r="B353" s="271" t="s">
        <v>291</v>
      </c>
      <c r="C353" s="272"/>
      <c r="D353" s="272"/>
      <c r="E353" s="272"/>
      <c r="F353" s="273"/>
      <c r="G353" s="1"/>
      <c r="H353" s="3"/>
      <c r="I353" s="4">
        <f t="shared" ref="I353:I363" si="48">G353*H353</f>
        <v>0</v>
      </c>
      <c r="M353" s="271" t="s">
        <v>291</v>
      </c>
      <c r="N353" s="272"/>
      <c r="O353" s="272"/>
      <c r="P353" s="272"/>
      <c r="Q353" s="273"/>
      <c r="R353" s="1"/>
      <c r="S353" s="3"/>
      <c r="T353" s="4">
        <f t="shared" ref="T353:T363" si="49">R353*S353</f>
        <v>0</v>
      </c>
    </row>
    <row r="354" spans="2:23">
      <c r="B354" s="271" t="s">
        <v>292</v>
      </c>
      <c r="C354" s="272"/>
      <c r="D354" s="272"/>
      <c r="E354" s="272"/>
      <c r="F354" s="273"/>
      <c r="G354" s="1"/>
      <c r="H354" s="3"/>
      <c r="I354" s="4">
        <f t="shared" si="48"/>
        <v>0</v>
      </c>
      <c r="M354" s="271" t="s">
        <v>292</v>
      </c>
      <c r="N354" s="272"/>
      <c r="O354" s="272"/>
      <c r="P354" s="272"/>
      <c r="Q354" s="273"/>
      <c r="R354" s="1"/>
      <c r="S354" s="3"/>
      <c r="T354" s="4">
        <f t="shared" si="49"/>
        <v>0</v>
      </c>
    </row>
    <row r="355" spans="2:23">
      <c r="B355" s="271" t="s">
        <v>293</v>
      </c>
      <c r="C355" s="272"/>
      <c r="D355" s="272"/>
      <c r="E355" s="272"/>
      <c r="F355" s="273"/>
      <c r="G355" s="1"/>
      <c r="H355" s="3"/>
      <c r="I355" s="4">
        <f t="shared" si="48"/>
        <v>0</v>
      </c>
      <c r="M355" s="271" t="s">
        <v>293</v>
      </c>
      <c r="N355" s="272"/>
      <c r="O355" s="272"/>
      <c r="P355" s="272"/>
      <c r="Q355" s="273"/>
      <c r="R355" s="1"/>
      <c r="S355" s="3"/>
      <c r="T355" s="4">
        <f t="shared" si="49"/>
        <v>0</v>
      </c>
    </row>
    <row r="356" spans="2:23">
      <c r="B356" s="271" t="s">
        <v>193</v>
      </c>
      <c r="C356" s="272"/>
      <c r="D356" s="272"/>
      <c r="E356" s="272"/>
      <c r="F356" s="273"/>
      <c r="G356" s="1"/>
      <c r="H356" s="3"/>
      <c r="I356" s="4">
        <f t="shared" si="48"/>
        <v>0</v>
      </c>
      <c r="M356" s="271" t="s">
        <v>193</v>
      </c>
      <c r="N356" s="272"/>
      <c r="O356" s="272"/>
      <c r="P356" s="272"/>
      <c r="Q356" s="273"/>
      <c r="R356" s="1"/>
      <c r="S356" s="3"/>
      <c r="T356" s="4">
        <f t="shared" si="49"/>
        <v>0</v>
      </c>
    </row>
    <row r="357" spans="2:23">
      <c r="B357" s="271" t="s">
        <v>294</v>
      </c>
      <c r="C357" s="272"/>
      <c r="D357" s="272"/>
      <c r="E357" s="272"/>
      <c r="F357" s="273"/>
      <c r="G357" s="1"/>
      <c r="H357" s="3"/>
      <c r="I357" s="4">
        <f t="shared" si="48"/>
        <v>0</v>
      </c>
      <c r="M357" s="271" t="s">
        <v>294</v>
      </c>
      <c r="N357" s="272"/>
      <c r="O357" s="272"/>
      <c r="P357" s="272"/>
      <c r="Q357" s="273"/>
      <c r="R357" s="1"/>
      <c r="S357" s="3"/>
      <c r="T357" s="4">
        <f t="shared" si="49"/>
        <v>0</v>
      </c>
    </row>
    <row r="358" spans="2:23">
      <c r="B358" s="271"/>
      <c r="C358" s="272"/>
      <c r="D358" s="272"/>
      <c r="E358" s="272"/>
      <c r="F358" s="273"/>
      <c r="G358" s="1"/>
      <c r="H358" s="3"/>
      <c r="I358" s="4">
        <f t="shared" si="48"/>
        <v>0</v>
      </c>
      <c r="M358" s="271"/>
      <c r="N358" s="272"/>
      <c r="O358" s="272"/>
      <c r="P358" s="272"/>
      <c r="Q358" s="273"/>
      <c r="R358" s="1"/>
      <c r="S358" s="3"/>
      <c r="T358" s="4">
        <f t="shared" si="49"/>
        <v>0</v>
      </c>
    </row>
    <row r="359" spans="2:23" ht="15" thickBot="1">
      <c r="B359" s="271"/>
      <c r="C359" s="272"/>
      <c r="D359" s="272"/>
      <c r="E359" s="272"/>
      <c r="F359" s="273"/>
      <c r="G359" s="1"/>
      <c r="H359" s="3"/>
      <c r="I359" s="4">
        <f t="shared" si="48"/>
        <v>0</v>
      </c>
      <c r="M359" s="271"/>
      <c r="N359" s="272"/>
      <c r="O359" s="272"/>
      <c r="P359" s="272"/>
      <c r="Q359" s="273"/>
      <c r="R359" s="1"/>
      <c r="S359" s="3"/>
      <c r="T359" s="4">
        <f t="shared" si="49"/>
        <v>0</v>
      </c>
    </row>
    <row r="360" spans="2:23">
      <c r="B360" s="271"/>
      <c r="C360" s="272"/>
      <c r="D360" s="272"/>
      <c r="E360" s="272"/>
      <c r="F360" s="273"/>
      <c r="G360" s="1"/>
      <c r="H360" s="3"/>
      <c r="I360" s="4">
        <f t="shared" si="48"/>
        <v>0</v>
      </c>
      <c r="J360" s="308" t="s">
        <v>275</v>
      </c>
      <c r="K360" s="309"/>
      <c r="L360" s="310"/>
      <c r="M360" s="271"/>
      <c r="N360" s="272"/>
      <c r="O360" s="272"/>
      <c r="P360" s="272"/>
      <c r="Q360" s="273"/>
      <c r="R360" s="1"/>
      <c r="S360" s="3"/>
      <c r="T360" s="4">
        <f t="shared" si="49"/>
        <v>0</v>
      </c>
      <c r="U360" s="308" t="s">
        <v>275</v>
      </c>
      <c r="V360" s="309"/>
      <c r="W360" s="310"/>
    </row>
    <row r="361" spans="2:23" ht="15" thickBot="1">
      <c r="B361" s="414" t="s">
        <v>2</v>
      </c>
      <c r="C361" s="415"/>
      <c r="D361" s="415"/>
      <c r="E361" s="415"/>
      <c r="F361" s="416"/>
      <c r="G361" s="79"/>
      <c r="H361" s="80"/>
      <c r="I361" s="68">
        <f t="shared" si="48"/>
        <v>0</v>
      </c>
      <c r="J361" s="311"/>
      <c r="K361" s="312"/>
      <c r="L361" s="313"/>
      <c r="M361" s="414" t="s">
        <v>2</v>
      </c>
      <c r="N361" s="415"/>
      <c r="O361" s="415"/>
      <c r="P361" s="415"/>
      <c r="Q361" s="416"/>
      <c r="R361" s="79"/>
      <c r="S361" s="80"/>
      <c r="T361" s="68">
        <f t="shared" si="49"/>
        <v>0</v>
      </c>
      <c r="U361" s="311"/>
      <c r="V361" s="312"/>
      <c r="W361" s="313"/>
    </row>
    <row r="362" spans="2:23">
      <c r="B362" s="412" t="s">
        <v>22</v>
      </c>
      <c r="C362" s="413"/>
      <c r="D362" s="413"/>
      <c r="E362" s="413"/>
      <c r="F362" s="413"/>
      <c r="G362" s="1"/>
      <c r="H362" s="3"/>
      <c r="I362" s="4">
        <f t="shared" si="48"/>
        <v>0</v>
      </c>
      <c r="J362" s="257">
        <f>SUM(I352:I363)</f>
        <v>0</v>
      </c>
      <c r="K362" s="258"/>
      <c r="L362" s="259"/>
      <c r="M362" s="412" t="s">
        <v>22</v>
      </c>
      <c r="N362" s="413"/>
      <c r="O362" s="413"/>
      <c r="P362" s="413"/>
      <c r="Q362" s="413"/>
      <c r="R362" s="1"/>
      <c r="S362" s="3"/>
      <c r="T362" s="4">
        <f t="shared" si="49"/>
        <v>0</v>
      </c>
      <c r="U362" s="257">
        <f>SUM(T352:T363)</f>
        <v>0</v>
      </c>
      <c r="V362" s="258"/>
      <c r="W362" s="259"/>
    </row>
    <row r="363" spans="2:23" ht="15" thickBot="1">
      <c r="B363" s="412" t="s">
        <v>21</v>
      </c>
      <c r="C363" s="413"/>
      <c r="D363" s="413"/>
      <c r="E363" s="413"/>
      <c r="F363" s="413"/>
      <c r="G363" s="1"/>
      <c r="H363" s="3"/>
      <c r="I363" s="4">
        <f t="shared" si="48"/>
        <v>0</v>
      </c>
      <c r="J363" s="260"/>
      <c r="K363" s="261"/>
      <c r="L363" s="262"/>
      <c r="M363" s="412" t="s">
        <v>21</v>
      </c>
      <c r="N363" s="413"/>
      <c r="O363" s="413"/>
      <c r="P363" s="413"/>
      <c r="Q363" s="413"/>
      <c r="R363" s="1"/>
      <c r="S363" s="3"/>
      <c r="T363" s="4">
        <f t="shared" si="49"/>
        <v>0</v>
      </c>
      <c r="U363" s="260"/>
      <c r="V363" s="261"/>
      <c r="W363" s="262"/>
    </row>
    <row r="364" spans="2:23" ht="16.2" thickBot="1">
      <c r="B364" s="316" t="s">
        <v>334</v>
      </c>
      <c r="C364" s="317"/>
      <c r="D364" s="317"/>
      <c r="E364" s="317"/>
      <c r="F364" s="317"/>
      <c r="G364" s="317"/>
      <c r="H364" s="317"/>
      <c r="I364" s="420"/>
      <c r="J364" s="64"/>
      <c r="K364" s="65"/>
      <c r="L364" s="65"/>
      <c r="M364" s="316" t="s">
        <v>334</v>
      </c>
      <c r="N364" s="317"/>
      <c r="O364" s="317"/>
      <c r="P364" s="317"/>
      <c r="Q364" s="317"/>
      <c r="R364" s="317"/>
      <c r="S364" s="317"/>
      <c r="T364" s="420"/>
      <c r="U364" s="64"/>
      <c r="V364" s="65"/>
      <c r="W364" s="65"/>
    </row>
    <row r="365" spans="2:23" ht="16.2" thickBot="1">
      <c r="B365" s="316" t="s">
        <v>267</v>
      </c>
      <c r="C365" s="317"/>
      <c r="D365" s="317"/>
      <c r="E365" s="317"/>
      <c r="F365" s="317"/>
      <c r="G365" s="91" t="s">
        <v>266</v>
      </c>
      <c r="H365" s="91" t="s">
        <v>0</v>
      </c>
      <c r="I365" s="92" t="s">
        <v>265</v>
      </c>
      <c r="J365" s="64"/>
      <c r="K365" s="65"/>
      <c r="L365" s="65"/>
      <c r="M365" s="316" t="s">
        <v>267</v>
      </c>
      <c r="N365" s="317"/>
      <c r="O365" s="317"/>
      <c r="P365" s="317"/>
      <c r="Q365" s="317"/>
      <c r="R365" s="91" t="s">
        <v>266</v>
      </c>
      <c r="S365" s="91" t="s">
        <v>0</v>
      </c>
      <c r="T365" s="92" t="s">
        <v>265</v>
      </c>
      <c r="U365" s="64"/>
      <c r="V365" s="65"/>
      <c r="W365" s="65"/>
    </row>
    <row r="366" spans="2:23">
      <c r="B366" s="266" t="s">
        <v>8</v>
      </c>
      <c r="C366" s="267"/>
      <c r="D366" s="267"/>
      <c r="E366" s="267"/>
      <c r="F366" s="267"/>
      <c r="G366" s="1"/>
      <c r="H366" s="3"/>
      <c r="I366" s="4">
        <f t="shared" ref="I366:I369" si="50">G366*H366</f>
        <v>0</v>
      </c>
      <c r="J366" s="308" t="s">
        <v>275</v>
      </c>
      <c r="K366" s="309"/>
      <c r="L366" s="310"/>
      <c r="M366" s="266" t="s">
        <v>8</v>
      </c>
      <c r="N366" s="267"/>
      <c r="O366" s="267"/>
      <c r="P366" s="267"/>
      <c r="Q366" s="267"/>
      <c r="R366" s="1"/>
      <c r="S366" s="3"/>
      <c r="T366" s="4">
        <f t="shared" ref="T366:T369" si="51">R366*S366</f>
        <v>0</v>
      </c>
      <c r="U366" s="308" t="s">
        <v>275</v>
      </c>
      <c r="V366" s="309"/>
      <c r="W366" s="310"/>
    </row>
    <row r="367" spans="2:23" ht="15" thickBot="1">
      <c r="B367" s="266" t="s">
        <v>9</v>
      </c>
      <c r="C367" s="267"/>
      <c r="D367" s="267"/>
      <c r="E367" s="267"/>
      <c r="F367" s="267"/>
      <c r="G367" s="1"/>
      <c r="H367" s="3"/>
      <c r="I367" s="4">
        <f t="shared" si="50"/>
        <v>0</v>
      </c>
      <c r="J367" s="311"/>
      <c r="K367" s="312"/>
      <c r="L367" s="313"/>
      <c r="M367" s="266" t="s">
        <v>9</v>
      </c>
      <c r="N367" s="267"/>
      <c r="O367" s="267"/>
      <c r="P367" s="267"/>
      <c r="Q367" s="267"/>
      <c r="R367" s="1"/>
      <c r="S367" s="3"/>
      <c r="T367" s="4">
        <f t="shared" si="51"/>
        <v>0</v>
      </c>
      <c r="U367" s="311"/>
      <c r="V367" s="312"/>
      <c r="W367" s="313"/>
    </row>
    <row r="368" spans="2:23">
      <c r="B368" s="266" t="s">
        <v>335</v>
      </c>
      <c r="C368" s="267"/>
      <c r="D368" s="267"/>
      <c r="E368" s="267"/>
      <c r="F368" s="267"/>
      <c r="G368" s="1"/>
      <c r="H368" s="3"/>
      <c r="I368" s="4">
        <f t="shared" si="50"/>
        <v>0</v>
      </c>
      <c r="J368" s="257">
        <f>SUM(I366:I369)</f>
        <v>0</v>
      </c>
      <c r="K368" s="258"/>
      <c r="L368" s="259"/>
      <c r="M368" s="266" t="s">
        <v>335</v>
      </c>
      <c r="N368" s="267"/>
      <c r="O368" s="267"/>
      <c r="P368" s="267"/>
      <c r="Q368" s="267"/>
      <c r="R368" s="1"/>
      <c r="S368" s="3"/>
      <c r="T368" s="4">
        <f t="shared" si="51"/>
        <v>0</v>
      </c>
      <c r="U368" s="257">
        <f>SUM(T366:T369)</f>
        <v>0</v>
      </c>
      <c r="V368" s="258"/>
      <c r="W368" s="259"/>
    </row>
    <row r="369" spans="2:23" ht="15" thickBot="1">
      <c r="B369" s="297" t="s">
        <v>336</v>
      </c>
      <c r="C369" s="298"/>
      <c r="D369" s="298"/>
      <c r="E369" s="298"/>
      <c r="F369" s="298"/>
      <c r="G369" s="2"/>
      <c r="H369" s="5"/>
      <c r="I369" s="14">
        <f t="shared" si="50"/>
        <v>0</v>
      </c>
      <c r="J369" s="260"/>
      <c r="K369" s="261"/>
      <c r="L369" s="262"/>
      <c r="M369" s="297" t="s">
        <v>336</v>
      </c>
      <c r="N369" s="298"/>
      <c r="O369" s="298"/>
      <c r="P369" s="298"/>
      <c r="Q369" s="298"/>
      <c r="R369" s="2"/>
      <c r="S369" s="5"/>
      <c r="T369" s="14">
        <f t="shared" si="51"/>
        <v>0</v>
      </c>
      <c r="U369" s="260"/>
      <c r="V369" s="261"/>
      <c r="W369" s="262"/>
    </row>
    <row r="370" spans="2:23">
      <c r="B370" s="299" t="s">
        <v>298</v>
      </c>
      <c r="C370" s="300"/>
      <c r="D370" s="300"/>
      <c r="E370" s="300"/>
      <c r="F370" s="300"/>
      <c r="G370" s="300"/>
      <c r="H370" s="300"/>
      <c r="I370" s="301"/>
      <c r="J370" s="385">
        <f>SUM(J368,J362,J348,J329,J315,J301,J287)</f>
        <v>0</v>
      </c>
      <c r="K370" s="386"/>
      <c r="L370" s="387"/>
      <c r="M370" s="299" t="s">
        <v>298</v>
      </c>
      <c r="N370" s="300"/>
      <c r="O370" s="300"/>
      <c r="P370" s="300"/>
      <c r="Q370" s="300"/>
      <c r="R370" s="300"/>
      <c r="S370" s="300"/>
      <c r="T370" s="301"/>
      <c r="U370" s="385">
        <f>SUM(U368,U362,U348,U329,U315,U301,U287)</f>
        <v>0</v>
      </c>
      <c r="V370" s="386"/>
      <c r="W370" s="387"/>
    </row>
    <row r="371" spans="2:23">
      <c r="B371" s="302"/>
      <c r="C371" s="303"/>
      <c r="D371" s="303"/>
      <c r="E371" s="303"/>
      <c r="F371" s="303"/>
      <c r="G371" s="303"/>
      <c r="H371" s="303"/>
      <c r="I371" s="304"/>
      <c r="J371" s="388"/>
      <c r="K371" s="389"/>
      <c r="L371" s="390"/>
      <c r="M371" s="302"/>
      <c r="N371" s="303"/>
      <c r="O371" s="303"/>
      <c r="P371" s="303"/>
      <c r="Q371" s="303"/>
      <c r="R371" s="303"/>
      <c r="S371" s="303"/>
      <c r="T371" s="304"/>
      <c r="U371" s="388"/>
      <c r="V371" s="389"/>
      <c r="W371" s="390"/>
    </row>
    <row r="372" spans="2:23" ht="15" thickBot="1">
      <c r="B372" s="305"/>
      <c r="C372" s="306"/>
      <c r="D372" s="306"/>
      <c r="E372" s="306"/>
      <c r="F372" s="306"/>
      <c r="G372" s="306"/>
      <c r="H372" s="306"/>
      <c r="I372" s="307"/>
      <c r="J372" s="391"/>
      <c r="K372" s="392"/>
      <c r="L372" s="393"/>
      <c r="M372" s="305"/>
      <c r="N372" s="306"/>
      <c r="O372" s="306"/>
      <c r="P372" s="306"/>
      <c r="Q372" s="306"/>
      <c r="R372" s="306"/>
      <c r="S372" s="306"/>
      <c r="T372" s="307"/>
      <c r="U372" s="391"/>
      <c r="V372" s="392"/>
      <c r="W372" s="393"/>
    </row>
    <row r="373" spans="2:23">
      <c r="B373" s="376"/>
      <c r="C373" s="377"/>
      <c r="D373" s="377"/>
      <c r="E373" s="377"/>
      <c r="F373" s="377"/>
      <c r="G373" s="377"/>
      <c r="H373" s="377"/>
      <c r="I373" s="378"/>
      <c r="M373" s="376"/>
      <c r="N373" s="377"/>
      <c r="O373" s="377"/>
      <c r="P373" s="377"/>
      <c r="Q373" s="377"/>
      <c r="R373" s="377"/>
      <c r="S373" s="377"/>
      <c r="T373" s="378"/>
    </row>
    <row r="374" spans="2:23">
      <c r="B374" s="379"/>
      <c r="C374" s="380"/>
      <c r="D374" s="380"/>
      <c r="E374" s="380"/>
      <c r="F374" s="380"/>
      <c r="G374" s="380"/>
      <c r="H374" s="380"/>
      <c r="I374" s="381"/>
      <c r="M374" s="379"/>
      <c r="N374" s="380"/>
      <c r="O374" s="380"/>
      <c r="P374" s="380"/>
      <c r="Q374" s="380"/>
      <c r="R374" s="380"/>
      <c r="S374" s="380"/>
      <c r="T374" s="381"/>
    </row>
    <row r="375" spans="2:23" ht="15" thickBot="1">
      <c r="B375" s="382"/>
      <c r="C375" s="383"/>
      <c r="D375" s="383"/>
      <c r="E375" s="383"/>
      <c r="F375" s="383"/>
      <c r="G375" s="383"/>
      <c r="H375" s="383"/>
      <c r="I375" s="384"/>
      <c r="M375" s="382"/>
      <c r="N375" s="383"/>
      <c r="O375" s="383"/>
      <c r="P375" s="383"/>
      <c r="Q375" s="383"/>
      <c r="R375" s="383"/>
      <c r="S375" s="383"/>
      <c r="T375" s="384"/>
    </row>
    <row r="376" spans="2:23" ht="15" thickBot="1">
      <c r="B376" s="314" t="s">
        <v>262</v>
      </c>
      <c r="C376" s="315"/>
      <c r="D376" s="315"/>
      <c r="E376" s="315"/>
      <c r="F376" s="315"/>
      <c r="G376" s="315"/>
      <c r="H376" s="315"/>
      <c r="I376" s="411"/>
      <c r="M376" s="314" t="s">
        <v>262</v>
      </c>
      <c r="N376" s="315"/>
      <c r="O376" s="315"/>
      <c r="P376" s="315"/>
      <c r="Q376" s="315"/>
      <c r="R376" s="315"/>
      <c r="S376" s="315"/>
      <c r="T376" s="411"/>
    </row>
    <row r="377" spans="2:23" ht="15" thickBot="1">
      <c r="B377" s="314" t="s">
        <v>267</v>
      </c>
      <c r="C377" s="315"/>
      <c r="D377" s="315"/>
      <c r="E377" s="315"/>
      <c r="F377" s="315"/>
      <c r="G377" s="71" t="s">
        <v>266</v>
      </c>
      <c r="H377" s="71" t="s">
        <v>0</v>
      </c>
      <c r="I377" s="72" t="s">
        <v>265</v>
      </c>
      <c r="M377" s="314" t="s">
        <v>267</v>
      </c>
      <c r="N377" s="315"/>
      <c r="O377" s="315"/>
      <c r="P377" s="315"/>
      <c r="Q377" s="315"/>
      <c r="R377" s="71" t="s">
        <v>266</v>
      </c>
      <c r="S377" s="71" t="s">
        <v>0</v>
      </c>
      <c r="T377" s="72" t="s">
        <v>265</v>
      </c>
    </row>
    <row r="378" spans="2:23">
      <c r="B378" s="370" t="s">
        <v>13</v>
      </c>
      <c r="C378" s="371"/>
      <c r="D378" s="371"/>
      <c r="E378" s="372"/>
      <c r="F378" s="70">
        <v>1</v>
      </c>
      <c r="G378" s="6"/>
      <c r="H378" s="7">
        <f>$I$4</f>
        <v>160000</v>
      </c>
      <c r="I378" s="69">
        <f>F378*G378*H378</f>
        <v>0</v>
      </c>
      <c r="M378" s="370" t="s">
        <v>13</v>
      </c>
      <c r="N378" s="371"/>
      <c r="O378" s="371"/>
      <c r="P378" s="372"/>
      <c r="Q378" s="70">
        <v>1</v>
      </c>
      <c r="R378" s="6"/>
      <c r="S378" s="7">
        <f>$I$4</f>
        <v>160000</v>
      </c>
      <c r="T378" s="69">
        <f>Q378*R378*S378</f>
        <v>0</v>
      </c>
    </row>
    <row r="379" spans="2:23">
      <c r="B379" s="61" t="s">
        <v>261</v>
      </c>
      <c r="C379" s="62"/>
      <c r="D379" s="62"/>
      <c r="E379" s="63"/>
      <c r="F379" s="12">
        <v>1</v>
      </c>
      <c r="G379" s="1"/>
      <c r="H379" s="3">
        <f>$I$5</f>
        <v>165000</v>
      </c>
      <c r="I379" s="4"/>
      <c r="M379" s="61" t="s">
        <v>261</v>
      </c>
      <c r="N379" s="62"/>
      <c r="O379" s="62"/>
      <c r="P379" s="63"/>
      <c r="Q379" s="12">
        <v>1</v>
      </c>
      <c r="R379" s="1"/>
      <c r="S379" s="3">
        <f>$I$5</f>
        <v>165000</v>
      </c>
      <c r="T379" s="4"/>
    </row>
    <row r="380" spans="2:23">
      <c r="B380" s="288" t="s">
        <v>15</v>
      </c>
      <c r="C380" s="289"/>
      <c r="D380" s="289"/>
      <c r="E380" s="290"/>
      <c r="F380" s="12">
        <v>1</v>
      </c>
      <c r="G380" s="1"/>
      <c r="H380" s="3">
        <f>$I$6</f>
        <v>140000</v>
      </c>
      <c r="I380" s="4">
        <f>F380*G380*H380</f>
        <v>0</v>
      </c>
      <c r="M380" s="288" t="s">
        <v>356</v>
      </c>
      <c r="N380" s="289"/>
      <c r="O380" s="289"/>
      <c r="P380" s="290"/>
      <c r="Q380" s="12">
        <v>1</v>
      </c>
      <c r="R380" s="1"/>
      <c r="S380" s="3">
        <f>$I$6</f>
        <v>140000</v>
      </c>
      <c r="T380" s="4">
        <f>Q380*R380*S380</f>
        <v>0</v>
      </c>
    </row>
    <row r="381" spans="2:23">
      <c r="B381" s="288" t="s">
        <v>338</v>
      </c>
      <c r="C381" s="289"/>
      <c r="D381" s="289"/>
      <c r="E381" s="290"/>
      <c r="F381" s="12">
        <v>1</v>
      </c>
      <c r="G381" s="1"/>
      <c r="H381" s="3">
        <f>$I$7</f>
        <v>150000</v>
      </c>
      <c r="I381" s="4">
        <f>F381*G381*H381</f>
        <v>0</v>
      </c>
      <c r="M381" s="288" t="s">
        <v>357</v>
      </c>
      <c r="N381" s="289"/>
      <c r="O381" s="289"/>
      <c r="P381" s="290"/>
      <c r="Q381" s="12">
        <v>1</v>
      </c>
      <c r="R381" s="1"/>
      <c r="S381" s="3">
        <f>$I$7</f>
        <v>150000</v>
      </c>
      <c r="T381" s="4">
        <f>Q381*R381*S381</f>
        <v>0</v>
      </c>
    </row>
    <row r="382" spans="2:23">
      <c r="B382" s="288"/>
      <c r="C382" s="289"/>
      <c r="D382" s="289"/>
      <c r="E382" s="290"/>
      <c r="F382" s="12"/>
      <c r="G382" s="1"/>
      <c r="H382" s="3"/>
      <c r="I382" s="4">
        <f>F382*G382*H382</f>
        <v>0</v>
      </c>
      <c r="M382" s="288"/>
      <c r="N382" s="289"/>
      <c r="O382" s="289"/>
      <c r="P382" s="290"/>
      <c r="Q382" s="12"/>
      <c r="R382" s="1"/>
      <c r="S382" s="3"/>
      <c r="T382" s="4">
        <f>Q382*R382*S382</f>
        <v>0</v>
      </c>
    </row>
    <row r="383" spans="2:23">
      <c r="B383" s="283" t="s">
        <v>339</v>
      </c>
      <c r="C383" s="284"/>
      <c r="D383" s="284"/>
      <c r="E383" s="284"/>
      <c r="F383" s="285"/>
      <c r="G383" s="1"/>
      <c r="H383" s="3">
        <f>$I$8</f>
        <v>12800</v>
      </c>
      <c r="I383" s="4">
        <f>G383*H383</f>
        <v>0</v>
      </c>
      <c r="M383" s="283" t="s">
        <v>358</v>
      </c>
      <c r="N383" s="284"/>
      <c r="O383" s="284"/>
      <c r="P383" s="284"/>
      <c r="Q383" s="285"/>
      <c r="R383" s="1"/>
      <c r="S383" s="3">
        <f>$I$8</f>
        <v>12800</v>
      </c>
      <c r="T383" s="4">
        <f>R383*S383</f>
        <v>0</v>
      </c>
    </row>
    <row r="384" spans="2:23">
      <c r="B384" s="283" t="s">
        <v>263</v>
      </c>
      <c r="C384" s="284"/>
      <c r="D384" s="284"/>
      <c r="E384" s="284"/>
      <c r="F384" s="285"/>
      <c r="G384" s="1"/>
      <c r="H384" s="3">
        <f>$I$9</f>
        <v>11100</v>
      </c>
      <c r="I384" s="4">
        <f>G384*H384</f>
        <v>0</v>
      </c>
      <c r="M384" s="283" t="s">
        <v>264</v>
      </c>
      <c r="N384" s="284"/>
      <c r="O384" s="284"/>
      <c r="P384" s="284"/>
      <c r="Q384" s="285"/>
      <c r="R384" s="1"/>
      <c r="S384" s="3">
        <f>$I$9</f>
        <v>11100</v>
      </c>
      <c r="T384" s="4">
        <f>R384*S384</f>
        <v>0</v>
      </c>
    </row>
    <row r="385" spans="2:23">
      <c r="B385" s="280" t="s">
        <v>340</v>
      </c>
      <c r="C385" s="281"/>
      <c r="D385" s="281"/>
      <c r="E385" s="281"/>
      <c r="F385" s="282"/>
      <c r="G385" s="1"/>
      <c r="H385" s="3">
        <f>$I$10</f>
        <v>58</v>
      </c>
      <c r="I385" s="4">
        <f t="shared" ref="I385:I397" si="52">G385*H385</f>
        <v>0</v>
      </c>
      <c r="M385" s="280" t="s">
        <v>359</v>
      </c>
      <c r="N385" s="281"/>
      <c r="O385" s="281"/>
      <c r="P385" s="281"/>
      <c r="Q385" s="282"/>
      <c r="R385" s="1"/>
      <c r="S385" s="3">
        <f>$I$10</f>
        <v>58</v>
      </c>
      <c r="T385" s="4">
        <f t="shared" ref="T385:T397" si="53">R385*S385</f>
        <v>0</v>
      </c>
    </row>
    <row r="386" spans="2:23">
      <c r="B386" s="280" t="s">
        <v>341</v>
      </c>
      <c r="C386" s="281"/>
      <c r="D386" s="281"/>
      <c r="E386" s="281"/>
      <c r="F386" s="282"/>
      <c r="G386" s="1"/>
      <c r="H386" s="3">
        <f>$I$11</f>
        <v>35</v>
      </c>
      <c r="I386" s="4">
        <f t="shared" si="52"/>
        <v>0</v>
      </c>
      <c r="M386" s="280" t="s">
        <v>360</v>
      </c>
      <c r="N386" s="281"/>
      <c r="O386" s="281"/>
      <c r="P386" s="281"/>
      <c r="Q386" s="282"/>
      <c r="R386" s="1"/>
      <c r="S386" s="3">
        <f>$I$11</f>
        <v>35</v>
      </c>
      <c r="T386" s="4">
        <f t="shared" si="53"/>
        <v>0</v>
      </c>
    </row>
    <row r="387" spans="2:23">
      <c r="B387" s="280" t="s">
        <v>342</v>
      </c>
      <c r="C387" s="281"/>
      <c r="D387" s="281"/>
      <c r="E387" s="281"/>
      <c r="F387" s="282"/>
      <c r="G387" s="1"/>
      <c r="H387" s="3">
        <f>$I$12</f>
        <v>1250</v>
      </c>
      <c r="I387" s="4">
        <f t="shared" si="52"/>
        <v>0</v>
      </c>
      <c r="M387" s="280" t="s">
        <v>361</v>
      </c>
      <c r="N387" s="281"/>
      <c r="O387" s="281"/>
      <c r="P387" s="281"/>
      <c r="Q387" s="282"/>
      <c r="R387" s="1"/>
      <c r="S387" s="3">
        <f>$I$12</f>
        <v>1250</v>
      </c>
      <c r="T387" s="4">
        <f t="shared" si="53"/>
        <v>0</v>
      </c>
    </row>
    <row r="388" spans="2:23">
      <c r="B388" s="280" t="s">
        <v>343</v>
      </c>
      <c r="C388" s="281"/>
      <c r="D388" s="281"/>
      <c r="E388" s="281"/>
      <c r="F388" s="282"/>
      <c r="G388" s="1"/>
      <c r="H388" s="3">
        <f>$I$13</f>
        <v>1250</v>
      </c>
      <c r="I388" s="4">
        <f t="shared" si="52"/>
        <v>0</v>
      </c>
      <c r="M388" s="280" t="s">
        <v>362</v>
      </c>
      <c r="N388" s="281"/>
      <c r="O388" s="281"/>
      <c r="P388" s="281"/>
      <c r="Q388" s="282"/>
      <c r="R388" s="1"/>
      <c r="S388" s="3">
        <f>$I$13</f>
        <v>1250</v>
      </c>
      <c r="T388" s="4">
        <f t="shared" si="53"/>
        <v>0</v>
      </c>
    </row>
    <row r="389" spans="2:23">
      <c r="B389" s="280" t="s">
        <v>344</v>
      </c>
      <c r="C389" s="281"/>
      <c r="D389" s="281"/>
      <c r="E389" s="281"/>
      <c r="F389" s="282"/>
      <c r="G389" s="1"/>
      <c r="H389" s="3">
        <f>$I$14</f>
        <v>750</v>
      </c>
      <c r="I389" s="4">
        <f t="shared" si="52"/>
        <v>0</v>
      </c>
      <c r="M389" s="280" t="s">
        <v>363</v>
      </c>
      <c r="N389" s="281"/>
      <c r="O389" s="281"/>
      <c r="P389" s="281"/>
      <c r="Q389" s="282"/>
      <c r="R389" s="1"/>
      <c r="S389" s="3">
        <f>$I$14</f>
        <v>750</v>
      </c>
      <c r="T389" s="4">
        <f t="shared" si="53"/>
        <v>0</v>
      </c>
    </row>
    <row r="390" spans="2:23">
      <c r="B390" s="280" t="s">
        <v>345</v>
      </c>
      <c r="C390" s="281"/>
      <c r="D390" s="281"/>
      <c r="E390" s="281"/>
      <c r="F390" s="282"/>
      <c r="G390" s="1"/>
      <c r="H390" s="3">
        <f>$I$15</f>
        <v>175</v>
      </c>
      <c r="I390" s="4">
        <f t="shared" si="52"/>
        <v>0</v>
      </c>
      <c r="M390" s="280" t="s">
        <v>364</v>
      </c>
      <c r="N390" s="281"/>
      <c r="O390" s="281"/>
      <c r="P390" s="281"/>
      <c r="Q390" s="282"/>
      <c r="R390" s="1"/>
      <c r="S390" s="3">
        <f>$I$15</f>
        <v>175</v>
      </c>
      <c r="T390" s="4">
        <f t="shared" si="53"/>
        <v>0</v>
      </c>
    </row>
    <row r="391" spans="2:23">
      <c r="B391" s="280" t="s">
        <v>346</v>
      </c>
      <c r="C391" s="281"/>
      <c r="D391" s="281"/>
      <c r="E391" s="281"/>
      <c r="F391" s="282"/>
      <c r="G391" s="1"/>
      <c r="H391" s="3">
        <f>$I$16</f>
        <v>175</v>
      </c>
      <c r="I391" s="4">
        <f t="shared" si="52"/>
        <v>0</v>
      </c>
      <c r="M391" s="280" t="s">
        <v>365</v>
      </c>
      <c r="N391" s="281"/>
      <c r="O391" s="281"/>
      <c r="P391" s="281"/>
      <c r="Q391" s="282"/>
      <c r="R391" s="1"/>
      <c r="S391" s="3">
        <f>$I$16</f>
        <v>175</v>
      </c>
      <c r="T391" s="4">
        <f t="shared" si="53"/>
        <v>0</v>
      </c>
    </row>
    <row r="392" spans="2:23">
      <c r="B392" s="288" t="s">
        <v>222</v>
      </c>
      <c r="C392" s="289"/>
      <c r="D392" s="289"/>
      <c r="E392" s="289"/>
      <c r="F392" s="290"/>
      <c r="G392" s="1"/>
      <c r="H392" s="3">
        <f>$I$17</f>
        <v>90000</v>
      </c>
      <c r="I392" s="4">
        <f t="shared" si="52"/>
        <v>0</v>
      </c>
      <c r="M392" s="288" t="s">
        <v>222</v>
      </c>
      <c r="N392" s="289"/>
      <c r="O392" s="289"/>
      <c r="P392" s="289"/>
      <c r="Q392" s="290"/>
      <c r="R392" s="1"/>
      <c r="S392" s="3">
        <f>$I$17</f>
        <v>90000</v>
      </c>
      <c r="T392" s="4">
        <f t="shared" si="53"/>
        <v>0</v>
      </c>
    </row>
    <row r="393" spans="2:23" ht="15" thickBot="1">
      <c r="B393" s="283" t="s">
        <v>337</v>
      </c>
      <c r="C393" s="284"/>
      <c r="D393" s="284"/>
      <c r="E393" s="284"/>
      <c r="F393" s="285"/>
      <c r="G393" s="1"/>
      <c r="H393" s="3">
        <f>$I$18</f>
        <v>21000</v>
      </c>
      <c r="I393" s="4">
        <f t="shared" si="52"/>
        <v>0</v>
      </c>
      <c r="M393" s="283" t="s">
        <v>337</v>
      </c>
      <c r="N393" s="284"/>
      <c r="O393" s="284"/>
      <c r="P393" s="284"/>
      <c r="Q393" s="285"/>
      <c r="R393" s="1"/>
      <c r="S393" s="3">
        <f>$I$18</f>
        <v>21000</v>
      </c>
      <c r="T393" s="4">
        <f t="shared" si="53"/>
        <v>0</v>
      </c>
    </row>
    <row r="394" spans="2:23">
      <c r="B394" s="283" t="s">
        <v>269</v>
      </c>
      <c r="C394" s="284"/>
      <c r="D394" s="284"/>
      <c r="E394" s="284"/>
      <c r="F394" s="285"/>
      <c r="G394" s="1"/>
      <c r="H394" s="3">
        <f>$I$19</f>
        <v>40000</v>
      </c>
      <c r="I394" s="4">
        <f t="shared" si="52"/>
        <v>0</v>
      </c>
      <c r="J394" s="308" t="s">
        <v>275</v>
      </c>
      <c r="K394" s="309"/>
      <c r="L394" s="310"/>
      <c r="M394" s="283" t="s">
        <v>269</v>
      </c>
      <c r="N394" s="284"/>
      <c r="O394" s="284"/>
      <c r="P394" s="284"/>
      <c r="Q394" s="285"/>
      <c r="R394" s="1"/>
      <c r="S394" s="3">
        <f>$I$19</f>
        <v>40000</v>
      </c>
      <c r="T394" s="4">
        <f t="shared" si="53"/>
        <v>0</v>
      </c>
      <c r="U394" s="308" t="s">
        <v>275</v>
      </c>
      <c r="V394" s="309"/>
      <c r="W394" s="310"/>
    </row>
    <row r="395" spans="2:23" ht="15" thickBot="1">
      <c r="B395" s="283" t="s">
        <v>270</v>
      </c>
      <c r="C395" s="284"/>
      <c r="D395" s="284"/>
      <c r="E395" s="284"/>
      <c r="F395" s="285"/>
      <c r="G395" s="1"/>
      <c r="H395" s="3">
        <f>$I$20</f>
        <v>13000</v>
      </c>
      <c r="I395" s="4">
        <f t="shared" si="52"/>
        <v>0</v>
      </c>
      <c r="J395" s="311"/>
      <c r="K395" s="312"/>
      <c r="L395" s="313"/>
      <c r="M395" s="283" t="s">
        <v>270</v>
      </c>
      <c r="N395" s="284"/>
      <c r="O395" s="284"/>
      <c r="P395" s="284"/>
      <c r="Q395" s="285"/>
      <c r="R395" s="1"/>
      <c r="S395" s="3">
        <f>$I$20</f>
        <v>13000</v>
      </c>
      <c r="T395" s="4">
        <f t="shared" si="53"/>
        <v>0</v>
      </c>
      <c r="U395" s="311"/>
      <c r="V395" s="312"/>
      <c r="W395" s="313"/>
    </row>
    <row r="396" spans="2:23">
      <c r="B396" s="280"/>
      <c r="C396" s="281"/>
      <c r="D396" s="281"/>
      <c r="E396" s="281"/>
      <c r="F396" s="282"/>
      <c r="G396" s="1"/>
      <c r="H396" s="3"/>
      <c r="I396" s="4">
        <f t="shared" si="52"/>
        <v>0</v>
      </c>
      <c r="J396" s="257">
        <f>SUM(I378:I397)</f>
        <v>0</v>
      </c>
      <c r="K396" s="258"/>
      <c r="L396" s="259"/>
      <c r="M396" s="280"/>
      <c r="N396" s="281"/>
      <c r="O396" s="281"/>
      <c r="P396" s="281"/>
      <c r="Q396" s="282"/>
      <c r="R396" s="1"/>
      <c r="S396" s="3"/>
      <c r="T396" s="4">
        <f t="shared" si="53"/>
        <v>0</v>
      </c>
      <c r="U396" s="257">
        <f>SUM(T378:T397)</f>
        <v>0</v>
      </c>
      <c r="V396" s="258"/>
      <c r="W396" s="259"/>
    </row>
    <row r="397" spans="2:23" ht="15" thickBot="1">
      <c r="B397" s="286"/>
      <c r="C397" s="287"/>
      <c r="D397" s="287"/>
      <c r="E397" s="287"/>
      <c r="F397" s="287"/>
      <c r="G397" s="66"/>
      <c r="H397" s="67"/>
      <c r="I397" s="68">
        <f t="shared" si="52"/>
        <v>0</v>
      </c>
      <c r="J397" s="260"/>
      <c r="K397" s="261"/>
      <c r="L397" s="262"/>
      <c r="M397" s="286"/>
      <c r="N397" s="287"/>
      <c r="O397" s="287"/>
      <c r="P397" s="287"/>
      <c r="Q397" s="287"/>
      <c r="R397" s="66"/>
      <c r="S397" s="67"/>
      <c r="T397" s="68">
        <f t="shared" si="53"/>
        <v>0</v>
      </c>
      <c r="U397" s="260"/>
      <c r="V397" s="261"/>
      <c r="W397" s="262"/>
    </row>
    <row r="398" spans="2:23" ht="15" thickBot="1">
      <c r="B398" s="417" t="s">
        <v>271</v>
      </c>
      <c r="C398" s="418"/>
      <c r="D398" s="418"/>
      <c r="E398" s="418"/>
      <c r="F398" s="418"/>
      <c r="G398" s="418"/>
      <c r="H398" s="418"/>
      <c r="I398" s="419"/>
      <c r="M398" s="417" t="s">
        <v>271</v>
      </c>
      <c r="N398" s="418"/>
      <c r="O398" s="418"/>
      <c r="P398" s="418"/>
      <c r="Q398" s="418"/>
      <c r="R398" s="418"/>
      <c r="S398" s="418"/>
      <c r="T398" s="419"/>
    </row>
    <row r="399" spans="2:23" ht="15" thickBot="1">
      <c r="B399" s="314" t="s">
        <v>267</v>
      </c>
      <c r="C399" s="315"/>
      <c r="D399" s="315"/>
      <c r="E399" s="315"/>
      <c r="F399" s="315"/>
      <c r="G399" s="71" t="s">
        <v>266</v>
      </c>
      <c r="H399" s="71" t="s">
        <v>0</v>
      </c>
      <c r="I399" s="72" t="s">
        <v>265</v>
      </c>
      <c r="M399" s="314" t="s">
        <v>267</v>
      </c>
      <c r="N399" s="315"/>
      <c r="O399" s="315"/>
      <c r="P399" s="315"/>
      <c r="Q399" s="315"/>
      <c r="R399" s="71" t="s">
        <v>266</v>
      </c>
      <c r="S399" s="71" t="s">
        <v>0</v>
      </c>
      <c r="T399" s="72" t="s">
        <v>265</v>
      </c>
    </row>
    <row r="400" spans="2:23">
      <c r="B400" s="318" t="s">
        <v>272</v>
      </c>
      <c r="C400" s="319"/>
      <c r="D400" s="319"/>
      <c r="E400" s="319"/>
      <c r="F400" s="320"/>
      <c r="G400" s="6"/>
      <c r="H400" s="7">
        <f>$I$23</f>
        <v>220000</v>
      </c>
      <c r="I400" s="69">
        <f t="shared" ref="I400:I405" si="54">G400*H400</f>
        <v>0</v>
      </c>
      <c r="M400" s="318" t="s">
        <v>272</v>
      </c>
      <c r="N400" s="319"/>
      <c r="O400" s="319"/>
      <c r="P400" s="319"/>
      <c r="Q400" s="320"/>
      <c r="R400" s="6"/>
      <c r="S400" s="7">
        <f>$I$23</f>
        <v>220000</v>
      </c>
      <c r="T400" s="69">
        <f t="shared" ref="T400:T405" si="55">R400*S400</f>
        <v>0</v>
      </c>
    </row>
    <row r="401" spans="2:23">
      <c r="B401" s="283" t="s">
        <v>273</v>
      </c>
      <c r="C401" s="284"/>
      <c r="D401" s="284"/>
      <c r="E401" s="284"/>
      <c r="F401" s="285"/>
      <c r="G401" s="1"/>
      <c r="H401" s="7">
        <f>$I$26</f>
        <v>90000</v>
      </c>
      <c r="I401" s="4">
        <f t="shared" si="54"/>
        <v>0</v>
      </c>
      <c r="M401" s="283" t="s">
        <v>273</v>
      </c>
      <c r="N401" s="284"/>
      <c r="O401" s="284"/>
      <c r="P401" s="284"/>
      <c r="Q401" s="285"/>
      <c r="R401" s="1"/>
      <c r="S401" s="7">
        <f>$I$26</f>
        <v>90000</v>
      </c>
      <c r="T401" s="4">
        <f t="shared" si="55"/>
        <v>0</v>
      </c>
    </row>
    <row r="402" spans="2:23">
      <c r="B402" s="283" t="s">
        <v>224</v>
      </c>
      <c r="C402" s="284"/>
      <c r="D402" s="284"/>
      <c r="E402" s="284"/>
      <c r="F402" s="285"/>
      <c r="G402" s="1"/>
      <c r="H402" s="7">
        <f>$I$27</f>
        <v>60000</v>
      </c>
      <c r="I402" s="4">
        <f t="shared" si="54"/>
        <v>0</v>
      </c>
      <c r="M402" s="283" t="s">
        <v>224</v>
      </c>
      <c r="N402" s="284"/>
      <c r="O402" s="284"/>
      <c r="P402" s="284"/>
      <c r="Q402" s="285"/>
      <c r="R402" s="1"/>
      <c r="S402" s="7">
        <f>$I$27</f>
        <v>60000</v>
      </c>
      <c r="T402" s="4">
        <f t="shared" si="55"/>
        <v>0</v>
      </c>
    </row>
    <row r="403" spans="2:23">
      <c r="B403" s="283" t="s">
        <v>274</v>
      </c>
      <c r="C403" s="284"/>
      <c r="D403" s="284"/>
      <c r="E403" s="284"/>
      <c r="F403" s="285"/>
      <c r="G403" s="1"/>
      <c r="H403" s="7">
        <f>$I$26</f>
        <v>90000</v>
      </c>
      <c r="I403" s="4">
        <f t="shared" si="54"/>
        <v>0</v>
      </c>
      <c r="M403" s="283" t="s">
        <v>274</v>
      </c>
      <c r="N403" s="284"/>
      <c r="O403" s="284"/>
      <c r="P403" s="284"/>
      <c r="Q403" s="285"/>
      <c r="R403" s="1"/>
      <c r="S403" s="7">
        <f>$I$26</f>
        <v>90000</v>
      </c>
      <c r="T403" s="4">
        <f t="shared" si="55"/>
        <v>0</v>
      </c>
    </row>
    <row r="404" spans="2:23">
      <c r="B404" s="283" t="s">
        <v>226</v>
      </c>
      <c r="C404" s="284"/>
      <c r="D404" s="284"/>
      <c r="E404" s="284"/>
      <c r="F404" s="285"/>
      <c r="G404" s="1"/>
      <c r="H404" s="7"/>
      <c r="I404" s="4">
        <f t="shared" si="54"/>
        <v>0</v>
      </c>
      <c r="M404" s="283" t="s">
        <v>226</v>
      </c>
      <c r="N404" s="284"/>
      <c r="O404" s="284"/>
      <c r="P404" s="284"/>
      <c r="Q404" s="285"/>
      <c r="R404" s="1"/>
      <c r="S404" s="7"/>
      <c r="T404" s="4">
        <f t="shared" si="55"/>
        <v>0</v>
      </c>
    </row>
    <row r="405" spans="2:23">
      <c r="B405" s="58" t="s">
        <v>227</v>
      </c>
      <c r="C405" s="59"/>
      <c r="D405" s="59"/>
      <c r="E405" s="59"/>
      <c r="F405" s="60"/>
      <c r="G405" s="1"/>
      <c r="H405" s="7"/>
      <c r="I405" s="4">
        <f t="shared" si="54"/>
        <v>0</v>
      </c>
      <c r="M405" s="58" t="s">
        <v>227</v>
      </c>
      <c r="N405" s="59"/>
      <c r="O405" s="59"/>
      <c r="P405" s="59"/>
      <c r="Q405" s="60"/>
      <c r="R405" s="1"/>
      <c r="S405" s="7"/>
      <c r="T405" s="4">
        <f t="shared" si="55"/>
        <v>0</v>
      </c>
    </row>
    <row r="406" spans="2:23">
      <c r="B406" s="58" t="s">
        <v>225</v>
      </c>
      <c r="C406" s="59"/>
      <c r="D406" s="59"/>
      <c r="E406" s="59"/>
      <c r="F406" s="60"/>
      <c r="G406" s="1"/>
      <c r="H406" s="7"/>
      <c r="I406" s="4"/>
      <c r="M406" s="58" t="s">
        <v>225</v>
      </c>
      <c r="N406" s="59"/>
      <c r="O406" s="59"/>
      <c r="P406" s="59"/>
      <c r="Q406" s="60"/>
      <c r="R406" s="1"/>
      <c r="S406" s="7"/>
      <c r="T406" s="4"/>
    </row>
    <row r="407" spans="2:23" ht="15" thickBot="1">
      <c r="B407" s="58"/>
      <c r="C407" s="59"/>
      <c r="D407" s="59"/>
      <c r="E407" s="59"/>
      <c r="F407" s="60"/>
      <c r="G407" s="1"/>
      <c r="H407" s="3"/>
      <c r="I407" s="4">
        <f t="shared" ref="I407:I411" si="56">G407*H407</f>
        <v>0</v>
      </c>
      <c r="M407" s="58"/>
      <c r="N407" s="59"/>
      <c r="O407" s="59"/>
      <c r="P407" s="59"/>
      <c r="Q407" s="60"/>
      <c r="R407" s="1"/>
      <c r="S407" s="3"/>
      <c r="T407" s="4">
        <f t="shared" ref="T407:T411" si="57">R407*S407</f>
        <v>0</v>
      </c>
    </row>
    <row r="408" spans="2:23">
      <c r="B408" s="283"/>
      <c r="C408" s="284"/>
      <c r="D408" s="284"/>
      <c r="E408" s="284"/>
      <c r="F408" s="285"/>
      <c r="G408" s="1"/>
      <c r="H408" s="3"/>
      <c r="I408" s="4">
        <f t="shared" si="56"/>
        <v>0</v>
      </c>
      <c r="J408" s="308" t="s">
        <v>275</v>
      </c>
      <c r="K408" s="309"/>
      <c r="L408" s="310"/>
      <c r="M408" s="283"/>
      <c r="N408" s="284"/>
      <c r="O408" s="284"/>
      <c r="P408" s="284"/>
      <c r="Q408" s="285"/>
      <c r="R408" s="1"/>
      <c r="S408" s="3"/>
      <c r="T408" s="4">
        <f t="shared" si="57"/>
        <v>0</v>
      </c>
      <c r="U408" s="308" t="s">
        <v>275</v>
      </c>
      <c r="V408" s="309"/>
      <c r="W408" s="310"/>
    </row>
    <row r="409" spans="2:23" ht="15" thickBot="1">
      <c r="B409" s="283"/>
      <c r="C409" s="284"/>
      <c r="D409" s="284"/>
      <c r="E409" s="284"/>
      <c r="F409" s="285"/>
      <c r="G409" s="1"/>
      <c r="H409" s="3"/>
      <c r="I409" s="4">
        <f t="shared" si="56"/>
        <v>0</v>
      </c>
      <c r="J409" s="311"/>
      <c r="K409" s="312"/>
      <c r="L409" s="313"/>
      <c r="M409" s="283"/>
      <c r="N409" s="284"/>
      <c r="O409" s="284"/>
      <c r="P409" s="284"/>
      <c r="Q409" s="285"/>
      <c r="R409" s="1"/>
      <c r="S409" s="3"/>
      <c r="T409" s="4">
        <f t="shared" si="57"/>
        <v>0</v>
      </c>
      <c r="U409" s="311"/>
      <c r="V409" s="312"/>
      <c r="W409" s="313"/>
    </row>
    <row r="410" spans="2:23">
      <c r="B410" s="283"/>
      <c r="C410" s="284"/>
      <c r="D410" s="284"/>
      <c r="E410" s="284"/>
      <c r="F410" s="285"/>
      <c r="G410" s="1"/>
      <c r="H410" s="3"/>
      <c r="I410" s="4">
        <f t="shared" si="56"/>
        <v>0</v>
      </c>
      <c r="J410" s="257">
        <f>SUM(I400:I411)</f>
        <v>0</v>
      </c>
      <c r="K410" s="258"/>
      <c r="L410" s="259"/>
      <c r="M410" s="283"/>
      <c r="N410" s="284"/>
      <c r="O410" s="284"/>
      <c r="P410" s="284"/>
      <c r="Q410" s="285"/>
      <c r="R410" s="1"/>
      <c r="S410" s="3"/>
      <c r="T410" s="4">
        <f t="shared" si="57"/>
        <v>0</v>
      </c>
      <c r="U410" s="257">
        <f>SUM(T400:T411)</f>
        <v>0</v>
      </c>
      <c r="V410" s="258"/>
      <c r="W410" s="259"/>
    </row>
    <row r="411" spans="2:23" ht="15" thickBot="1">
      <c r="B411" s="73"/>
      <c r="C411" s="74"/>
      <c r="D411" s="74"/>
      <c r="E411" s="74"/>
      <c r="F411" s="75"/>
      <c r="G411" s="66"/>
      <c r="H411" s="67"/>
      <c r="I411" s="68">
        <f t="shared" si="56"/>
        <v>0</v>
      </c>
      <c r="J411" s="260"/>
      <c r="K411" s="261"/>
      <c r="L411" s="262"/>
      <c r="M411" s="73"/>
      <c r="N411" s="74"/>
      <c r="O411" s="74"/>
      <c r="P411" s="74"/>
      <c r="Q411" s="75"/>
      <c r="R411" s="66"/>
      <c r="S411" s="67"/>
      <c r="T411" s="68">
        <f t="shared" si="57"/>
        <v>0</v>
      </c>
      <c r="U411" s="260"/>
      <c r="V411" s="261"/>
      <c r="W411" s="262"/>
    </row>
    <row r="412" spans="2:23" ht="16.2" thickBot="1">
      <c r="B412" s="394" t="s">
        <v>25</v>
      </c>
      <c r="C412" s="395"/>
      <c r="D412" s="395"/>
      <c r="E412" s="395"/>
      <c r="F412" s="395"/>
      <c r="G412" s="395"/>
      <c r="H412" s="395"/>
      <c r="I412" s="396"/>
      <c r="J412" s="65"/>
      <c r="K412" s="65"/>
      <c r="L412" s="65"/>
      <c r="M412" s="394" t="s">
        <v>25</v>
      </c>
      <c r="N412" s="395"/>
      <c r="O412" s="395"/>
      <c r="P412" s="395"/>
      <c r="Q412" s="395"/>
      <c r="R412" s="395"/>
      <c r="S412" s="395"/>
      <c r="T412" s="396"/>
      <c r="U412" s="65"/>
      <c r="V412" s="65"/>
      <c r="W412" s="65"/>
    </row>
    <row r="413" spans="2:23" ht="16.2" thickBot="1">
      <c r="B413" s="400" t="s">
        <v>267</v>
      </c>
      <c r="C413" s="401"/>
      <c r="D413" s="401"/>
      <c r="E413" s="401"/>
      <c r="F413" s="401"/>
      <c r="G413" s="84" t="s">
        <v>266</v>
      </c>
      <c r="H413" s="85" t="s">
        <v>0</v>
      </c>
      <c r="I413" s="86" t="s">
        <v>265</v>
      </c>
      <c r="J413" s="65"/>
      <c r="K413" s="65"/>
      <c r="L413" s="65"/>
      <c r="M413" s="400" t="s">
        <v>267</v>
      </c>
      <c r="N413" s="401"/>
      <c r="O413" s="401"/>
      <c r="P413" s="401"/>
      <c r="Q413" s="401"/>
      <c r="R413" s="84" t="s">
        <v>266</v>
      </c>
      <c r="S413" s="85" t="s">
        <v>0</v>
      </c>
      <c r="T413" s="86" t="s">
        <v>265</v>
      </c>
      <c r="U413" s="65"/>
      <c r="V413" s="65"/>
      <c r="W413" s="65"/>
    </row>
    <row r="414" spans="2:23" ht="15.6">
      <c r="B414" s="397" t="s">
        <v>31</v>
      </c>
      <c r="C414" s="398"/>
      <c r="D414" s="398"/>
      <c r="E414" s="398"/>
      <c r="F414" s="399"/>
      <c r="G414" s="6"/>
      <c r="H414" s="7">
        <f>$R$4</f>
        <v>300000</v>
      </c>
      <c r="I414" s="4">
        <f t="shared" ref="I414:I416" si="58">G414*H414</f>
        <v>0</v>
      </c>
      <c r="J414" s="65"/>
      <c r="K414" s="65"/>
      <c r="L414" s="65"/>
      <c r="M414" s="397" t="s">
        <v>31</v>
      </c>
      <c r="N414" s="398"/>
      <c r="O414" s="398"/>
      <c r="P414" s="398"/>
      <c r="Q414" s="399"/>
      <c r="R414" s="6"/>
      <c r="S414" s="7">
        <f>$R$4</f>
        <v>300000</v>
      </c>
      <c r="T414" s="4">
        <f t="shared" ref="T414:T416" si="59">R414*S414</f>
        <v>0</v>
      </c>
      <c r="U414" s="65"/>
      <c r="V414" s="65"/>
      <c r="W414" s="65"/>
    </row>
    <row r="415" spans="2:23" ht="15.6">
      <c r="B415" s="277" t="s">
        <v>11</v>
      </c>
      <c r="C415" s="278"/>
      <c r="D415" s="278"/>
      <c r="E415" s="278"/>
      <c r="F415" s="279"/>
      <c r="G415" s="1"/>
      <c r="H415" s="7">
        <f>$R$5</f>
        <v>250000</v>
      </c>
      <c r="I415" s="4">
        <f t="shared" si="58"/>
        <v>0</v>
      </c>
      <c r="J415" s="65"/>
      <c r="K415" s="65"/>
      <c r="L415" s="65"/>
      <c r="M415" s="277" t="s">
        <v>11</v>
      </c>
      <c r="N415" s="278"/>
      <c r="O415" s="278"/>
      <c r="P415" s="278"/>
      <c r="Q415" s="279"/>
      <c r="R415" s="1"/>
      <c r="S415" s="7">
        <f>$R$5</f>
        <v>250000</v>
      </c>
      <c r="T415" s="4">
        <f t="shared" si="59"/>
        <v>0</v>
      </c>
      <c r="U415" s="65"/>
      <c r="V415" s="65"/>
      <c r="W415" s="65"/>
    </row>
    <row r="416" spans="2:23" ht="15.6">
      <c r="B416" s="277" t="s">
        <v>32</v>
      </c>
      <c r="C416" s="278"/>
      <c r="D416" s="278"/>
      <c r="E416" s="278"/>
      <c r="F416" s="279"/>
      <c r="G416" s="1"/>
      <c r="H416" s="7">
        <f>$R$6</f>
        <v>65000</v>
      </c>
      <c r="I416" s="4">
        <f t="shared" si="58"/>
        <v>0</v>
      </c>
      <c r="J416" s="65"/>
      <c r="K416" s="65"/>
      <c r="L416" s="65"/>
      <c r="M416" s="277" t="s">
        <v>32</v>
      </c>
      <c r="N416" s="278"/>
      <c r="O416" s="278"/>
      <c r="P416" s="278"/>
      <c r="Q416" s="279"/>
      <c r="R416" s="1"/>
      <c r="S416" s="7">
        <f>$R$6</f>
        <v>65000</v>
      </c>
      <c r="T416" s="4">
        <f t="shared" si="59"/>
        <v>0</v>
      </c>
      <c r="U416" s="65"/>
      <c r="V416" s="65"/>
      <c r="W416" s="65"/>
    </row>
    <row r="417" spans="2:23">
      <c r="B417" s="277" t="s">
        <v>327</v>
      </c>
      <c r="C417" s="278"/>
      <c r="D417" s="278"/>
      <c r="E417" s="278"/>
      <c r="F417" s="279"/>
      <c r="G417" s="1"/>
      <c r="H417" s="7">
        <f>$R$7</f>
        <v>30000</v>
      </c>
      <c r="I417" s="4">
        <f>G417*H417</f>
        <v>0</v>
      </c>
      <c r="M417" s="277" t="s">
        <v>327</v>
      </c>
      <c r="N417" s="278"/>
      <c r="O417" s="278"/>
      <c r="P417" s="278"/>
      <c r="Q417" s="279"/>
      <c r="R417" s="1"/>
      <c r="S417" s="7">
        <f>$R$7</f>
        <v>30000</v>
      </c>
      <c r="T417" s="4">
        <f>R417*S417</f>
        <v>0</v>
      </c>
    </row>
    <row r="418" spans="2:23">
      <c r="B418" s="277" t="s">
        <v>100</v>
      </c>
      <c r="C418" s="278"/>
      <c r="D418" s="278"/>
      <c r="E418" s="278"/>
      <c r="F418" s="279"/>
      <c r="G418" s="1"/>
      <c r="H418" s="7">
        <f>$R$8</f>
        <v>30000</v>
      </c>
      <c r="I418" s="4">
        <f t="shared" ref="I418:I425" si="60">G418*H418</f>
        <v>0</v>
      </c>
      <c r="M418" s="277" t="s">
        <v>100</v>
      </c>
      <c r="N418" s="278"/>
      <c r="O418" s="278"/>
      <c r="P418" s="278"/>
      <c r="Q418" s="279"/>
      <c r="R418" s="1"/>
      <c r="S418" s="7">
        <f>$R$8</f>
        <v>30000</v>
      </c>
      <c r="T418" s="4">
        <f t="shared" ref="T418:T425" si="61">R418*S418</f>
        <v>0</v>
      </c>
    </row>
    <row r="419" spans="2:23">
      <c r="B419" s="277" t="s">
        <v>328</v>
      </c>
      <c r="C419" s="278"/>
      <c r="D419" s="278"/>
      <c r="E419" s="278"/>
      <c r="F419" s="279"/>
      <c r="G419" s="1"/>
      <c r="H419" s="7">
        <f>$R$9</f>
        <v>50000</v>
      </c>
      <c r="I419" s="4">
        <f t="shared" si="60"/>
        <v>0</v>
      </c>
      <c r="M419" s="277" t="s">
        <v>328</v>
      </c>
      <c r="N419" s="278"/>
      <c r="O419" s="278"/>
      <c r="P419" s="278"/>
      <c r="Q419" s="279"/>
      <c r="R419" s="1"/>
      <c r="S419" s="7">
        <f>$R$9</f>
        <v>50000</v>
      </c>
      <c r="T419" s="4">
        <f t="shared" si="61"/>
        <v>0</v>
      </c>
    </row>
    <row r="420" spans="2:23">
      <c r="B420" s="277" t="s">
        <v>325</v>
      </c>
      <c r="C420" s="278"/>
      <c r="D420" s="278"/>
      <c r="E420" s="278"/>
      <c r="F420" s="279"/>
      <c r="G420" s="1"/>
      <c r="H420" s="7">
        <f>$R$10</f>
        <v>15000</v>
      </c>
      <c r="I420" s="4">
        <f t="shared" si="60"/>
        <v>0</v>
      </c>
      <c r="M420" s="277" t="s">
        <v>325</v>
      </c>
      <c r="N420" s="278"/>
      <c r="O420" s="278"/>
      <c r="P420" s="278"/>
      <c r="Q420" s="279"/>
      <c r="R420" s="1"/>
      <c r="S420" s="7">
        <f>$R$10</f>
        <v>15000</v>
      </c>
      <c r="T420" s="4">
        <f t="shared" si="61"/>
        <v>0</v>
      </c>
    </row>
    <row r="421" spans="2:23" ht="15" thickBot="1">
      <c r="B421" s="277" t="s">
        <v>326</v>
      </c>
      <c r="C421" s="278"/>
      <c r="D421" s="278"/>
      <c r="E421" s="278"/>
      <c r="F421" s="279"/>
      <c r="G421" s="1"/>
      <c r="H421" s="7">
        <f>$R$11</f>
        <v>15000</v>
      </c>
      <c r="I421" s="4">
        <f t="shared" si="60"/>
        <v>0</v>
      </c>
      <c r="M421" s="277" t="s">
        <v>326</v>
      </c>
      <c r="N421" s="278"/>
      <c r="O421" s="278"/>
      <c r="P421" s="278"/>
      <c r="Q421" s="279"/>
      <c r="R421" s="1"/>
      <c r="S421" s="7">
        <f>$R$11</f>
        <v>15000</v>
      </c>
      <c r="T421" s="4">
        <f t="shared" si="61"/>
        <v>0</v>
      </c>
    </row>
    <row r="422" spans="2:23">
      <c r="B422" s="55" t="s">
        <v>276</v>
      </c>
      <c r="C422" s="56"/>
      <c r="D422" s="56"/>
      <c r="E422" s="56"/>
      <c r="F422" s="57"/>
      <c r="G422" s="1"/>
      <c r="H422" s="7">
        <f>$R$12</f>
        <v>75000</v>
      </c>
      <c r="I422" s="4">
        <f t="shared" si="60"/>
        <v>0</v>
      </c>
      <c r="J422" s="308" t="s">
        <v>275</v>
      </c>
      <c r="K422" s="309"/>
      <c r="L422" s="310"/>
      <c r="M422" s="55" t="s">
        <v>276</v>
      </c>
      <c r="N422" s="56"/>
      <c r="O422" s="56"/>
      <c r="P422" s="56"/>
      <c r="Q422" s="57"/>
      <c r="R422" s="1"/>
      <c r="S422" s="7">
        <f>$R$12</f>
        <v>75000</v>
      </c>
      <c r="T422" s="4">
        <f t="shared" si="61"/>
        <v>0</v>
      </c>
      <c r="U422" s="308" t="s">
        <v>275</v>
      </c>
      <c r="V422" s="309"/>
      <c r="W422" s="310"/>
    </row>
    <row r="423" spans="2:23" ht="15" thickBot="1">
      <c r="B423" s="55" t="s">
        <v>277</v>
      </c>
      <c r="C423" s="56"/>
      <c r="D423" s="56"/>
      <c r="E423" s="56"/>
      <c r="F423" s="57"/>
      <c r="G423" s="1"/>
      <c r="H423" s="7">
        <f>$R$13</f>
        <v>75000</v>
      </c>
      <c r="I423" s="4">
        <f t="shared" si="60"/>
        <v>0</v>
      </c>
      <c r="J423" s="311"/>
      <c r="K423" s="312"/>
      <c r="L423" s="313"/>
      <c r="M423" s="55" t="s">
        <v>277</v>
      </c>
      <c r="N423" s="56"/>
      <c r="O423" s="56"/>
      <c r="P423" s="56"/>
      <c r="Q423" s="57"/>
      <c r="R423" s="1"/>
      <c r="S423" s="7">
        <f>$R$13</f>
        <v>75000</v>
      </c>
      <c r="T423" s="4">
        <f t="shared" si="61"/>
        <v>0</v>
      </c>
      <c r="U423" s="311"/>
      <c r="V423" s="312"/>
      <c r="W423" s="313"/>
    </row>
    <row r="424" spans="2:23">
      <c r="B424" s="277" t="s">
        <v>347</v>
      </c>
      <c r="C424" s="278"/>
      <c r="D424" s="278"/>
      <c r="E424" s="278"/>
      <c r="F424" s="279"/>
      <c r="G424" s="1"/>
      <c r="H424" s="7">
        <f>$R$14</f>
        <v>30000</v>
      </c>
      <c r="I424" s="4">
        <f t="shared" si="60"/>
        <v>0</v>
      </c>
      <c r="J424" s="257">
        <f>SUM(I414:I425)</f>
        <v>0</v>
      </c>
      <c r="K424" s="258"/>
      <c r="L424" s="259"/>
      <c r="M424" s="277" t="s">
        <v>366</v>
      </c>
      <c r="N424" s="278"/>
      <c r="O424" s="278"/>
      <c r="P424" s="278"/>
      <c r="Q424" s="279"/>
      <c r="R424" s="1"/>
      <c r="S424" s="7">
        <f>$R$14</f>
        <v>30000</v>
      </c>
      <c r="T424" s="4">
        <f t="shared" si="61"/>
        <v>0</v>
      </c>
      <c r="U424" s="257">
        <f>SUM(T414:T425)</f>
        <v>0</v>
      </c>
      <c r="V424" s="258"/>
      <c r="W424" s="259"/>
    </row>
    <row r="425" spans="2:23" ht="15" thickBot="1">
      <c r="B425" s="277" t="s">
        <v>12</v>
      </c>
      <c r="C425" s="278"/>
      <c r="D425" s="278"/>
      <c r="E425" s="278"/>
      <c r="F425" s="279"/>
      <c r="G425" s="66"/>
      <c r="H425" s="7">
        <f>$R$15</f>
        <v>12000</v>
      </c>
      <c r="I425" s="4">
        <f t="shared" si="60"/>
        <v>0</v>
      </c>
      <c r="J425" s="260"/>
      <c r="K425" s="261"/>
      <c r="L425" s="262"/>
      <c r="M425" s="277" t="s">
        <v>12</v>
      </c>
      <c r="N425" s="278"/>
      <c r="O425" s="278"/>
      <c r="P425" s="278"/>
      <c r="Q425" s="279"/>
      <c r="R425" s="66"/>
      <c r="S425" s="7">
        <f>$R$15</f>
        <v>12000</v>
      </c>
      <c r="T425" s="4">
        <f t="shared" si="61"/>
        <v>0</v>
      </c>
      <c r="U425" s="260"/>
      <c r="V425" s="261"/>
      <c r="W425" s="262"/>
    </row>
    <row r="426" spans="2:23" ht="15" thickBot="1">
      <c r="B426" s="402" t="s">
        <v>27</v>
      </c>
      <c r="C426" s="403"/>
      <c r="D426" s="403"/>
      <c r="E426" s="403"/>
      <c r="F426" s="403"/>
      <c r="G426" s="403"/>
      <c r="H426" s="403"/>
      <c r="I426" s="404"/>
      <c r="M426" s="402" t="s">
        <v>27</v>
      </c>
      <c r="N426" s="403"/>
      <c r="O426" s="403"/>
      <c r="P426" s="403"/>
      <c r="Q426" s="403"/>
      <c r="R426" s="403"/>
      <c r="S426" s="403"/>
      <c r="T426" s="404"/>
    </row>
    <row r="427" spans="2:23" ht="15" thickBot="1">
      <c r="B427" s="402" t="s">
        <v>267</v>
      </c>
      <c r="C427" s="403"/>
      <c r="D427" s="403"/>
      <c r="E427" s="403"/>
      <c r="F427" s="403"/>
      <c r="G427" s="76" t="s">
        <v>266</v>
      </c>
      <c r="H427" s="76" t="s">
        <v>0</v>
      </c>
      <c r="I427" s="77" t="s">
        <v>265</v>
      </c>
      <c r="M427" s="402" t="s">
        <v>267</v>
      </c>
      <c r="N427" s="403"/>
      <c r="O427" s="403"/>
      <c r="P427" s="403"/>
      <c r="Q427" s="403"/>
      <c r="R427" s="76" t="s">
        <v>266</v>
      </c>
      <c r="S427" s="76" t="s">
        <v>0</v>
      </c>
      <c r="T427" s="77" t="s">
        <v>265</v>
      </c>
    </row>
    <row r="428" spans="2:23">
      <c r="B428" s="373" t="s">
        <v>348</v>
      </c>
      <c r="C428" s="374"/>
      <c r="D428" s="374"/>
      <c r="E428" s="374"/>
      <c r="F428" s="375"/>
      <c r="G428" s="6"/>
      <c r="H428" s="7"/>
      <c r="I428" s="4">
        <f t="shared" ref="I428:I439" si="62">G428*H428</f>
        <v>0</v>
      </c>
      <c r="M428" s="373" t="s">
        <v>367</v>
      </c>
      <c r="N428" s="374"/>
      <c r="O428" s="374"/>
      <c r="P428" s="374"/>
      <c r="Q428" s="375"/>
      <c r="R428" s="6"/>
      <c r="S428" s="7"/>
      <c r="T428" s="4">
        <f t="shared" ref="T428:T439" si="63">R428*S428</f>
        <v>0</v>
      </c>
    </row>
    <row r="429" spans="2:23">
      <c r="B429" s="373" t="s">
        <v>349</v>
      </c>
      <c r="C429" s="374"/>
      <c r="D429" s="374"/>
      <c r="E429" s="374"/>
      <c r="F429" s="375"/>
      <c r="G429" s="1"/>
      <c r="H429" s="3"/>
      <c r="I429" s="4">
        <f t="shared" si="62"/>
        <v>0</v>
      </c>
      <c r="M429" s="373" t="s">
        <v>368</v>
      </c>
      <c r="N429" s="374"/>
      <c r="O429" s="374"/>
      <c r="P429" s="374"/>
      <c r="Q429" s="375"/>
      <c r="R429" s="1"/>
      <c r="S429" s="3"/>
      <c r="T429" s="4">
        <f t="shared" si="63"/>
        <v>0</v>
      </c>
    </row>
    <row r="430" spans="2:23">
      <c r="B430" s="263" t="s">
        <v>280</v>
      </c>
      <c r="C430" s="264"/>
      <c r="D430" s="264"/>
      <c r="E430" s="264"/>
      <c r="F430" s="265"/>
      <c r="G430" s="1"/>
      <c r="H430" s="3"/>
      <c r="I430" s="4">
        <f t="shared" si="62"/>
        <v>0</v>
      </c>
      <c r="M430" s="263" t="s">
        <v>280</v>
      </c>
      <c r="N430" s="264"/>
      <c r="O430" s="264"/>
      <c r="P430" s="264"/>
      <c r="Q430" s="265"/>
      <c r="R430" s="1"/>
      <c r="S430" s="3"/>
      <c r="T430" s="4">
        <f t="shared" si="63"/>
        <v>0</v>
      </c>
    </row>
    <row r="431" spans="2:23">
      <c r="B431" s="263" t="s">
        <v>94</v>
      </c>
      <c r="C431" s="264"/>
      <c r="D431" s="264"/>
      <c r="E431" s="264"/>
      <c r="F431" s="265"/>
      <c r="G431" s="1"/>
      <c r="H431" s="3"/>
      <c r="I431" s="4">
        <f t="shared" si="62"/>
        <v>0</v>
      </c>
      <c r="M431" s="263" t="s">
        <v>94</v>
      </c>
      <c r="N431" s="264"/>
      <c r="O431" s="264"/>
      <c r="P431" s="264"/>
      <c r="Q431" s="265"/>
      <c r="R431" s="1"/>
      <c r="S431" s="3"/>
      <c r="T431" s="4">
        <f t="shared" si="63"/>
        <v>0</v>
      </c>
    </row>
    <row r="432" spans="2:23">
      <c r="B432" s="52" t="s">
        <v>283</v>
      </c>
      <c r="C432" s="53"/>
      <c r="D432" s="53"/>
      <c r="E432" s="53"/>
      <c r="F432" s="54"/>
      <c r="G432" s="1"/>
      <c r="H432" s="3"/>
      <c r="I432" s="4">
        <f t="shared" si="62"/>
        <v>0</v>
      </c>
      <c r="M432" s="52" t="s">
        <v>369</v>
      </c>
      <c r="N432" s="53"/>
      <c r="O432" s="53"/>
      <c r="P432" s="53"/>
      <c r="Q432" s="54"/>
      <c r="R432" s="1"/>
      <c r="S432" s="3"/>
      <c r="T432" s="4">
        <f t="shared" si="63"/>
        <v>0</v>
      </c>
    </row>
    <row r="433" spans="2:23">
      <c r="B433" s="263" t="s">
        <v>350</v>
      </c>
      <c r="C433" s="264"/>
      <c r="D433" s="264"/>
      <c r="E433" s="264"/>
      <c r="F433" s="265"/>
      <c r="G433" s="1"/>
      <c r="H433" s="3"/>
      <c r="I433" s="4">
        <f t="shared" si="62"/>
        <v>0</v>
      </c>
      <c r="M433" s="263" t="s">
        <v>370</v>
      </c>
      <c r="N433" s="264"/>
      <c r="O433" s="264"/>
      <c r="P433" s="264"/>
      <c r="Q433" s="265"/>
      <c r="R433" s="1"/>
      <c r="S433" s="3"/>
      <c r="T433" s="4">
        <f t="shared" si="63"/>
        <v>0</v>
      </c>
    </row>
    <row r="434" spans="2:23">
      <c r="B434" s="263" t="s">
        <v>287</v>
      </c>
      <c r="C434" s="264"/>
      <c r="D434" s="264"/>
      <c r="E434" s="264"/>
      <c r="F434" s="265"/>
      <c r="G434" s="1"/>
      <c r="H434" s="3"/>
      <c r="I434" s="4">
        <f t="shared" si="62"/>
        <v>0</v>
      </c>
      <c r="M434" s="263" t="s">
        <v>371</v>
      </c>
      <c r="N434" s="264"/>
      <c r="O434" s="264"/>
      <c r="P434" s="264"/>
      <c r="Q434" s="265"/>
      <c r="R434" s="1"/>
      <c r="S434" s="3"/>
      <c r="T434" s="4">
        <f t="shared" si="63"/>
        <v>0</v>
      </c>
    </row>
    <row r="435" spans="2:23" ht="15" thickBot="1">
      <c r="B435" s="52" t="s">
        <v>351</v>
      </c>
      <c r="C435" s="53"/>
      <c r="D435" s="53"/>
      <c r="E435" s="53"/>
      <c r="F435" s="54"/>
      <c r="G435" s="1"/>
      <c r="H435" s="3"/>
      <c r="I435" s="4">
        <f t="shared" si="62"/>
        <v>0</v>
      </c>
      <c r="M435" s="52" t="s">
        <v>372</v>
      </c>
      <c r="N435" s="53"/>
      <c r="O435" s="53"/>
      <c r="P435" s="53"/>
      <c r="Q435" s="54"/>
      <c r="R435" s="1"/>
      <c r="S435" s="3"/>
      <c r="T435" s="4">
        <f t="shared" si="63"/>
        <v>0</v>
      </c>
    </row>
    <row r="436" spans="2:23">
      <c r="B436" s="263" t="s">
        <v>352</v>
      </c>
      <c r="C436" s="264"/>
      <c r="D436" s="264"/>
      <c r="E436" s="264"/>
      <c r="F436" s="265"/>
      <c r="G436" s="1"/>
      <c r="H436" s="3"/>
      <c r="I436" s="4">
        <f t="shared" si="62"/>
        <v>0</v>
      </c>
      <c r="J436" s="308" t="s">
        <v>275</v>
      </c>
      <c r="K436" s="309"/>
      <c r="L436" s="310"/>
      <c r="M436" s="263" t="s">
        <v>373</v>
      </c>
      <c r="N436" s="264"/>
      <c r="O436" s="264"/>
      <c r="P436" s="264"/>
      <c r="Q436" s="265"/>
      <c r="R436" s="1"/>
      <c r="S436" s="3"/>
      <c r="T436" s="4">
        <f t="shared" si="63"/>
        <v>0</v>
      </c>
      <c r="U436" s="308" t="s">
        <v>275</v>
      </c>
      <c r="V436" s="309"/>
      <c r="W436" s="310"/>
    </row>
    <row r="437" spans="2:23" ht="15" thickBot="1">
      <c r="B437" s="263" t="s">
        <v>353</v>
      </c>
      <c r="C437" s="264"/>
      <c r="D437" s="264"/>
      <c r="E437" s="264"/>
      <c r="F437" s="265"/>
      <c r="G437" s="1"/>
      <c r="H437" s="3"/>
      <c r="I437" s="4">
        <f t="shared" si="62"/>
        <v>0</v>
      </c>
      <c r="J437" s="311"/>
      <c r="K437" s="312"/>
      <c r="L437" s="313"/>
      <c r="M437" s="263" t="s">
        <v>374</v>
      </c>
      <c r="N437" s="264"/>
      <c r="O437" s="264"/>
      <c r="P437" s="264"/>
      <c r="Q437" s="265"/>
      <c r="R437" s="1"/>
      <c r="S437" s="3"/>
      <c r="T437" s="4">
        <f t="shared" si="63"/>
        <v>0</v>
      </c>
      <c r="U437" s="311"/>
      <c r="V437" s="312"/>
      <c r="W437" s="313"/>
    </row>
    <row r="438" spans="2:23">
      <c r="B438" s="263"/>
      <c r="C438" s="264"/>
      <c r="D438" s="264"/>
      <c r="E438" s="264"/>
      <c r="F438" s="265"/>
      <c r="G438" s="1"/>
      <c r="H438" s="3"/>
      <c r="I438" s="4">
        <f t="shared" si="62"/>
        <v>0</v>
      </c>
      <c r="J438" s="257">
        <f>SUM(I428:I439)</f>
        <v>0</v>
      </c>
      <c r="K438" s="258"/>
      <c r="L438" s="259"/>
      <c r="M438" s="263"/>
      <c r="N438" s="264"/>
      <c r="O438" s="264"/>
      <c r="P438" s="264"/>
      <c r="Q438" s="265"/>
      <c r="R438" s="1"/>
      <c r="S438" s="3"/>
      <c r="T438" s="4">
        <f t="shared" si="63"/>
        <v>0</v>
      </c>
      <c r="U438" s="257">
        <f>SUM(T428:T439)</f>
        <v>0</v>
      </c>
      <c r="V438" s="258"/>
      <c r="W438" s="259"/>
    </row>
    <row r="439" spans="2:23" ht="15" thickBot="1">
      <c r="B439" s="405"/>
      <c r="C439" s="406"/>
      <c r="D439" s="406"/>
      <c r="E439" s="406"/>
      <c r="F439" s="407"/>
      <c r="G439" s="66"/>
      <c r="H439" s="67"/>
      <c r="I439" s="68">
        <f t="shared" si="62"/>
        <v>0</v>
      </c>
      <c r="J439" s="260"/>
      <c r="K439" s="261"/>
      <c r="L439" s="262"/>
      <c r="M439" s="405"/>
      <c r="N439" s="406"/>
      <c r="O439" s="406"/>
      <c r="P439" s="406"/>
      <c r="Q439" s="407"/>
      <c r="R439" s="66"/>
      <c r="S439" s="67"/>
      <c r="T439" s="68">
        <f t="shared" si="63"/>
        <v>0</v>
      </c>
      <c r="U439" s="260"/>
      <c r="V439" s="261"/>
      <c r="W439" s="262"/>
    </row>
    <row r="440" spans="2:23" ht="16.2" thickBot="1">
      <c r="B440" s="367" t="s">
        <v>26</v>
      </c>
      <c r="C440" s="368"/>
      <c r="D440" s="368"/>
      <c r="E440" s="368"/>
      <c r="F440" s="368"/>
      <c r="G440" s="368"/>
      <c r="H440" s="368"/>
      <c r="I440" s="369"/>
      <c r="J440" s="65"/>
      <c r="K440" s="65"/>
      <c r="L440" s="65"/>
      <c r="M440" s="367" t="s">
        <v>26</v>
      </c>
      <c r="N440" s="368"/>
      <c r="O440" s="368"/>
      <c r="P440" s="368"/>
      <c r="Q440" s="368"/>
      <c r="R440" s="368"/>
      <c r="S440" s="368"/>
      <c r="T440" s="369"/>
      <c r="U440" s="65"/>
      <c r="V440" s="65"/>
      <c r="W440" s="65"/>
    </row>
    <row r="441" spans="2:23" ht="16.2" thickBot="1">
      <c r="B441" s="367" t="s">
        <v>267</v>
      </c>
      <c r="C441" s="368"/>
      <c r="D441" s="368"/>
      <c r="E441" s="368"/>
      <c r="F441" s="368"/>
      <c r="G441" s="87" t="s">
        <v>266</v>
      </c>
      <c r="H441" s="87" t="s">
        <v>0</v>
      </c>
      <c r="I441" s="88" t="s">
        <v>265</v>
      </c>
      <c r="J441" s="65"/>
      <c r="K441" s="65"/>
      <c r="L441" s="65"/>
      <c r="M441" s="367" t="s">
        <v>267</v>
      </c>
      <c r="N441" s="368"/>
      <c r="O441" s="368"/>
      <c r="P441" s="368"/>
      <c r="Q441" s="368"/>
      <c r="R441" s="87" t="s">
        <v>266</v>
      </c>
      <c r="S441" s="87" t="s">
        <v>0</v>
      </c>
      <c r="T441" s="88" t="s">
        <v>265</v>
      </c>
      <c r="U441" s="65"/>
      <c r="V441" s="65"/>
      <c r="W441" s="65"/>
    </row>
    <row r="442" spans="2:23">
      <c r="B442" s="408" t="s">
        <v>296</v>
      </c>
      <c r="C442" s="409"/>
      <c r="D442" s="409"/>
      <c r="E442" s="409"/>
      <c r="F442" s="410"/>
      <c r="G442" s="81"/>
      <c r="H442" s="82"/>
      <c r="I442" s="83">
        <f t="shared" ref="I442:I458" si="64">G442*H442</f>
        <v>0</v>
      </c>
      <c r="M442" s="408" t="s">
        <v>296</v>
      </c>
      <c r="N442" s="409"/>
      <c r="O442" s="409"/>
      <c r="P442" s="409"/>
      <c r="Q442" s="410"/>
      <c r="R442" s="81"/>
      <c r="S442" s="82"/>
      <c r="T442" s="83">
        <f t="shared" ref="T442:T458" si="65">R442*S442</f>
        <v>0</v>
      </c>
    </row>
    <row r="443" spans="2:23">
      <c r="B443" s="268" t="s">
        <v>295</v>
      </c>
      <c r="C443" s="269"/>
      <c r="D443" s="269"/>
      <c r="E443" s="269"/>
      <c r="F443" s="270"/>
      <c r="G443" s="1"/>
      <c r="H443" s="3"/>
      <c r="I443" s="4">
        <f t="shared" si="64"/>
        <v>0</v>
      </c>
      <c r="M443" s="268" t="s">
        <v>295</v>
      </c>
      <c r="N443" s="269"/>
      <c r="O443" s="269"/>
      <c r="P443" s="269"/>
      <c r="Q443" s="270"/>
      <c r="R443" s="1"/>
      <c r="S443" s="3"/>
      <c r="T443" s="4">
        <f t="shared" si="65"/>
        <v>0</v>
      </c>
    </row>
    <row r="444" spans="2:23">
      <c r="B444" s="268" t="s">
        <v>330</v>
      </c>
      <c r="C444" s="269"/>
      <c r="D444" s="269"/>
      <c r="E444" s="269"/>
      <c r="F444" s="270"/>
      <c r="G444" s="1"/>
      <c r="H444" s="3"/>
      <c r="I444" s="4">
        <f t="shared" si="64"/>
        <v>0</v>
      </c>
      <c r="M444" s="268" t="s">
        <v>330</v>
      </c>
      <c r="N444" s="269"/>
      <c r="O444" s="269"/>
      <c r="P444" s="269"/>
      <c r="Q444" s="270"/>
      <c r="R444" s="1"/>
      <c r="S444" s="3"/>
      <c r="T444" s="4">
        <f t="shared" si="65"/>
        <v>0</v>
      </c>
    </row>
    <row r="445" spans="2:23">
      <c r="B445" s="268" t="s">
        <v>329</v>
      </c>
      <c r="C445" s="269"/>
      <c r="D445" s="269"/>
      <c r="E445" s="269"/>
      <c r="F445" s="270"/>
      <c r="G445" s="1"/>
      <c r="H445" s="3"/>
      <c r="I445" s="4">
        <f t="shared" si="64"/>
        <v>0</v>
      </c>
      <c r="M445" s="268" t="s">
        <v>329</v>
      </c>
      <c r="N445" s="269"/>
      <c r="O445" s="269"/>
      <c r="P445" s="269"/>
      <c r="Q445" s="270"/>
      <c r="R445" s="1"/>
      <c r="S445" s="3"/>
      <c r="T445" s="4">
        <f t="shared" si="65"/>
        <v>0</v>
      </c>
    </row>
    <row r="446" spans="2:23">
      <c r="B446" s="268" t="s">
        <v>331</v>
      </c>
      <c r="C446" s="269"/>
      <c r="D446" s="269"/>
      <c r="E446" s="269"/>
      <c r="F446" s="270"/>
      <c r="G446" s="1"/>
      <c r="H446" s="3"/>
      <c r="I446" s="4">
        <f t="shared" si="64"/>
        <v>0</v>
      </c>
      <c r="M446" s="268" t="s">
        <v>331</v>
      </c>
      <c r="N446" s="269"/>
      <c r="O446" s="269"/>
      <c r="P446" s="269"/>
      <c r="Q446" s="270"/>
      <c r="R446" s="1"/>
      <c r="S446" s="3"/>
      <c r="T446" s="4">
        <f t="shared" si="65"/>
        <v>0</v>
      </c>
    </row>
    <row r="447" spans="2:23">
      <c r="B447" s="49" t="s">
        <v>321</v>
      </c>
      <c r="C447" s="50"/>
      <c r="D447" s="50"/>
      <c r="E447" s="50"/>
      <c r="F447" s="51"/>
      <c r="G447" s="1"/>
      <c r="H447" s="3"/>
      <c r="I447" s="4">
        <f t="shared" si="64"/>
        <v>0</v>
      </c>
      <c r="M447" s="49" t="s">
        <v>321</v>
      </c>
      <c r="N447" s="50"/>
      <c r="O447" s="50"/>
      <c r="P447" s="50"/>
      <c r="Q447" s="51"/>
      <c r="R447" s="1"/>
      <c r="S447" s="3"/>
      <c r="T447" s="4">
        <f t="shared" si="65"/>
        <v>0</v>
      </c>
    </row>
    <row r="448" spans="2:23">
      <c r="B448" s="49" t="s">
        <v>41</v>
      </c>
      <c r="C448" s="50"/>
      <c r="D448" s="50"/>
      <c r="E448" s="50"/>
      <c r="F448" s="51"/>
      <c r="G448" s="1"/>
      <c r="H448" s="3"/>
      <c r="I448" s="4">
        <f t="shared" si="64"/>
        <v>0</v>
      </c>
      <c r="M448" s="49" t="s">
        <v>41</v>
      </c>
      <c r="N448" s="50"/>
      <c r="O448" s="50"/>
      <c r="P448" s="50"/>
      <c r="Q448" s="51"/>
      <c r="R448" s="1"/>
      <c r="S448" s="3"/>
      <c r="T448" s="4">
        <f t="shared" si="65"/>
        <v>0</v>
      </c>
    </row>
    <row r="449" spans="2:23">
      <c r="B449" s="49" t="s">
        <v>354</v>
      </c>
      <c r="C449" s="50"/>
      <c r="D449" s="50"/>
      <c r="E449" s="50"/>
      <c r="F449" s="51"/>
      <c r="G449" s="1"/>
      <c r="H449" s="3"/>
      <c r="I449" s="4">
        <f t="shared" si="64"/>
        <v>0</v>
      </c>
      <c r="M449" s="49" t="s">
        <v>375</v>
      </c>
      <c r="N449" s="50"/>
      <c r="O449" s="50"/>
      <c r="P449" s="50"/>
      <c r="Q449" s="51"/>
      <c r="R449" s="1"/>
      <c r="S449" s="3"/>
      <c r="T449" s="4">
        <f t="shared" si="65"/>
        <v>0</v>
      </c>
    </row>
    <row r="450" spans="2:23">
      <c r="B450" s="49" t="s">
        <v>355</v>
      </c>
      <c r="C450" s="50"/>
      <c r="D450" s="50"/>
      <c r="E450" s="50"/>
      <c r="F450" s="51"/>
      <c r="G450" s="1"/>
      <c r="H450" s="3"/>
      <c r="I450" s="4">
        <f t="shared" si="64"/>
        <v>0</v>
      </c>
      <c r="M450" s="49" t="s">
        <v>376</v>
      </c>
      <c r="N450" s="50"/>
      <c r="O450" s="50"/>
      <c r="P450" s="50"/>
      <c r="Q450" s="51"/>
      <c r="R450" s="1"/>
      <c r="S450" s="3"/>
      <c r="T450" s="4">
        <f t="shared" si="65"/>
        <v>0</v>
      </c>
    </row>
    <row r="451" spans="2:23">
      <c r="B451" s="49" t="s">
        <v>67</v>
      </c>
      <c r="C451" s="50"/>
      <c r="D451" s="50"/>
      <c r="E451" s="50"/>
      <c r="F451" s="51"/>
      <c r="G451" s="1"/>
      <c r="H451" s="3"/>
      <c r="I451" s="4">
        <f t="shared" si="64"/>
        <v>0</v>
      </c>
      <c r="M451" s="49" t="s">
        <v>67</v>
      </c>
      <c r="N451" s="50"/>
      <c r="O451" s="50"/>
      <c r="P451" s="50"/>
      <c r="Q451" s="51"/>
      <c r="R451" s="1"/>
      <c r="S451" s="3"/>
      <c r="T451" s="4">
        <f t="shared" si="65"/>
        <v>0</v>
      </c>
    </row>
    <row r="452" spans="2:23">
      <c r="B452" s="49" t="s">
        <v>68</v>
      </c>
      <c r="C452" s="50"/>
      <c r="D452" s="50"/>
      <c r="E452" s="50"/>
      <c r="F452" s="51"/>
      <c r="G452" s="1"/>
      <c r="H452" s="3"/>
      <c r="I452" s="4">
        <f t="shared" si="64"/>
        <v>0</v>
      </c>
      <c r="M452" s="49" t="s">
        <v>68</v>
      </c>
      <c r="N452" s="50"/>
      <c r="O452" s="50"/>
      <c r="P452" s="50"/>
      <c r="Q452" s="51"/>
      <c r="R452" s="1"/>
      <c r="S452" s="3"/>
      <c r="T452" s="4">
        <f t="shared" si="65"/>
        <v>0</v>
      </c>
    </row>
    <row r="453" spans="2:23">
      <c r="B453" s="268" t="s">
        <v>70</v>
      </c>
      <c r="C453" s="269"/>
      <c r="D453" s="269"/>
      <c r="E453" s="269"/>
      <c r="F453" s="270"/>
      <c r="G453" s="1"/>
      <c r="H453" s="3"/>
      <c r="I453" s="4">
        <f t="shared" si="64"/>
        <v>0</v>
      </c>
      <c r="M453" s="268" t="s">
        <v>70</v>
      </c>
      <c r="N453" s="269"/>
      <c r="O453" s="269"/>
      <c r="P453" s="269"/>
      <c r="Q453" s="270"/>
      <c r="R453" s="1"/>
      <c r="S453" s="3"/>
      <c r="T453" s="4">
        <f t="shared" si="65"/>
        <v>0</v>
      </c>
    </row>
    <row r="454" spans="2:23" ht="15" thickBot="1">
      <c r="B454" s="268" t="s">
        <v>332</v>
      </c>
      <c r="C454" s="269"/>
      <c r="D454" s="269"/>
      <c r="E454" s="269"/>
      <c r="F454" s="270"/>
      <c r="G454" s="1"/>
      <c r="H454" s="3"/>
      <c r="I454" s="4">
        <f t="shared" si="64"/>
        <v>0</v>
      </c>
      <c r="M454" s="268" t="s">
        <v>332</v>
      </c>
      <c r="N454" s="269"/>
      <c r="O454" s="269"/>
      <c r="P454" s="269"/>
      <c r="Q454" s="270"/>
      <c r="R454" s="1"/>
      <c r="S454" s="3"/>
      <c r="T454" s="4">
        <f t="shared" si="65"/>
        <v>0</v>
      </c>
    </row>
    <row r="455" spans="2:23">
      <c r="B455" s="268" t="s">
        <v>16</v>
      </c>
      <c r="C455" s="269"/>
      <c r="D455" s="269"/>
      <c r="E455" s="269"/>
      <c r="F455" s="270"/>
      <c r="G455" s="1"/>
      <c r="H455" s="3"/>
      <c r="I455" s="4">
        <f t="shared" si="64"/>
        <v>0</v>
      </c>
      <c r="J455" s="308" t="s">
        <v>275</v>
      </c>
      <c r="K455" s="309"/>
      <c r="L455" s="310"/>
      <c r="M455" s="268" t="s">
        <v>16</v>
      </c>
      <c r="N455" s="269"/>
      <c r="O455" s="269"/>
      <c r="P455" s="269"/>
      <c r="Q455" s="270"/>
      <c r="R455" s="1"/>
      <c r="S455" s="3"/>
      <c r="T455" s="4">
        <f t="shared" si="65"/>
        <v>0</v>
      </c>
      <c r="U455" s="308" t="s">
        <v>275</v>
      </c>
      <c r="V455" s="309"/>
      <c r="W455" s="310"/>
    </row>
    <row r="456" spans="2:23" ht="15" thickBot="1">
      <c r="B456" s="268" t="s">
        <v>17</v>
      </c>
      <c r="C456" s="269"/>
      <c r="D456" s="269"/>
      <c r="E456" s="269"/>
      <c r="F456" s="270"/>
      <c r="G456" s="1"/>
      <c r="H456" s="3"/>
      <c r="I456" s="4">
        <f t="shared" si="64"/>
        <v>0</v>
      </c>
      <c r="J456" s="311"/>
      <c r="K456" s="312"/>
      <c r="L456" s="313"/>
      <c r="M456" s="268" t="s">
        <v>17</v>
      </c>
      <c r="N456" s="269"/>
      <c r="O456" s="269"/>
      <c r="P456" s="269"/>
      <c r="Q456" s="270"/>
      <c r="R456" s="1"/>
      <c r="S456" s="3"/>
      <c r="T456" s="4">
        <f t="shared" si="65"/>
        <v>0</v>
      </c>
      <c r="U456" s="311"/>
      <c r="V456" s="312"/>
      <c r="W456" s="313"/>
    </row>
    <row r="457" spans="2:23">
      <c r="B457" s="268"/>
      <c r="C457" s="269"/>
      <c r="D457" s="269"/>
      <c r="E457" s="269"/>
      <c r="F457" s="270"/>
      <c r="G457" s="1"/>
      <c r="H457" s="3"/>
      <c r="I457" s="4">
        <f t="shared" si="64"/>
        <v>0</v>
      </c>
      <c r="J457" s="257">
        <f>SUM(I442:I458)</f>
        <v>0</v>
      </c>
      <c r="K457" s="258"/>
      <c r="L457" s="259"/>
      <c r="M457" s="268"/>
      <c r="N457" s="269"/>
      <c r="O457" s="269"/>
      <c r="P457" s="269"/>
      <c r="Q457" s="270"/>
      <c r="R457" s="1"/>
      <c r="S457" s="3"/>
      <c r="T457" s="4">
        <f t="shared" si="65"/>
        <v>0</v>
      </c>
      <c r="U457" s="257">
        <f>SUM(T442:T458)</f>
        <v>0</v>
      </c>
      <c r="V457" s="258"/>
      <c r="W457" s="259"/>
    </row>
    <row r="458" spans="2:23" ht="15" thickBot="1">
      <c r="B458" s="274"/>
      <c r="C458" s="275"/>
      <c r="D458" s="275"/>
      <c r="E458" s="275"/>
      <c r="F458" s="276"/>
      <c r="G458" s="66"/>
      <c r="H458" s="67"/>
      <c r="I458" s="68">
        <f t="shared" si="64"/>
        <v>0</v>
      </c>
      <c r="J458" s="260"/>
      <c r="K458" s="261"/>
      <c r="L458" s="262"/>
      <c r="M458" s="274"/>
      <c r="N458" s="275"/>
      <c r="O458" s="275"/>
      <c r="P458" s="275"/>
      <c r="Q458" s="276"/>
      <c r="R458" s="66"/>
      <c r="S458" s="67"/>
      <c r="T458" s="68">
        <f t="shared" si="65"/>
        <v>0</v>
      </c>
      <c r="U458" s="260"/>
      <c r="V458" s="261"/>
      <c r="W458" s="262"/>
    </row>
    <row r="459" spans="2:23" ht="16.2" thickBot="1">
      <c r="B459" s="321" t="s">
        <v>297</v>
      </c>
      <c r="C459" s="322"/>
      <c r="D459" s="322"/>
      <c r="E459" s="322"/>
      <c r="F459" s="322"/>
      <c r="G459" s="322"/>
      <c r="H459" s="322"/>
      <c r="I459" s="323"/>
      <c r="J459" s="65"/>
      <c r="K459" s="65"/>
      <c r="L459" s="65"/>
      <c r="M459" s="321" t="s">
        <v>297</v>
      </c>
      <c r="N459" s="322"/>
      <c r="O459" s="322"/>
      <c r="P459" s="322"/>
      <c r="Q459" s="322"/>
      <c r="R459" s="322"/>
      <c r="S459" s="322"/>
      <c r="T459" s="323"/>
      <c r="U459" s="65"/>
      <c r="V459" s="65"/>
      <c r="W459" s="65"/>
    </row>
    <row r="460" spans="2:23" ht="16.2" thickBot="1">
      <c r="B460" s="321" t="s">
        <v>267</v>
      </c>
      <c r="C460" s="322"/>
      <c r="D460" s="322"/>
      <c r="E460" s="322"/>
      <c r="F460" s="322"/>
      <c r="G460" s="89" t="s">
        <v>266</v>
      </c>
      <c r="H460" s="89" t="s">
        <v>0</v>
      </c>
      <c r="I460" s="90" t="s">
        <v>265</v>
      </c>
      <c r="J460" s="65"/>
      <c r="K460" s="65"/>
      <c r="L460" s="65"/>
      <c r="M460" s="321" t="s">
        <v>267</v>
      </c>
      <c r="N460" s="322"/>
      <c r="O460" s="322"/>
      <c r="P460" s="322"/>
      <c r="Q460" s="322"/>
      <c r="R460" s="89" t="s">
        <v>266</v>
      </c>
      <c r="S460" s="89" t="s">
        <v>0</v>
      </c>
      <c r="T460" s="90" t="s">
        <v>265</v>
      </c>
      <c r="U460" s="65"/>
      <c r="V460" s="65"/>
      <c r="W460" s="65"/>
    </row>
    <row r="461" spans="2:23">
      <c r="B461" s="324" t="s">
        <v>333</v>
      </c>
      <c r="C461" s="325"/>
      <c r="D461" s="325"/>
      <c r="E461" s="325"/>
      <c r="F461" s="326"/>
      <c r="G461" s="6"/>
      <c r="H461" s="7"/>
      <c r="I461" s="69"/>
      <c r="M461" s="324" t="s">
        <v>333</v>
      </c>
      <c r="N461" s="325"/>
      <c r="O461" s="325"/>
      <c r="P461" s="325"/>
      <c r="Q461" s="326"/>
      <c r="R461" s="6"/>
      <c r="S461" s="7"/>
      <c r="T461" s="69"/>
    </row>
    <row r="462" spans="2:23">
      <c r="B462" s="271" t="s">
        <v>291</v>
      </c>
      <c r="C462" s="272"/>
      <c r="D462" s="272"/>
      <c r="E462" s="272"/>
      <c r="F462" s="273"/>
      <c r="G462" s="1"/>
      <c r="H462" s="3"/>
      <c r="I462" s="4">
        <f t="shared" ref="I462:I472" si="66">G462*H462</f>
        <v>0</v>
      </c>
      <c r="M462" s="271" t="s">
        <v>291</v>
      </c>
      <c r="N462" s="272"/>
      <c r="O462" s="272"/>
      <c r="P462" s="272"/>
      <c r="Q462" s="273"/>
      <c r="R462" s="1"/>
      <c r="S462" s="3"/>
      <c r="T462" s="4">
        <f t="shared" ref="T462:T472" si="67">R462*S462</f>
        <v>0</v>
      </c>
    </row>
    <row r="463" spans="2:23">
      <c r="B463" s="271" t="s">
        <v>292</v>
      </c>
      <c r="C463" s="272"/>
      <c r="D463" s="272"/>
      <c r="E463" s="272"/>
      <c r="F463" s="273"/>
      <c r="G463" s="1"/>
      <c r="H463" s="3"/>
      <c r="I463" s="4">
        <f t="shared" si="66"/>
        <v>0</v>
      </c>
      <c r="M463" s="271" t="s">
        <v>292</v>
      </c>
      <c r="N463" s="272"/>
      <c r="O463" s="272"/>
      <c r="P463" s="272"/>
      <c r="Q463" s="273"/>
      <c r="R463" s="1"/>
      <c r="S463" s="3"/>
      <c r="T463" s="4">
        <f t="shared" si="67"/>
        <v>0</v>
      </c>
    </row>
    <row r="464" spans="2:23">
      <c r="B464" s="271" t="s">
        <v>293</v>
      </c>
      <c r="C464" s="272"/>
      <c r="D464" s="272"/>
      <c r="E464" s="272"/>
      <c r="F464" s="273"/>
      <c r="G464" s="1"/>
      <c r="H464" s="3"/>
      <c r="I464" s="4">
        <f t="shared" si="66"/>
        <v>0</v>
      </c>
      <c r="M464" s="271" t="s">
        <v>293</v>
      </c>
      <c r="N464" s="272"/>
      <c r="O464" s="272"/>
      <c r="P464" s="272"/>
      <c r="Q464" s="273"/>
      <c r="R464" s="1"/>
      <c r="S464" s="3"/>
      <c r="T464" s="4">
        <f t="shared" si="67"/>
        <v>0</v>
      </c>
    </row>
    <row r="465" spans="2:23">
      <c r="B465" s="271" t="s">
        <v>193</v>
      </c>
      <c r="C465" s="272"/>
      <c r="D465" s="272"/>
      <c r="E465" s="272"/>
      <c r="F465" s="273"/>
      <c r="G465" s="1"/>
      <c r="H465" s="3"/>
      <c r="I465" s="4">
        <f t="shared" si="66"/>
        <v>0</v>
      </c>
      <c r="M465" s="271" t="s">
        <v>193</v>
      </c>
      <c r="N465" s="272"/>
      <c r="O465" s="272"/>
      <c r="P465" s="272"/>
      <c r="Q465" s="273"/>
      <c r="R465" s="1"/>
      <c r="S465" s="3"/>
      <c r="T465" s="4">
        <f t="shared" si="67"/>
        <v>0</v>
      </c>
    </row>
    <row r="466" spans="2:23">
      <c r="B466" s="271" t="s">
        <v>294</v>
      </c>
      <c r="C466" s="272"/>
      <c r="D466" s="272"/>
      <c r="E466" s="272"/>
      <c r="F466" s="273"/>
      <c r="G466" s="1"/>
      <c r="H466" s="3"/>
      <c r="I466" s="4">
        <f t="shared" si="66"/>
        <v>0</v>
      </c>
      <c r="M466" s="271" t="s">
        <v>294</v>
      </c>
      <c r="N466" s="272"/>
      <c r="O466" s="272"/>
      <c r="P466" s="272"/>
      <c r="Q466" s="273"/>
      <c r="R466" s="1"/>
      <c r="S466" s="3"/>
      <c r="T466" s="4">
        <f t="shared" si="67"/>
        <v>0</v>
      </c>
    </row>
    <row r="467" spans="2:23">
      <c r="B467" s="271"/>
      <c r="C467" s="272"/>
      <c r="D467" s="272"/>
      <c r="E467" s="272"/>
      <c r="F467" s="273"/>
      <c r="G467" s="1"/>
      <c r="H467" s="3"/>
      <c r="I467" s="4">
        <f t="shared" si="66"/>
        <v>0</v>
      </c>
      <c r="M467" s="271"/>
      <c r="N467" s="272"/>
      <c r="O467" s="272"/>
      <c r="P467" s="272"/>
      <c r="Q467" s="273"/>
      <c r="R467" s="1"/>
      <c r="S467" s="3"/>
      <c r="T467" s="4">
        <f t="shared" si="67"/>
        <v>0</v>
      </c>
    </row>
    <row r="468" spans="2:23" ht="15" thickBot="1">
      <c r="B468" s="271"/>
      <c r="C468" s="272"/>
      <c r="D468" s="272"/>
      <c r="E468" s="272"/>
      <c r="F468" s="273"/>
      <c r="G468" s="1"/>
      <c r="H468" s="3"/>
      <c r="I468" s="4">
        <f t="shared" si="66"/>
        <v>0</v>
      </c>
      <c r="M468" s="271"/>
      <c r="N468" s="272"/>
      <c r="O468" s="272"/>
      <c r="P468" s="272"/>
      <c r="Q468" s="273"/>
      <c r="R468" s="1"/>
      <c r="S468" s="3"/>
      <c r="T468" s="4">
        <f t="shared" si="67"/>
        <v>0</v>
      </c>
    </row>
    <row r="469" spans="2:23">
      <c r="B469" s="271"/>
      <c r="C469" s="272"/>
      <c r="D469" s="272"/>
      <c r="E469" s="272"/>
      <c r="F469" s="273"/>
      <c r="G469" s="1"/>
      <c r="H469" s="3"/>
      <c r="I469" s="4">
        <f t="shared" si="66"/>
        <v>0</v>
      </c>
      <c r="J469" s="308" t="s">
        <v>275</v>
      </c>
      <c r="K469" s="309"/>
      <c r="L469" s="310"/>
      <c r="M469" s="271"/>
      <c r="N469" s="272"/>
      <c r="O469" s="272"/>
      <c r="P469" s="272"/>
      <c r="Q469" s="273"/>
      <c r="R469" s="1"/>
      <c r="S469" s="3"/>
      <c r="T469" s="4">
        <f t="shared" si="67"/>
        <v>0</v>
      </c>
      <c r="U469" s="308" t="s">
        <v>275</v>
      </c>
      <c r="V469" s="309"/>
      <c r="W469" s="310"/>
    </row>
    <row r="470" spans="2:23" ht="15" thickBot="1">
      <c r="B470" s="414" t="s">
        <v>2</v>
      </c>
      <c r="C470" s="415"/>
      <c r="D470" s="415"/>
      <c r="E470" s="415"/>
      <c r="F470" s="416"/>
      <c r="G470" s="79"/>
      <c r="H470" s="80"/>
      <c r="I470" s="68">
        <f t="shared" si="66"/>
        <v>0</v>
      </c>
      <c r="J470" s="311"/>
      <c r="K470" s="312"/>
      <c r="L470" s="313"/>
      <c r="M470" s="414" t="s">
        <v>2</v>
      </c>
      <c r="N470" s="415"/>
      <c r="O470" s="415"/>
      <c r="P470" s="415"/>
      <c r="Q470" s="416"/>
      <c r="R470" s="79"/>
      <c r="S470" s="80"/>
      <c r="T470" s="68">
        <f t="shared" si="67"/>
        <v>0</v>
      </c>
      <c r="U470" s="311"/>
      <c r="V470" s="312"/>
      <c r="W470" s="313"/>
    </row>
    <row r="471" spans="2:23">
      <c r="B471" s="412" t="s">
        <v>22</v>
      </c>
      <c r="C471" s="413"/>
      <c r="D471" s="413"/>
      <c r="E471" s="413"/>
      <c r="F471" s="413"/>
      <c r="G471" s="1"/>
      <c r="H471" s="3"/>
      <c r="I471" s="4">
        <f t="shared" si="66"/>
        <v>0</v>
      </c>
      <c r="J471" s="257">
        <f>SUM(I461:I472)</f>
        <v>0</v>
      </c>
      <c r="K471" s="258"/>
      <c r="L471" s="259"/>
      <c r="M471" s="412" t="s">
        <v>22</v>
      </c>
      <c r="N471" s="413"/>
      <c r="O471" s="413"/>
      <c r="P471" s="413"/>
      <c r="Q471" s="413"/>
      <c r="R471" s="1"/>
      <c r="S471" s="3"/>
      <c r="T471" s="4">
        <f t="shared" si="67"/>
        <v>0</v>
      </c>
      <c r="U471" s="257">
        <f>SUM(T461:T472)</f>
        <v>0</v>
      </c>
      <c r="V471" s="258"/>
      <c r="W471" s="259"/>
    </row>
    <row r="472" spans="2:23" ht="15" thickBot="1">
      <c r="B472" s="412" t="s">
        <v>21</v>
      </c>
      <c r="C472" s="413"/>
      <c r="D472" s="413"/>
      <c r="E472" s="413"/>
      <c r="F472" s="413"/>
      <c r="G472" s="1"/>
      <c r="H472" s="3"/>
      <c r="I472" s="4">
        <f t="shared" si="66"/>
        <v>0</v>
      </c>
      <c r="J472" s="260"/>
      <c r="K472" s="261"/>
      <c r="L472" s="262"/>
      <c r="M472" s="412" t="s">
        <v>21</v>
      </c>
      <c r="N472" s="413"/>
      <c r="O472" s="413"/>
      <c r="P472" s="413"/>
      <c r="Q472" s="413"/>
      <c r="R472" s="1"/>
      <c r="S472" s="3"/>
      <c r="T472" s="4">
        <f t="shared" si="67"/>
        <v>0</v>
      </c>
      <c r="U472" s="260"/>
      <c r="V472" s="261"/>
      <c r="W472" s="262"/>
    </row>
    <row r="473" spans="2:23" ht="16.2" thickBot="1">
      <c r="B473" s="316" t="s">
        <v>334</v>
      </c>
      <c r="C473" s="317"/>
      <c r="D473" s="317"/>
      <c r="E473" s="317"/>
      <c r="F473" s="317"/>
      <c r="G473" s="317"/>
      <c r="H473" s="317"/>
      <c r="I473" s="420"/>
      <c r="J473" s="64"/>
      <c r="K473" s="65"/>
      <c r="L473" s="65"/>
      <c r="M473" s="316" t="s">
        <v>334</v>
      </c>
      <c r="N473" s="317"/>
      <c r="O473" s="317"/>
      <c r="P473" s="317"/>
      <c r="Q473" s="317"/>
      <c r="R473" s="317"/>
      <c r="S473" s="317"/>
      <c r="T473" s="420"/>
      <c r="U473" s="64"/>
      <c r="V473" s="65"/>
      <c r="W473" s="65"/>
    </row>
    <row r="474" spans="2:23" ht="16.2" thickBot="1">
      <c r="B474" s="316" t="s">
        <v>267</v>
      </c>
      <c r="C474" s="317"/>
      <c r="D474" s="317"/>
      <c r="E474" s="317"/>
      <c r="F474" s="317"/>
      <c r="G474" s="91" t="s">
        <v>266</v>
      </c>
      <c r="H474" s="91" t="s">
        <v>0</v>
      </c>
      <c r="I474" s="92" t="s">
        <v>265</v>
      </c>
      <c r="J474" s="64"/>
      <c r="K474" s="65"/>
      <c r="L474" s="65"/>
      <c r="M474" s="316" t="s">
        <v>267</v>
      </c>
      <c r="N474" s="317"/>
      <c r="O474" s="317"/>
      <c r="P474" s="317"/>
      <c r="Q474" s="317"/>
      <c r="R474" s="91" t="s">
        <v>266</v>
      </c>
      <c r="S474" s="91" t="s">
        <v>0</v>
      </c>
      <c r="T474" s="92" t="s">
        <v>265</v>
      </c>
      <c r="U474" s="64"/>
      <c r="V474" s="65"/>
      <c r="W474" s="65"/>
    </row>
    <row r="475" spans="2:23">
      <c r="B475" s="266" t="s">
        <v>8</v>
      </c>
      <c r="C475" s="267"/>
      <c r="D475" s="267"/>
      <c r="E475" s="267"/>
      <c r="F475" s="267"/>
      <c r="G475" s="1"/>
      <c r="H475" s="3"/>
      <c r="I475" s="4">
        <f t="shared" ref="I475:I478" si="68">G475*H475</f>
        <v>0</v>
      </c>
      <c r="J475" s="308" t="s">
        <v>275</v>
      </c>
      <c r="K475" s="309"/>
      <c r="L475" s="310"/>
      <c r="M475" s="266" t="s">
        <v>8</v>
      </c>
      <c r="N475" s="267"/>
      <c r="O475" s="267"/>
      <c r="P475" s="267"/>
      <c r="Q475" s="267"/>
      <c r="R475" s="1"/>
      <c r="S475" s="3"/>
      <c r="T475" s="4">
        <f t="shared" ref="T475:T478" si="69">R475*S475</f>
        <v>0</v>
      </c>
      <c r="U475" s="308" t="s">
        <v>275</v>
      </c>
      <c r="V475" s="309"/>
      <c r="W475" s="310"/>
    </row>
    <row r="476" spans="2:23" ht="15" thickBot="1">
      <c r="B476" s="266" t="s">
        <v>9</v>
      </c>
      <c r="C476" s="267"/>
      <c r="D476" s="267"/>
      <c r="E476" s="267"/>
      <c r="F476" s="267"/>
      <c r="G476" s="1"/>
      <c r="H476" s="3"/>
      <c r="I476" s="4">
        <f t="shared" si="68"/>
        <v>0</v>
      </c>
      <c r="J476" s="311"/>
      <c r="K476" s="312"/>
      <c r="L476" s="313"/>
      <c r="M476" s="266" t="s">
        <v>9</v>
      </c>
      <c r="N476" s="267"/>
      <c r="O476" s="267"/>
      <c r="P476" s="267"/>
      <c r="Q476" s="267"/>
      <c r="R476" s="1"/>
      <c r="S476" s="3"/>
      <c r="T476" s="4">
        <f t="shared" si="69"/>
        <v>0</v>
      </c>
      <c r="U476" s="311"/>
      <c r="V476" s="312"/>
      <c r="W476" s="313"/>
    </row>
    <row r="477" spans="2:23">
      <c r="B477" s="266" t="s">
        <v>335</v>
      </c>
      <c r="C477" s="267"/>
      <c r="D477" s="267"/>
      <c r="E477" s="267"/>
      <c r="F477" s="267"/>
      <c r="G477" s="1"/>
      <c r="H477" s="3"/>
      <c r="I477" s="4">
        <f t="shared" si="68"/>
        <v>0</v>
      </c>
      <c r="J477" s="257">
        <f>SUM(I475:I478)</f>
        <v>0</v>
      </c>
      <c r="K477" s="258"/>
      <c r="L477" s="259"/>
      <c r="M477" s="266" t="s">
        <v>335</v>
      </c>
      <c r="N477" s="267"/>
      <c r="O477" s="267"/>
      <c r="P477" s="267"/>
      <c r="Q477" s="267"/>
      <c r="R477" s="1"/>
      <c r="S477" s="3"/>
      <c r="T477" s="4">
        <f t="shared" si="69"/>
        <v>0</v>
      </c>
      <c r="U477" s="257">
        <f>SUM(T475:T478)</f>
        <v>0</v>
      </c>
      <c r="V477" s="258"/>
      <c r="W477" s="259"/>
    </row>
    <row r="478" spans="2:23" ht="15" thickBot="1">
      <c r="B478" s="297" t="s">
        <v>336</v>
      </c>
      <c r="C478" s="298"/>
      <c r="D478" s="298"/>
      <c r="E478" s="298"/>
      <c r="F478" s="298"/>
      <c r="G478" s="2"/>
      <c r="H478" s="5"/>
      <c r="I478" s="14">
        <f t="shared" si="68"/>
        <v>0</v>
      </c>
      <c r="J478" s="260"/>
      <c r="K478" s="261"/>
      <c r="L478" s="262"/>
      <c r="M478" s="297" t="s">
        <v>336</v>
      </c>
      <c r="N478" s="298"/>
      <c r="O478" s="298"/>
      <c r="P478" s="298"/>
      <c r="Q478" s="298"/>
      <c r="R478" s="2"/>
      <c r="S478" s="5"/>
      <c r="T478" s="14">
        <f t="shared" si="69"/>
        <v>0</v>
      </c>
      <c r="U478" s="260"/>
      <c r="V478" s="261"/>
      <c r="W478" s="262"/>
    </row>
    <row r="479" spans="2:23">
      <c r="B479" s="299" t="s">
        <v>298</v>
      </c>
      <c r="C479" s="300"/>
      <c r="D479" s="300"/>
      <c r="E479" s="300"/>
      <c r="F479" s="300"/>
      <c r="G479" s="300"/>
      <c r="H479" s="300"/>
      <c r="I479" s="301"/>
      <c r="J479" s="385">
        <f>SUM(J477,J471,J457,J438,J424,J410,J396)</f>
        <v>0</v>
      </c>
      <c r="K479" s="386"/>
      <c r="L479" s="387"/>
      <c r="M479" s="299" t="s">
        <v>298</v>
      </c>
      <c r="N479" s="300"/>
      <c r="O479" s="300"/>
      <c r="P479" s="300"/>
      <c r="Q479" s="300"/>
      <c r="R479" s="300"/>
      <c r="S479" s="300"/>
      <c r="T479" s="301"/>
      <c r="U479" s="385">
        <f>SUM(U477,U471,U457,U438,U424,U410,U396)</f>
        <v>0</v>
      </c>
      <c r="V479" s="386"/>
      <c r="W479" s="387"/>
    </row>
    <row r="480" spans="2:23">
      <c r="B480" s="302"/>
      <c r="C480" s="303"/>
      <c r="D480" s="303"/>
      <c r="E480" s="303"/>
      <c r="F480" s="303"/>
      <c r="G480" s="303"/>
      <c r="H480" s="303"/>
      <c r="I480" s="304"/>
      <c r="J480" s="388"/>
      <c r="K480" s="389"/>
      <c r="L480" s="390"/>
      <c r="M480" s="302"/>
      <c r="N480" s="303"/>
      <c r="O480" s="303"/>
      <c r="P480" s="303"/>
      <c r="Q480" s="303"/>
      <c r="R480" s="303"/>
      <c r="S480" s="303"/>
      <c r="T480" s="304"/>
      <c r="U480" s="388"/>
      <c r="V480" s="389"/>
      <c r="W480" s="390"/>
    </row>
    <row r="481" spans="2:23" ht="15" thickBot="1">
      <c r="B481" s="305"/>
      <c r="C481" s="306"/>
      <c r="D481" s="306"/>
      <c r="E481" s="306"/>
      <c r="F481" s="306"/>
      <c r="G481" s="306"/>
      <c r="H481" s="306"/>
      <c r="I481" s="307"/>
      <c r="J481" s="391"/>
      <c r="K481" s="392"/>
      <c r="L481" s="393"/>
      <c r="M481" s="305"/>
      <c r="N481" s="306"/>
      <c r="O481" s="306"/>
      <c r="P481" s="306"/>
      <c r="Q481" s="306"/>
      <c r="R481" s="306"/>
      <c r="S481" s="306"/>
      <c r="T481" s="307"/>
      <c r="U481" s="391"/>
      <c r="V481" s="392"/>
      <c r="W481" s="393"/>
    </row>
  </sheetData>
  <mergeCells count="947">
    <mergeCell ref="B477:F477"/>
    <mergeCell ref="J477:L478"/>
    <mergeCell ref="M477:Q477"/>
    <mergeCell ref="U477:W478"/>
    <mergeCell ref="B478:F478"/>
    <mergeCell ref="M478:Q478"/>
    <mergeCell ref="B479:I481"/>
    <mergeCell ref="J479:L481"/>
    <mergeCell ref="M479:T481"/>
    <mergeCell ref="U479:W481"/>
    <mergeCell ref="B473:I473"/>
    <mergeCell ref="M473:T473"/>
    <mergeCell ref="B474:F474"/>
    <mergeCell ref="M474:Q474"/>
    <mergeCell ref="B475:F475"/>
    <mergeCell ref="J475:L476"/>
    <mergeCell ref="M475:Q475"/>
    <mergeCell ref="U475:W476"/>
    <mergeCell ref="B476:F476"/>
    <mergeCell ref="M476:Q476"/>
    <mergeCell ref="B469:F469"/>
    <mergeCell ref="J469:L470"/>
    <mergeCell ref="M469:Q469"/>
    <mergeCell ref="U469:W470"/>
    <mergeCell ref="B470:F470"/>
    <mergeCell ref="M470:Q470"/>
    <mergeCell ref="B471:F471"/>
    <mergeCell ref="J471:L472"/>
    <mergeCell ref="M471:Q471"/>
    <mergeCell ref="U471:W472"/>
    <mergeCell ref="B472:F472"/>
    <mergeCell ref="M472:Q472"/>
    <mergeCell ref="B464:F464"/>
    <mergeCell ref="M464:Q464"/>
    <mergeCell ref="B465:F465"/>
    <mergeCell ref="M465:Q465"/>
    <mergeCell ref="B466:F466"/>
    <mergeCell ref="M466:Q466"/>
    <mergeCell ref="B467:F467"/>
    <mergeCell ref="M467:Q467"/>
    <mergeCell ref="B468:F468"/>
    <mergeCell ref="M468:Q468"/>
    <mergeCell ref="B459:I459"/>
    <mergeCell ref="M459:T459"/>
    <mergeCell ref="B460:F460"/>
    <mergeCell ref="M460:Q460"/>
    <mergeCell ref="B461:F461"/>
    <mergeCell ref="M461:Q461"/>
    <mergeCell ref="B462:F462"/>
    <mergeCell ref="M462:Q462"/>
    <mergeCell ref="B463:F463"/>
    <mergeCell ref="M463:Q463"/>
    <mergeCell ref="U455:W456"/>
    <mergeCell ref="B456:F456"/>
    <mergeCell ref="M456:Q456"/>
    <mergeCell ref="B457:F457"/>
    <mergeCell ref="J457:L458"/>
    <mergeCell ref="M457:Q457"/>
    <mergeCell ref="U457:W458"/>
    <mergeCell ref="B458:F458"/>
    <mergeCell ref="M458:Q458"/>
    <mergeCell ref="B445:F445"/>
    <mergeCell ref="M445:Q445"/>
    <mergeCell ref="B446:F446"/>
    <mergeCell ref="M446:Q446"/>
    <mergeCell ref="B453:F453"/>
    <mergeCell ref="M453:Q453"/>
    <mergeCell ref="B454:F454"/>
    <mergeCell ref="M454:Q454"/>
    <mergeCell ref="B455:F455"/>
    <mergeCell ref="J455:L456"/>
    <mergeCell ref="M455:Q455"/>
    <mergeCell ref="B440:I440"/>
    <mergeCell ref="M440:T440"/>
    <mergeCell ref="B441:F441"/>
    <mergeCell ref="M441:Q441"/>
    <mergeCell ref="B442:F442"/>
    <mergeCell ref="M442:Q442"/>
    <mergeCell ref="B443:F443"/>
    <mergeCell ref="M443:Q443"/>
    <mergeCell ref="B444:F444"/>
    <mergeCell ref="M444:Q444"/>
    <mergeCell ref="U436:W437"/>
    <mergeCell ref="B437:F437"/>
    <mergeCell ref="M437:Q437"/>
    <mergeCell ref="B438:F438"/>
    <mergeCell ref="J438:L439"/>
    <mergeCell ref="M438:Q438"/>
    <mergeCell ref="U438:W439"/>
    <mergeCell ref="B439:F439"/>
    <mergeCell ref="M439:Q439"/>
    <mergeCell ref="B431:F431"/>
    <mergeCell ref="M431:Q431"/>
    <mergeCell ref="B433:F433"/>
    <mergeCell ref="M433:Q433"/>
    <mergeCell ref="B434:F434"/>
    <mergeCell ref="M434:Q434"/>
    <mergeCell ref="B436:F436"/>
    <mergeCell ref="J436:L437"/>
    <mergeCell ref="M436:Q436"/>
    <mergeCell ref="B426:I426"/>
    <mergeCell ref="M426:T426"/>
    <mergeCell ref="B427:F427"/>
    <mergeCell ref="M427:Q427"/>
    <mergeCell ref="B428:F428"/>
    <mergeCell ref="M428:Q428"/>
    <mergeCell ref="B429:F429"/>
    <mergeCell ref="M429:Q429"/>
    <mergeCell ref="B430:F430"/>
    <mergeCell ref="M430:Q430"/>
    <mergeCell ref="B420:F420"/>
    <mergeCell ref="M420:Q420"/>
    <mergeCell ref="B421:F421"/>
    <mergeCell ref="M421:Q421"/>
    <mergeCell ref="J422:L423"/>
    <mergeCell ref="U422:W423"/>
    <mergeCell ref="B424:F424"/>
    <mergeCell ref="J424:L425"/>
    <mergeCell ref="M424:Q424"/>
    <mergeCell ref="U424:W425"/>
    <mergeCell ref="B425:F425"/>
    <mergeCell ref="M425:Q425"/>
    <mergeCell ref="B415:F415"/>
    <mergeCell ref="M415:Q415"/>
    <mergeCell ref="B416:F416"/>
    <mergeCell ref="M416:Q416"/>
    <mergeCell ref="B417:F417"/>
    <mergeCell ref="M417:Q417"/>
    <mergeCell ref="B418:F418"/>
    <mergeCell ref="M418:Q418"/>
    <mergeCell ref="B419:F419"/>
    <mergeCell ref="M419:Q419"/>
    <mergeCell ref="B410:F410"/>
    <mergeCell ref="J410:L411"/>
    <mergeCell ref="M410:Q410"/>
    <mergeCell ref="U410:W411"/>
    <mergeCell ref="B412:I412"/>
    <mergeCell ref="M412:T412"/>
    <mergeCell ref="B413:F413"/>
    <mergeCell ref="M413:Q413"/>
    <mergeCell ref="B414:F414"/>
    <mergeCell ref="M414:Q414"/>
    <mergeCell ref="B403:F403"/>
    <mergeCell ref="M403:Q403"/>
    <mergeCell ref="B404:F404"/>
    <mergeCell ref="M404:Q404"/>
    <mergeCell ref="B408:F408"/>
    <mergeCell ref="J408:L409"/>
    <mergeCell ref="M408:Q408"/>
    <mergeCell ref="U408:W409"/>
    <mergeCell ref="B409:F409"/>
    <mergeCell ref="M409:Q409"/>
    <mergeCell ref="B398:I398"/>
    <mergeCell ref="M398:T398"/>
    <mergeCell ref="B399:F399"/>
    <mergeCell ref="M399:Q399"/>
    <mergeCell ref="B400:F400"/>
    <mergeCell ref="M400:Q400"/>
    <mergeCell ref="B401:F401"/>
    <mergeCell ref="M401:Q401"/>
    <mergeCell ref="B402:F402"/>
    <mergeCell ref="M402:Q402"/>
    <mergeCell ref="U394:W395"/>
    <mergeCell ref="B395:F395"/>
    <mergeCell ref="M395:Q395"/>
    <mergeCell ref="B396:F396"/>
    <mergeCell ref="J396:L397"/>
    <mergeCell ref="M396:Q396"/>
    <mergeCell ref="U396:W397"/>
    <mergeCell ref="B397:F397"/>
    <mergeCell ref="M397:Q397"/>
    <mergeCell ref="B390:F390"/>
    <mergeCell ref="M390:Q390"/>
    <mergeCell ref="B391:F391"/>
    <mergeCell ref="M391:Q391"/>
    <mergeCell ref="B392:F392"/>
    <mergeCell ref="M392:Q392"/>
    <mergeCell ref="B393:F393"/>
    <mergeCell ref="M393:Q393"/>
    <mergeCell ref="B394:F394"/>
    <mergeCell ref="J394:L395"/>
    <mergeCell ref="M394:Q394"/>
    <mergeCell ref="B385:F385"/>
    <mergeCell ref="M385:Q385"/>
    <mergeCell ref="B386:F386"/>
    <mergeCell ref="M386:Q386"/>
    <mergeCell ref="B387:F387"/>
    <mergeCell ref="M387:Q387"/>
    <mergeCell ref="B388:F388"/>
    <mergeCell ref="M388:Q388"/>
    <mergeCell ref="B389:F389"/>
    <mergeCell ref="M389:Q389"/>
    <mergeCell ref="M380:P380"/>
    <mergeCell ref="B381:E381"/>
    <mergeCell ref="M381:P381"/>
    <mergeCell ref="B382:E382"/>
    <mergeCell ref="M382:P382"/>
    <mergeCell ref="B383:F383"/>
    <mergeCell ref="M383:Q383"/>
    <mergeCell ref="B384:F384"/>
    <mergeCell ref="M384:Q384"/>
    <mergeCell ref="J370:L372"/>
    <mergeCell ref="M370:T372"/>
    <mergeCell ref="U370:W372"/>
    <mergeCell ref="B373:I375"/>
    <mergeCell ref="M373:T375"/>
    <mergeCell ref="B376:I376"/>
    <mergeCell ref="M376:T376"/>
    <mergeCell ref="M377:Q377"/>
    <mergeCell ref="B378:E378"/>
    <mergeCell ref="M378:P378"/>
    <mergeCell ref="B364:I364"/>
    <mergeCell ref="M364:T364"/>
    <mergeCell ref="M365:Q365"/>
    <mergeCell ref="J366:L367"/>
    <mergeCell ref="M366:Q366"/>
    <mergeCell ref="U366:W367"/>
    <mergeCell ref="M367:Q367"/>
    <mergeCell ref="J368:L369"/>
    <mergeCell ref="M368:Q368"/>
    <mergeCell ref="U368:W369"/>
    <mergeCell ref="M369:Q369"/>
    <mergeCell ref="B360:F360"/>
    <mergeCell ref="J360:L361"/>
    <mergeCell ref="M360:Q360"/>
    <mergeCell ref="U360:W361"/>
    <mergeCell ref="B361:F361"/>
    <mergeCell ref="M361:Q361"/>
    <mergeCell ref="B362:F362"/>
    <mergeCell ref="J362:L363"/>
    <mergeCell ref="M362:Q362"/>
    <mergeCell ref="U362:W363"/>
    <mergeCell ref="B363:F363"/>
    <mergeCell ref="M363:Q363"/>
    <mergeCell ref="M351:Q351"/>
    <mergeCell ref="M352:Q352"/>
    <mergeCell ref="M353:Q353"/>
    <mergeCell ref="M354:Q354"/>
    <mergeCell ref="M355:Q355"/>
    <mergeCell ref="M356:Q356"/>
    <mergeCell ref="M357:Q357"/>
    <mergeCell ref="M358:Q358"/>
    <mergeCell ref="B359:F359"/>
    <mergeCell ref="M359:Q359"/>
    <mergeCell ref="J346:L347"/>
    <mergeCell ref="M346:Q346"/>
    <mergeCell ref="U346:W347"/>
    <mergeCell ref="M347:Q347"/>
    <mergeCell ref="J348:L349"/>
    <mergeCell ref="M348:Q348"/>
    <mergeCell ref="U348:W349"/>
    <mergeCell ref="M349:Q349"/>
    <mergeCell ref="B350:I350"/>
    <mergeCell ref="M350:T350"/>
    <mergeCell ref="B349:F349"/>
    <mergeCell ref="B346:F346"/>
    <mergeCell ref="M332:Q332"/>
    <mergeCell ref="M333:Q333"/>
    <mergeCell ref="M334:Q334"/>
    <mergeCell ref="M335:Q335"/>
    <mergeCell ref="M336:Q336"/>
    <mergeCell ref="B337:F337"/>
    <mergeCell ref="M337:Q337"/>
    <mergeCell ref="M344:Q344"/>
    <mergeCell ref="M345:Q345"/>
    <mergeCell ref="B332:F332"/>
    <mergeCell ref="B333:F333"/>
    <mergeCell ref="B334:F334"/>
    <mergeCell ref="B335:F335"/>
    <mergeCell ref="U327:W328"/>
    <mergeCell ref="B328:F328"/>
    <mergeCell ref="M328:Q328"/>
    <mergeCell ref="B329:F329"/>
    <mergeCell ref="J329:L330"/>
    <mergeCell ref="M329:Q329"/>
    <mergeCell ref="U329:W330"/>
    <mergeCell ref="M330:Q330"/>
    <mergeCell ref="B331:I331"/>
    <mergeCell ref="M331:T331"/>
    <mergeCell ref="B330:F330"/>
    <mergeCell ref="M318:Q318"/>
    <mergeCell ref="M319:Q319"/>
    <mergeCell ref="M320:Q320"/>
    <mergeCell ref="M321:Q321"/>
    <mergeCell ref="M322:Q322"/>
    <mergeCell ref="M324:Q324"/>
    <mergeCell ref="M325:Q325"/>
    <mergeCell ref="B327:F327"/>
    <mergeCell ref="J327:L328"/>
    <mergeCell ref="M327:Q327"/>
    <mergeCell ref="B324:F324"/>
    <mergeCell ref="B325:F325"/>
    <mergeCell ref="B318:F318"/>
    <mergeCell ref="B319:F319"/>
    <mergeCell ref="B320:F320"/>
    <mergeCell ref="B321:F321"/>
    <mergeCell ref="B322:F322"/>
    <mergeCell ref="U313:W314"/>
    <mergeCell ref="J315:L316"/>
    <mergeCell ref="M315:Q315"/>
    <mergeCell ref="U315:W316"/>
    <mergeCell ref="M316:Q316"/>
    <mergeCell ref="B317:I317"/>
    <mergeCell ref="M317:T317"/>
    <mergeCell ref="B315:F315"/>
    <mergeCell ref="B316:F316"/>
    <mergeCell ref="M310:Q310"/>
    <mergeCell ref="M311:Q311"/>
    <mergeCell ref="B308:F308"/>
    <mergeCell ref="B309:F309"/>
    <mergeCell ref="B310:F310"/>
    <mergeCell ref="B311:F311"/>
    <mergeCell ref="B305:F305"/>
    <mergeCell ref="M312:Q312"/>
    <mergeCell ref="J313:L314"/>
    <mergeCell ref="B312:F312"/>
    <mergeCell ref="B303:I303"/>
    <mergeCell ref="M303:T303"/>
    <mergeCell ref="M305:Q305"/>
    <mergeCell ref="B306:F306"/>
    <mergeCell ref="M306:Q306"/>
    <mergeCell ref="B307:F307"/>
    <mergeCell ref="M307:Q307"/>
    <mergeCell ref="M308:Q308"/>
    <mergeCell ref="M309:Q309"/>
    <mergeCell ref="B304:F304"/>
    <mergeCell ref="M304:Q304"/>
    <mergeCell ref="B289:I289"/>
    <mergeCell ref="M289:T289"/>
    <mergeCell ref="M290:Q290"/>
    <mergeCell ref="U299:W300"/>
    <mergeCell ref="B300:F300"/>
    <mergeCell ref="M300:Q300"/>
    <mergeCell ref="B301:F301"/>
    <mergeCell ref="J301:L302"/>
    <mergeCell ref="M301:Q301"/>
    <mergeCell ref="U301:W302"/>
    <mergeCell ref="B290:F290"/>
    <mergeCell ref="B291:F291"/>
    <mergeCell ref="B292:F292"/>
    <mergeCell ref="M291:Q291"/>
    <mergeCell ref="M292:Q292"/>
    <mergeCell ref="B293:F293"/>
    <mergeCell ref="M293:Q293"/>
    <mergeCell ref="B294:F294"/>
    <mergeCell ref="M294:Q294"/>
    <mergeCell ref="B295:F295"/>
    <mergeCell ref="M295:Q295"/>
    <mergeCell ref="B299:F299"/>
    <mergeCell ref="U258:W259"/>
    <mergeCell ref="M259:Q259"/>
    <mergeCell ref="B260:I262"/>
    <mergeCell ref="J260:L262"/>
    <mergeCell ref="M260:T262"/>
    <mergeCell ref="U260:W262"/>
    <mergeCell ref="U285:W286"/>
    <mergeCell ref="M286:Q286"/>
    <mergeCell ref="J287:L288"/>
    <mergeCell ref="M287:Q287"/>
    <mergeCell ref="U287:W288"/>
    <mergeCell ref="M288:Q288"/>
    <mergeCell ref="B269:E269"/>
    <mergeCell ref="B288:F288"/>
    <mergeCell ref="B283:F283"/>
    <mergeCell ref="B284:F284"/>
    <mergeCell ref="B285:F285"/>
    <mergeCell ref="B286:F286"/>
    <mergeCell ref="B287:F287"/>
    <mergeCell ref="M283:Q283"/>
    <mergeCell ref="M284:Q284"/>
    <mergeCell ref="J285:L286"/>
    <mergeCell ref="M285:Q285"/>
    <mergeCell ref="B277:F277"/>
    <mergeCell ref="U252:W253"/>
    <mergeCell ref="M253:Q253"/>
    <mergeCell ref="B254:I254"/>
    <mergeCell ref="M254:T254"/>
    <mergeCell ref="M255:Q255"/>
    <mergeCell ref="J256:L257"/>
    <mergeCell ref="M256:Q256"/>
    <mergeCell ref="U256:W257"/>
    <mergeCell ref="M257:Q257"/>
    <mergeCell ref="M243:Q243"/>
    <mergeCell ref="M244:Q244"/>
    <mergeCell ref="M245:Q245"/>
    <mergeCell ref="M246:Q246"/>
    <mergeCell ref="M247:Q247"/>
    <mergeCell ref="M248:Q248"/>
    <mergeCell ref="M249:Q249"/>
    <mergeCell ref="M250:Q250"/>
    <mergeCell ref="U250:W251"/>
    <mergeCell ref="M251:Q251"/>
    <mergeCell ref="M236:Q236"/>
    <mergeCell ref="U236:W237"/>
    <mergeCell ref="M237:Q237"/>
    <mergeCell ref="M238:Q238"/>
    <mergeCell ref="U238:W239"/>
    <mergeCell ref="M239:Q239"/>
    <mergeCell ref="M240:T240"/>
    <mergeCell ref="M241:Q241"/>
    <mergeCell ref="M242:Q242"/>
    <mergeCell ref="M221:T221"/>
    <mergeCell ref="M222:Q222"/>
    <mergeCell ref="M223:Q223"/>
    <mergeCell ref="M224:Q224"/>
    <mergeCell ref="M225:Q225"/>
    <mergeCell ref="M226:Q226"/>
    <mergeCell ref="M227:Q227"/>
    <mergeCell ref="M234:Q234"/>
    <mergeCell ref="M235:Q235"/>
    <mergeCell ref="M199:Q199"/>
    <mergeCell ref="M200:Q200"/>
    <mergeCell ref="M201:Q201"/>
    <mergeCell ref="M202:Q202"/>
    <mergeCell ref="U217:W218"/>
    <mergeCell ref="M218:Q218"/>
    <mergeCell ref="M219:Q219"/>
    <mergeCell ref="U219:W220"/>
    <mergeCell ref="M220:Q220"/>
    <mergeCell ref="M179:T179"/>
    <mergeCell ref="M180:Q180"/>
    <mergeCell ref="M181:Q181"/>
    <mergeCell ref="M182:Q182"/>
    <mergeCell ref="M194:Q194"/>
    <mergeCell ref="M195:Q195"/>
    <mergeCell ref="M196:Q196"/>
    <mergeCell ref="M197:Q197"/>
    <mergeCell ref="M198:Q198"/>
    <mergeCell ref="M170:Q170"/>
    <mergeCell ref="M171:Q171"/>
    <mergeCell ref="M172:Q172"/>
    <mergeCell ref="M173:Q173"/>
    <mergeCell ref="M174:Q174"/>
    <mergeCell ref="M175:Q175"/>
    <mergeCell ref="U175:W176"/>
    <mergeCell ref="M176:Q176"/>
    <mergeCell ref="M177:Q177"/>
    <mergeCell ref="U177:W178"/>
    <mergeCell ref="M178:Q178"/>
    <mergeCell ref="U151:W153"/>
    <mergeCell ref="B154:I156"/>
    <mergeCell ref="M154:T156"/>
    <mergeCell ref="B157:I157"/>
    <mergeCell ref="M157:T157"/>
    <mergeCell ref="B158:F158"/>
    <mergeCell ref="M158:Q158"/>
    <mergeCell ref="B159:E159"/>
    <mergeCell ref="M159:P159"/>
    <mergeCell ref="M66:Q66"/>
    <mergeCell ref="U66:W67"/>
    <mergeCell ref="M67:Q67"/>
    <mergeCell ref="M68:Q68"/>
    <mergeCell ref="U68:W69"/>
    <mergeCell ref="M69:Q69"/>
    <mergeCell ref="M70:T70"/>
    <mergeCell ref="M71:Q71"/>
    <mergeCell ref="M72:Q72"/>
    <mergeCell ref="M141:Q141"/>
    <mergeCell ref="U141:W142"/>
    <mergeCell ref="M142:Q142"/>
    <mergeCell ref="M143:Q143"/>
    <mergeCell ref="U143:W144"/>
    <mergeCell ref="M144:Q144"/>
    <mergeCell ref="M145:T145"/>
    <mergeCell ref="M146:Q146"/>
    <mergeCell ref="M147:Q147"/>
    <mergeCell ref="U147:W148"/>
    <mergeCell ref="M148:Q148"/>
    <mergeCell ref="M113:Q113"/>
    <mergeCell ref="M114:Q114"/>
    <mergeCell ref="M115:Q115"/>
    <mergeCell ref="M116:Q116"/>
    <mergeCell ref="M117:Q117"/>
    <mergeCell ref="M118:Q118"/>
    <mergeCell ref="M125:Q125"/>
    <mergeCell ref="M126:Q126"/>
    <mergeCell ref="M127:Q127"/>
    <mergeCell ref="M105:Q105"/>
    <mergeCell ref="M106:Q106"/>
    <mergeCell ref="M108:Q108"/>
    <mergeCell ref="U108:W109"/>
    <mergeCell ref="M109:Q109"/>
    <mergeCell ref="M110:Q110"/>
    <mergeCell ref="U110:W111"/>
    <mergeCell ref="M111:Q111"/>
    <mergeCell ref="M112:T112"/>
    <mergeCell ref="M96:Q96"/>
    <mergeCell ref="U96:W97"/>
    <mergeCell ref="M97:Q97"/>
    <mergeCell ref="M98:T98"/>
    <mergeCell ref="M99:Q99"/>
    <mergeCell ref="M100:Q100"/>
    <mergeCell ref="M101:Q101"/>
    <mergeCell ref="M102:Q102"/>
    <mergeCell ref="M103:Q103"/>
    <mergeCell ref="M86:Q86"/>
    <mergeCell ref="M87:Q87"/>
    <mergeCell ref="M88:Q88"/>
    <mergeCell ref="M89:Q89"/>
    <mergeCell ref="M90:Q90"/>
    <mergeCell ref="M91:Q91"/>
    <mergeCell ref="M92:Q92"/>
    <mergeCell ref="M93:Q93"/>
    <mergeCell ref="U94:W95"/>
    <mergeCell ref="M75:Q75"/>
    <mergeCell ref="M76:Q76"/>
    <mergeCell ref="M80:Q80"/>
    <mergeCell ref="U80:W81"/>
    <mergeCell ref="M81:Q81"/>
    <mergeCell ref="M82:Q82"/>
    <mergeCell ref="U82:W83"/>
    <mergeCell ref="M84:T84"/>
    <mergeCell ref="M85:Q85"/>
    <mergeCell ref="M65:Q65"/>
    <mergeCell ref="T38:Z38"/>
    <mergeCell ref="T39:Z39"/>
    <mergeCell ref="T40:Z40"/>
    <mergeCell ref="M45:T47"/>
    <mergeCell ref="M48:T48"/>
    <mergeCell ref="M49:Q49"/>
    <mergeCell ref="M50:P50"/>
    <mergeCell ref="M52:P52"/>
    <mergeCell ref="M53:P53"/>
    <mergeCell ref="M54:P54"/>
    <mergeCell ref="M55:Q55"/>
    <mergeCell ref="M56:Q56"/>
    <mergeCell ref="M57:Q57"/>
    <mergeCell ref="M58:Q58"/>
    <mergeCell ref="M59:Q59"/>
    <mergeCell ref="M60:Q60"/>
    <mergeCell ref="M61:Q61"/>
    <mergeCell ref="T29:Z29"/>
    <mergeCell ref="T30:Z30"/>
    <mergeCell ref="T31:Z31"/>
    <mergeCell ref="T32:Z32"/>
    <mergeCell ref="T33:Z33"/>
    <mergeCell ref="T34:Z34"/>
    <mergeCell ref="T35:Z35"/>
    <mergeCell ref="T36:Z36"/>
    <mergeCell ref="T37:Z37"/>
    <mergeCell ref="J238:L239"/>
    <mergeCell ref="B239:F239"/>
    <mergeCell ref="B241:F241"/>
    <mergeCell ref="B221:I221"/>
    <mergeCell ref="J236:L237"/>
    <mergeCell ref="B240:I240"/>
    <mergeCell ref="J191:L192"/>
    <mergeCell ref="J205:L206"/>
    <mergeCell ref="B210:F210"/>
    <mergeCell ref="B193:I193"/>
    <mergeCell ref="J203:L204"/>
    <mergeCell ref="B207:I207"/>
    <mergeCell ref="B208:F208"/>
    <mergeCell ref="B209:F209"/>
    <mergeCell ref="B238:F238"/>
    <mergeCell ref="B236:F236"/>
    <mergeCell ref="B237:F237"/>
    <mergeCell ref="B219:F219"/>
    <mergeCell ref="B215:F215"/>
    <mergeCell ref="B211:F211"/>
    <mergeCell ref="B212:F212"/>
    <mergeCell ref="B214:F214"/>
    <mergeCell ref="B217:F217"/>
    <mergeCell ref="J217:L218"/>
    <mergeCell ref="J143:L144"/>
    <mergeCell ref="J147:L148"/>
    <mergeCell ref="B132:F132"/>
    <mergeCell ref="B131:I131"/>
    <mergeCell ref="B145:I145"/>
    <mergeCell ref="B85:F85"/>
    <mergeCell ref="B86:F86"/>
    <mergeCell ref="B87:F87"/>
    <mergeCell ref="B88:F88"/>
    <mergeCell ref="B99:F99"/>
    <mergeCell ref="B101:F101"/>
    <mergeCell ref="B102:F102"/>
    <mergeCell ref="B92:F92"/>
    <mergeCell ref="B96:F96"/>
    <mergeCell ref="B98:I98"/>
    <mergeCell ref="B97:F97"/>
    <mergeCell ref="B90:F90"/>
    <mergeCell ref="B125:F125"/>
    <mergeCell ref="B126:F126"/>
    <mergeCell ref="B127:F127"/>
    <mergeCell ref="B129:F129"/>
    <mergeCell ref="B103:F103"/>
    <mergeCell ref="B135:F135"/>
    <mergeCell ref="B14:H14"/>
    <mergeCell ref="B15:H15"/>
    <mergeCell ref="B16:H16"/>
    <mergeCell ref="B34:H34"/>
    <mergeCell ref="B108:F108"/>
    <mergeCell ref="B109:F109"/>
    <mergeCell ref="J127:L128"/>
    <mergeCell ref="J129:L130"/>
    <mergeCell ref="J141:L142"/>
    <mergeCell ref="B84:I84"/>
    <mergeCell ref="K32:Q32"/>
    <mergeCell ref="K33:Q33"/>
    <mergeCell ref="K34:Q34"/>
    <mergeCell ref="K35:Q35"/>
    <mergeCell ref="K36:Q36"/>
    <mergeCell ref="K37:Q37"/>
    <mergeCell ref="K38:Q38"/>
    <mergeCell ref="K39:Q39"/>
    <mergeCell ref="K40:Q40"/>
    <mergeCell ref="M73:Q73"/>
    <mergeCell ref="M74:Q74"/>
    <mergeCell ref="M62:Q62"/>
    <mergeCell ref="M63:Q63"/>
    <mergeCell ref="M64:Q64"/>
    <mergeCell ref="B33:H33"/>
    <mergeCell ref="B18:H18"/>
    <mergeCell ref="B19:H19"/>
    <mergeCell ref="B20:H20"/>
    <mergeCell ref="B21:H21"/>
    <mergeCell ref="B22:H22"/>
    <mergeCell ref="B23:H23"/>
    <mergeCell ref="B24:H24"/>
    <mergeCell ref="B7:H7"/>
    <mergeCell ref="B17:H17"/>
    <mergeCell ref="B25:H25"/>
    <mergeCell ref="B26:H26"/>
    <mergeCell ref="B27:H27"/>
    <mergeCell ref="B28:H28"/>
    <mergeCell ref="B29:H29"/>
    <mergeCell ref="B30:H30"/>
    <mergeCell ref="B31:H31"/>
    <mergeCell ref="B32:H32"/>
    <mergeCell ref="B8:H8"/>
    <mergeCell ref="B9:H9"/>
    <mergeCell ref="B10:H10"/>
    <mergeCell ref="B11:H11"/>
    <mergeCell ref="B12:H12"/>
    <mergeCell ref="B13:H13"/>
    <mergeCell ref="J68:L69"/>
    <mergeCell ref="J66:L67"/>
    <mergeCell ref="J80:L81"/>
    <mergeCell ref="J82:L83"/>
    <mergeCell ref="B57:F57"/>
    <mergeCell ref="B58:F58"/>
    <mergeCell ref="B59:F59"/>
    <mergeCell ref="B60:F60"/>
    <mergeCell ref="B61:F61"/>
    <mergeCell ref="B62:F62"/>
    <mergeCell ref="B63:F63"/>
    <mergeCell ref="B69:F69"/>
    <mergeCell ref="B71:F71"/>
    <mergeCell ref="B48:I48"/>
    <mergeCell ref="B91:F91"/>
    <mergeCell ref="B70:I70"/>
    <mergeCell ref="B347:F347"/>
    <mergeCell ref="B348:F348"/>
    <mergeCell ref="B144:F144"/>
    <mergeCell ref="B147:F147"/>
    <mergeCell ref="B105:F105"/>
    <mergeCell ref="B106:F106"/>
    <mergeCell ref="B110:F110"/>
    <mergeCell ref="B140:F140"/>
    <mergeCell ref="B141:F141"/>
    <mergeCell ref="B142:F142"/>
    <mergeCell ref="B143:F143"/>
    <mergeCell ref="B118:F118"/>
    <mergeCell ref="B114:F114"/>
    <mergeCell ref="B111:F111"/>
    <mergeCell ref="B139:F139"/>
    <mergeCell ref="B128:F128"/>
    <mergeCell ref="B167:F167"/>
    <mergeCell ref="B256:F256"/>
    <mergeCell ref="B257:F257"/>
    <mergeCell ref="B264:I266"/>
    <mergeCell ref="B267:I267"/>
    <mergeCell ref="B179:I179"/>
    <mergeCell ref="J299:L300"/>
    <mergeCell ref="M299:Q299"/>
    <mergeCell ref="J108:L109"/>
    <mergeCell ref="J110:L111"/>
    <mergeCell ref="B377:F377"/>
    <mergeCell ref="B370:I372"/>
    <mergeCell ref="B380:E380"/>
    <mergeCell ref="B365:F365"/>
    <mergeCell ref="B366:F366"/>
    <mergeCell ref="B367:F367"/>
    <mergeCell ref="B368:F368"/>
    <mergeCell ref="B369:F369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36:F336"/>
    <mergeCell ref="B344:F344"/>
    <mergeCell ref="B345:F345"/>
    <mergeCell ref="B278:F278"/>
    <mergeCell ref="B279:F279"/>
    <mergeCell ref="B280:F280"/>
    <mergeCell ref="B281:F281"/>
    <mergeCell ref="B282:F282"/>
    <mergeCell ref="M277:Q277"/>
    <mergeCell ref="M278:Q278"/>
    <mergeCell ref="M279:Q279"/>
    <mergeCell ref="M280:Q280"/>
    <mergeCell ref="M281:Q281"/>
    <mergeCell ref="M282:Q282"/>
    <mergeCell ref="B274:F274"/>
    <mergeCell ref="B275:F275"/>
    <mergeCell ref="B276:F276"/>
    <mergeCell ref="B273:E273"/>
    <mergeCell ref="M269:P269"/>
    <mergeCell ref="B271:E271"/>
    <mergeCell ref="M271:P271"/>
    <mergeCell ref="B272:E272"/>
    <mergeCell ref="M272:P272"/>
    <mergeCell ref="M273:P273"/>
    <mergeCell ref="M274:Q274"/>
    <mergeCell ref="M275:Q275"/>
    <mergeCell ref="M276:Q276"/>
    <mergeCell ref="M264:T266"/>
    <mergeCell ref="M267:T267"/>
    <mergeCell ref="M268:Q268"/>
    <mergeCell ref="B255:F255"/>
    <mergeCell ref="B258:F258"/>
    <mergeCell ref="B259:F259"/>
    <mergeCell ref="J258:L259"/>
    <mergeCell ref="B245:F245"/>
    <mergeCell ref="B246:F246"/>
    <mergeCell ref="B247:F247"/>
    <mergeCell ref="B248:F248"/>
    <mergeCell ref="B253:F253"/>
    <mergeCell ref="B249:F249"/>
    <mergeCell ref="B250:F250"/>
    <mergeCell ref="B251:F251"/>
    <mergeCell ref="B252:F252"/>
    <mergeCell ref="J252:L253"/>
    <mergeCell ref="J250:L251"/>
    <mergeCell ref="B268:F268"/>
    <mergeCell ref="M252:Q252"/>
    <mergeCell ref="M258:Q258"/>
    <mergeCell ref="B242:F242"/>
    <mergeCell ref="B243:F243"/>
    <mergeCell ref="B244:F244"/>
    <mergeCell ref="B227:F227"/>
    <mergeCell ref="B234:F234"/>
    <mergeCell ref="B235:F235"/>
    <mergeCell ref="B225:F225"/>
    <mergeCell ref="B226:F226"/>
    <mergeCell ref="B220:F220"/>
    <mergeCell ref="B222:F222"/>
    <mergeCell ref="B223:F223"/>
    <mergeCell ref="B224:F224"/>
    <mergeCell ref="B218:F218"/>
    <mergeCell ref="M210:Q210"/>
    <mergeCell ref="M211:Q211"/>
    <mergeCell ref="M212:Q212"/>
    <mergeCell ref="M214:Q214"/>
    <mergeCell ref="M215:Q215"/>
    <mergeCell ref="U203:W204"/>
    <mergeCell ref="M205:Q205"/>
    <mergeCell ref="U205:W206"/>
    <mergeCell ref="M206:Q206"/>
    <mergeCell ref="M207:T207"/>
    <mergeCell ref="M208:Q208"/>
    <mergeCell ref="M209:Q209"/>
    <mergeCell ref="B195:F195"/>
    <mergeCell ref="B205:F205"/>
    <mergeCell ref="B206:F206"/>
    <mergeCell ref="B194:F194"/>
    <mergeCell ref="B196:F196"/>
    <mergeCell ref="B197:F197"/>
    <mergeCell ref="B198:F198"/>
    <mergeCell ref="B199:F199"/>
    <mergeCell ref="B191:F191"/>
    <mergeCell ref="B189:F189"/>
    <mergeCell ref="M189:Q189"/>
    <mergeCell ref="U189:W190"/>
    <mergeCell ref="M190:Q190"/>
    <mergeCell ref="M191:Q191"/>
    <mergeCell ref="U191:W192"/>
    <mergeCell ref="M193:T193"/>
    <mergeCell ref="B185:F185"/>
    <mergeCell ref="M185:Q185"/>
    <mergeCell ref="B190:F190"/>
    <mergeCell ref="J189:L190"/>
    <mergeCell ref="B182:F182"/>
    <mergeCell ref="B183:F183"/>
    <mergeCell ref="B184:F184"/>
    <mergeCell ref="B181:F181"/>
    <mergeCell ref="M183:Q183"/>
    <mergeCell ref="M184:Q184"/>
    <mergeCell ref="B150:F150"/>
    <mergeCell ref="B149:F149"/>
    <mergeCell ref="J149:L150"/>
    <mergeCell ref="J151:L153"/>
    <mergeCell ref="B151:I153"/>
    <mergeCell ref="M161:P161"/>
    <mergeCell ref="B162:E162"/>
    <mergeCell ref="M162:P162"/>
    <mergeCell ref="M163:P163"/>
    <mergeCell ref="B164:F164"/>
    <mergeCell ref="M164:Q164"/>
    <mergeCell ref="B165:F165"/>
    <mergeCell ref="M165:Q165"/>
    <mergeCell ref="M166:Q166"/>
    <mergeCell ref="B166:F166"/>
    <mergeCell ref="M167:Q167"/>
    <mergeCell ref="M168:Q168"/>
    <mergeCell ref="M169:Q169"/>
    <mergeCell ref="M137:Q137"/>
    <mergeCell ref="M138:Q138"/>
    <mergeCell ref="M139:Q139"/>
    <mergeCell ref="M140:Q140"/>
    <mergeCell ref="M132:Q132"/>
    <mergeCell ref="M133:Q133"/>
    <mergeCell ref="M134:Q134"/>
    <mergeCell ref="M135:Q135"/>
    <mergeCell ref="M136:Q136"/>
    <mergeCell ref="K30:Q30"/>
    <mergeCell ref="J94:L95"/>
    <mergeCell ref="J96:L97"/>
    <mergeCell ref="B113:F113"/>
    <mergeCell ref="B112:I112"/>
    <mergeCell ref="B50:E50"/>
    <mergeCell ref="B100:F100"/>
    <mergeCell ref="B80:F80"/>
    <mergeCell ref="B81:F81"/>
    <mergeCell ref="B82:F82"/>
    <mergeCell ref="B89:F89"/>
    <mergeCell ref="B93:F93"/>
    <mergeCell ref="B49:F49"/>
    <mergeCell ref="B45:I47"/>
    <mergeCell ref="B52:E52"/>
    <mergeCell ref="B53:E53"/>
    <mergeCell ref="B54:E54"/>
    <mergeCell ref="B73:F73"/>
    <mergeCell ref="B74:F74"/>
    <mergeCell ref="B75:F75"/>
    <mergeCell ref="B76:F76"/>
    <mergeCell ref="B64:F64"/>
    <mergeCell ref="B67:F67"/>
    <mergeCell ref="B68:F68"/>
    <mergeCell ref="K31:Q31"/>
    <mergeCell ref="T24:Z24"/>
    <mergeCell ref="T25:Z25"/>
    <mergeCell ref="T26:Z26"/>
    <mergeCell ref="T27:Z27"/>
    <mergeCell ref="T28:Z28"/>
    <mergeCell ref="K17:Q17"/>
    <mergeCell ref="K18:Q18"/>
    <mergeCell ref="K19:Q19"/>
    <mergeCell ref="K20:Q20"/>
    <mergeCell ref="K21:Q21"/>
    <mergeCell ref="T17:Z17"/>
    <mergeCell ref="T18:Z18"/>
    <mergeCell ref="T19:Z19"/>
    <mergeCell ref="T20:Z20"/>
    <mergeCell ref="T21:Z21"/>
    <mergeCell ref="T22:AA23"/>
    <mergeCell ref="K22:R23"/>
    <mergeCell ref="K24:Q24"/>
    <mergeCell ref="K25:Q25"/>
    <mergeCell ref="K26:Q26"/>
    <mergeCell ref="K27:Q27"/>
    <mergeCell ref="K28:Q28"/>
    <mergeCell ref="K29:Q29"/>
    <mergeCell ref="K12:Q12"/>
    <mergeCell ref="K13:Q13"/>
    <mergeCell ref="K14:Q14"/>
    <mergeCell ref="K15:Q15"/>
    <mergeCell ref="K16:Q16"/>
    <mergeCell ref="T12:Z12"/>
    <mergeCell ref="T13:Z13"/>
    <mergeCell ref="T14:Z14"/>
    <mergeCell ref="T15:Z15"/>
    <mergeCell ref="T16:Z16"/>
    <mergeCell ref="K7:Q7"/>
    <mergeCell ref="K8:Q8"/>
    <mergeCell ref="K9:Q9"/>
    <mergeCell ref="K10:Q10"/>
    <mergeCell ref="K11:Q11"/>
    <mergeCell ref="T7:Z7"/>
    <mergeCell ref="T8:Z8"/>
    <mergeCell ref="T9:Z9"/>
    <mergeCell ref="T10:Z10"/>
    <mergeCell ref="T11:Z11"/>
    <mergeCell ref="B2:I3"/>
    <mergeCell ref="K2:R3"/>
    <mergeCell ref="T2:AA3"/>
    <mergeCell ref="B4:H4"/>
    <mergeCell ref="B5:H5"/>
    <mergeCell ref="B6:H6"/>
    <mergeCell ref="K4:Q4"/>
    <mergeCell ref="K5:Q5"/>
    <mergeCell ref="K6:Q6"/>
    <mergeCell ref="T4:Z4"/>
    <mergeCell ref="T5:Z5"/>
    <mergeCell ref="T6:Z6"/>
    <mergeCell ref="B35:I36"/>
    <mergeCell ref="M149:Q149"/>
    <mergeCell ref="U149:W150"/>
    <mergeCell ref="M150:Q150"/>
    <mergeCell ref="M151:T153"/>
    <mergeCell ref="J177:L178"/>
    <mergeCell ref="J175:L176"/>
    <mergeCell ref="B180:F180"/>
    <mergeCell ref="B146:F146"/>
    <mergeCell ref="B136:F136"/>
    <mergeCell ref="B55:F55"/>
    <mergeCell ref="B56:F56"/>
    <mergeCell ref="B72:F72"/>
    <mergeCell ref="B65:F65"/>
    <mergeCell ref="B66:F66"/>
    <mergeCell ref="B163:E163"/>
    <mergeCell ref="U127:W128"/>
    <mergeCell ref="M128:Q128"/>
    <mergeCell ref="M129:Q129"/>
    <mergeCell ref="U129:W130"/>
    <mergeCell ref="M130:Q130"/>
    <mergeCell ref="M131:T131"/>
    <mergeCell ref="B133:F133"/>
    <mergeCell ref="B134:F134"/>
    <mergeCell ref="J219:L220"/>
    <mergeCell ref="M217:Q217"/>
    <mergeCell ref="B148:F148"/>
    <mergeCell ref="B115:F115"/>
    <mergeCell ref="B116:F116"/>
    <mergeCell ref="B117:F117"/>
    <mergeCell ref="B137:F137"/>
    <mergeCell ref="B138:F138"/>
    <mergeCell ref="B130:F130"/>
    <mergeCell ref="B200:F200"/>
    <mergeCell ref="B201:F201"/>
    <mergeCell ref="B202:F202"/>
    <mergeCell ref="B169:F169"/>
    <mergeCell ref="B170:F170"/>
    <mergeCell ref="B176:F176"/>
    <mergeCell ref="B177:F177"/>
    <mergeCell ref="B178:F178"/>
    <mergeCell ref="B171:F171"/>
    <mergeCell ref="B172:F172"/>
    <mergeCell ref="B173:F173"/>
    <mergeCell ref="B174:F174"/>
    <mergeCell ref="B175:F175"/>
    <mergeCell ref="B168:F168"/>
    <mergeCell ref="B161:E161"/>
  </mergeCells>
  <phoneticPr fontId="4" type="noConversion"/>
  <pageMargins left="0.25" right="0.25" top="0.75" bottom="0.75" header="0.3" footer="0.3"/>
  <pageSetup paperSize="9" orientation="portrait" horizontalDpi="1200" verticalDpi="1200" r:id="rId1"/>
  <ignoredErrors>
    <ignoredError sqref="H74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AC76-7812-482D-9A9D-CB6DC02DB07A}">
  <dimension ref="B1:AA483"/>
  <sheetViews>
    <sheetView topLeftCell="A506" workbookViewId="0">
      <selection activeCell="K135" sqref="K135"/>
    </sheetView>
  </sheetViews>
  <sheetFormatPr baseColWidth="10" defaultColWidth="11.44140625" defaultRowHeight="13.8"/>
  <cols>
    <col min="1" max="1" width="3.109375" style="93" customWidth="1"/>
    <col min="2" max="16384" width="11.44140625" style="93"/>
  </cols>
  <sheetData>
    <row r="1" spans="2:27" ht="14.4" thickBot="1"/>
    <row r="2" spans="2:27">
      <c r="B2" s="421" t="s">
        <v>24</v>
      </c>
      <c r="C2" s="422"/>
      <c r="D2" s="422"/>
      <c r="E2" s="422"/>
      <c r="F2" s="422"/>
      <c r="G2" s="422"/>
      <c r="H2" s="422"/>
      <c r="I2" s="423"/>
      <c r="K2" s="427" t="s">
        <v>25</v>
      </c>
      <c r="L2" s="428"/>
      <c r="M2" s="428"/>
      <c r="N2" s="428"/>
      <c r="O2" s="428"/>
      <c r="P2" s="428"/>
      <c r="Q2" s="428"/>
      <c r="R2" s="429"/>
      <c r="T2" s="433" t="s">
        <v>27</v>
      </c>
      <c r="U2" s="434"/>
      <c r="V2" s="434"/>
      <c r="W2" s="434"/>
      <c r="X2" s="434"/>
      <c r="Y2" s="434"/>
      <c r="Z2" s="434"/>
      <c r="AA2" s="435"/>
    </row>
    <row r="3" spans="2:27" ht="14.4" thickBot="1">
      <c r="B3" s="424"/>
      <c r="C3" s="425"/>
      <c r="D3" s="425"/>
      <c r="E3" s="425"/>
      <c r="F3" s="425"/>
      <c r="G3" s="425"/>
      <c r="H3" s="425"/>
      <c r="I3" s="426"/>
      <c r="K3" s="430"/>
      <c r="L3" s="431"/>
      <c r="M3" s="431"/>
      <c r="N3" s="431"/>
      <c r="O3" s="431"/>
      <c r="P3" s="431"/>
      <c r="Q3" s="431"/>
      <c r="R3" s="432"/>
      <c r="T3" s="436"/>
      <c r="U3" s="437"/>
      <c r="V3" s="437"/>
      <c r="W3" s="437"/>
      <c r="X3" s="437"/>
      <c r="Y3" s="437"/>
      <c r="Z3" s="437"/>
      <c r="AA3" s="438"/>
    </row>
    <row r="4" spans="2:27">
      <c r="B4" s="439" t="s">
        <v>13</v>
      </c>
      <c r="C4" s="440"/>
      <c r="D4" s="440"/>
      <c r="E4" s="440"/>
      <c r="F4" s="440"/>
      <c r="G4" s="440"/>
      <c r="H4" s="440"/>
      <c r="I4" s="94">
        <v>160000</v>
      </c>
      <c r="K4" s="439" t="s">
        <v>31</v>
      </c>
      <c r="L4" s="440"/>
      <c r="M4" s="440"/>
      <c r="N4" s="440"/>
      <c r="O4" s="440"/>
      <c r="P4" s="440"/>
      <c r="Q4" s="440"/>
      <c r="R4" s="95">
        <v>300000</v>
      </c>
      <c r="T4" s="441" t="s">
        <v>29</v>
      </c>
      <c r="U4" s="442"/>
      <c r="V4" s="442"/>
      <c r="W4" s="442"/>
      <c r="X4" s="442"/>
      <c r="Y4" s="442"/>
      <c r="Z4" s="442"/>
      <c r="AA4" s="95">
        <v>580000</v>
      </c>
    </row>
    <row r="5" spans="2:27">
      <c r="B5" s="443" t="s">
        <v>261</v>
      </c>
      <c r="C5" s="444"/>
      <c r="D5" s="444"/>
      <c r="E5" s="444"/>
      <c r="F5" s="444"/>
      <c r="G5" s="444"/>
      <c r="H5" s="444"/>
      <c r="I5" s="95">
        <v>165000</v>
      </c>
      <c r="K5" s="443" t="s">
        <v>32</v>
      </c>
      <c r="L5" s="444"/>
      <c r="M5" s="444"/>
      <c r="N5" s="444"/>
      <c r="O5" s="444"/>
      <c r="P5" s="444"/>
      <c r="Q5" s="444"/>
      <c r="R5" s="95">
        <v>65000</v>
      </c>
      <c r="T5" s="445" t="s">
        <v>65</v>
      </c>
      <c r="U5" s="446"/>
      <c r="V5" s="446"/>
      <c r="W5" s="446"/>
      <c r="X5" s="446"/>
      <c r="Y5" s="446"/>
      <c r="Z5" s="446"/>
      <c r="AA5" s="95">
        <v>1100000</v>
      </c>
    </row>
    <row r="6" spans="2:27">
      <c r="B6" s="443" t="s">
        <v>14</v>
      </c>
      <c r="C6" s="444"/>
      <c r="D6" s="444"/>
      <c r="E6" s="444"/>
      <c r="F6" s="444"/>
      <c r="G6" s="444"/>
      <c r="H6" s="444"/>
      <c r="I6" s="95">
        <v>140000</v>
      </c>
      <c r="K6" s="443" t="s">
        <v>11</v>
      </c>
      <c r="L6" s="444"/>
      <c r="M6" s="444"/>
      <c r="N6" s="444"/>
      <c r="O6" s="444"/>
      <c r="P6" s="444"/>
      <c r="Q6" s="444"/>
      <c r="R6" s="95">
        <v>250000</v>
      </c>
      <c r="T6" s="445" t="s">
        <v>30</v>
      </c>
      <c r="U6" s="446"/>
      <c r="V6" s="446"/>
      <c r="W6" s="446"/>
      <c r="X6" s="446"/>
      <c r="Y6" s="446"/>
      <c r="Z6" s="446"/>
      <c r="AA6" s="95">
        <v>700000</v>
      </c>
    </row>
    <row r="7" spans="2:27">
      <c r="B7" s="443" t="s">
        <v>23</v>
      </c>
      <c r="C7" s="444"/>
      <c r="D7" s="444"/>
      <c r="E7" s="444"/>
      <c r="F7" s="444"/>
      <c r="G7" s="444"/>
      <c r="H7" s="444"/>
      <c r="I7" s="95">
        <v>150000</v>
      </c>
      <c r="K7" s="443" t="s">
        <v>327</v>
      </c>
      <c r="L7" s="444"/>
      <c r="M7" s="444"/>
      <c r="N7" s="444"/>
      <c r="O7" s="444"/>
      <c r="P7" s="444"/>
      <c r="Q7" s="444"/>
      <c r="R7" s="95">
        <v>30000</v>
      </c>
      <c r="T7" s="445" t="s">
        <v>62</v>
      </c>
      <c r="U7" s="446"/>
      <c r="V7" s="446"/>
      <c r="W7" s="446"/>
      <c r="X7" s="446"/>
      <c r="Y7" s="446"/>
      <c r="Z7" s="446"/>
      <c r="AA7" s="95">
        <v>590000</v>
      </c>
    </row>
    <row r="8" spans="2:27">
      <c r="B8" s="443" t="s">
        <v>18</v>
      </c>
      <c r="C8" s="444"/>
      <c r="D8" s="444"/>
      <c r="E8" s="444"/>
      <c r="F8" s="444"/>
      <c r="G8" s="444"/>
      <c r="H8" s="444"/>
      <c r="I8" s="95">
        <v>12800</v>
      </c>
      <c r="K8" s="443" t="s">
        <v>100</v>
      </c>
      <c r="L8" s="444"/>
      <c r="M8" s="444"/>
      <c r="N8" s="444"/>
      <c r="O8" s="444"/>
      <c r="P8" s="444"/>
      <c r="Q8" s="444"/>
      <c r="R8" s="95">
        <v>30000</v>
      </c>
      <c r="T8" s="445" t="s">
        <v>63</v>
      </c>
      <c r="U8" s="446"/>
      <c r="V8" s="446"/>
      <c r="W8" s="446"/>
      <c r="X8" s="446"/>
      <c r="Y8" s="446"/>
      <c r="Z8" s="446"/>
      <c r="AA8" s="95">
        <v>520000</v>
      </c>
    </row>
    <row r="9" spans="2:27">
      <c r="B9" s="443" t="s">
        <v>19</v>
      </c>
      <c r="C9" s="444"/>
      <c r="D9" s="444"/>
      <c r="E9" s="444"/>
      <c r="F9" s="444"/>
      <c r="G9" s="444"/>
      <c r="H9" s="444"/>
      <c r="I9" s="95">
        <v>11100</v>
      </c>
      <c r="K9" s="443" t="s">
        <v>328</v>
      </c>
      <c r="L9" s="444"/>
      <c r="M9" s="444"/>
      <c r="N9" s="444"/>
      <c r="O9" s="444"/>
      <c r="P9" s="444"/>
      <c r="Q9" s="444"/>
      <c r="R9" s="95">
        <v>50000</v>
      </c>
      <c r="T9" s="445" t="s">
        <v>64</v>
      </c>
      <c r="U9" s="446"/>
      <c r="V9" s="446"/>
      <c r="W9" s="446"/>
      <c r="X9" s="446"/>
      <c r="Y9" s="446"/>
      <c r="Z9" s="446"/>
      <c r="AA9" s="95">
        <v>480000</v>
      </c>
    </row>
    <row r="10" spans="2:27">
      <c r="B10" s="443" t="s">
        <v>259</v>
      </c>
      <c r="C10" s="444"/>
      <c r="D10" s="444"/>
      <c r="E10" s="444"/>
      <c r="F10" s="444"/>
      <c r="G10" s="444"/>
      <c r="H10" s="444"/>
      <c r="I10" s="95">
        <v>58</v>
      </c>
      <c r="K10" s="443" t="s">
        <v>325</v>
      </c>
      <c r="L10" s="444"/>
      <c r="M10" s="444"/>
      <c r="N10" s="444"/>
      <c r="O10" s="444"/>
      <c r="P10" s="444"/>
      <c r="Q10" s="444"/>
      <c r="R10" s="95">
        <v>15000</v>
      </c>
      <c r="T10" s="443" t="s">
        <v>66</v>
      </c>
      <c r="U10" s="444"/>
      <c r="V10" s="444"/>
      <c r="W10" s="444"/>
      <c r="X10" s="444"/>
      <c r="Y10" s="444"/>
      <c r="Z10" s="444"/>
      <c r="AA10" s="95">
        <v>360000</v>
      </c>
    </row>
    <row r="11" spans="2:27">
      <c r="B11" s="443" t="s">
        <v>260</v>
      </c>
      <c r="C11" s="444"/>
      <c r="D11" s="444"/>
      <c r="E11" s="444"/>
      <c r="F11" s="444"/>
      <c r="G11" s="444"/>
      <c r="H11" s="444"/>
      <c r="I11" s="95">
        <v>35</v>
      </c>
      <c r="K11" s="443" t="s">
        <v>326</v>
      </c>
      <c r="L11" s="444"/>
      <c r="M11" s="444"/>
      <c r="N11" s="444"/>
      <c r="O11" s="444"/>
      <c r="P11" s="444"/>
      <c r="Q11" s="444"/>
      <c r="R11" s="95">
        <v>15000</v>
      </c>
      <c r="T11" s="443" t="s">
        <v>33</v>
      </c>
      <c r="U11" s="444"/>
      <c r="V11" s="444"/>
      <c r="W11" s="444"/>
      <c r="X11" s="444"/>
      <c r="Y11" s="444"/>
      <c r="Z11" s="444"/>
      <c r="AA11" s="95"/>
    </row>
    <row r="12" spans="2:27">
      <c r="B12" s="443" t="s">
        <v>218</v>
      </c>
      <c r="C12" s="444"/>
      <c r="D12" s="444"/>
      <c r="E12" s="444"/>
      <c r="F12" s="444"/>
      <c r="G12" s="444"/>
      <c r="H12" s="444"/>
      <c r="I12" s="95">
        <v>1250</v>
      </c>
      <c r="K12" s="443" t="s">
        <v>276</v>
      </c>
      <c r="L12" s="444"/>
      <c r="M12" s="444"/>
      <c r="N12" s="444"/>
      <c r="O12" s="444"/>
      <c r="P12" s="444"/>
      <c r="Q12" s="444"/>
      <c r="R12" s="95">
        <v>75000</v>
      </c>
      <c r="T12" s="443" t="s">
        <v>34</v>
      </c>
      <c r="U12" s="444"/>
      <c r="V12" s="444"/>
      <c r="W12" s="444"/>
      <c r="X12" s="444"/>
      <c r="Y12" s="444"/>
      <c r="Z12" s="444"/>
      <c r="AA12" s="95"/>
    </row>
    <row r="13" spans="2:27">
      <c r="B13" s="443" t="s">
        <v>219</v>
      </c>
      <c r="C13" s="444"/>
      <c r="D13" s="444"/>
      <c r="E13" s="444"/>
      <c r="F13" s="444"/>
      <c r="G13" s="444"/>
      <c r="H13" s="444"/>
      <c r="I13" s="95">
        <v>1250</v>
      </c>
      <c r="K13" s="443" t="s">
        <v>277</v>
      </c>
      <c r="L13" s="444"/>
      <c r="M13" s="444"/>
      <c r="N13" s="444"/>
      <c r="O13" s="444"/>
      <c r="P13" s="444"/>
      <c r="Q13" s="444"/>
      <c r="R13" s="95">
        <v>75000</v>
      </c>
      <c r="T13" s="443" t="s">
        <v>35</v>
      </c>
      <c r="U13" s="444"/>
      <c r="V13" s="444"/>
      <c r="W13" s="444"/>
      <c r="X13" s="444"/>
      <c r="Y13" s="444"/>
      <c r="Z13" s="444"/>
      <c r="AA13" s="95"/>
    </row>
    <row r="14" spans="2:27">
      <c r="B14" s="443" t="s">
        <v>220</v>
      </c>
      <c r="C14" s="444"/>
      <c r="D14" s="444"/>
      <c r="E14" s="444"/>
      <c r="F14" s="444"/>
      <c r="G14" s="444"/>
      <c r="H14" s="444"/>
      <c r="I14" s="95">
        <v>750</v>
      </c>
      <c r="K14" s="443" t="s">
        <v>6</v>
      </c>
      <c r="L14" s="444"/>
      <c r="M14" s="444"/>
      <c r="N14" s="444"/>
      <c r="O14" s="444"/>
      <c r="P14" s="444"/>
      <c r="Q14" s="444"/>
      <c r="R14" s="95">
        <v>30000</v>
      </c>
      <c r="T14" s="443" t="s">
        <v>36</v>
      </c>
      <c r="U14" s="444"/>
      <c r="V14" s="444"/>
      <c r="W14" s="444"/>
      <c r="X14" s="444"/>
      <c r="Y14" s="444"/>
      <c r="Z14" s="444"/>
      <c r="AA14" s="95"/>
    </row>
    <row r="15" spans="2:27">
      <c r="B15" s="443" t="s">
        <v>268</v>
      </c>
      <c r="C15" s="444"/>
      <c r="D15" s="444"/>
      <c r="E15" s="444"/>
      <c r="F15" s="444"/>
      <c r="G15" s="444"/>
      <c r="H15" s="444"/>
      <c r="I15" s="95">
        <v>175</v>
      </c>
      <c r="K15" s="443" t="s">
        <v>12</v>
      </c>
      <c r="L15" s="444"/>
      <c r="M15" s="444"/>
      <c r="N15" s="444"/>
      <c r="O15" s="444"/>
      <c r="P15" s="444"/>
      <c r="Q15" s="444"/>
      <c r="R15" s="95">
        <v>12000</v>
      </c>
      <c r="T15" s="445" t="s">
        <v>76</v>
      </c>
      <c r="U15" s="446"/>
      <c r="V15" s="446"/>
      <c r="W15" s="446"/>
      <c r="X15" s="446"/>
      <c r="Y15" s="446"/>
      <c r="Z15" s="446"/>
      <c r="AA15" s="95"/>
    </row>
    <row r="16" spans="2:27">
      <c r="B16" s="443" t="s">
        <v>221</v>
      </c>
      <c r="C16" s="444"/>
      <c r="D16" s="444"/>
      <c r="E16" s="444"/>
      <c r="F16" s="444"/>
      <c r="G16" s="444"/>
      <c r="H16" s="444"/>
      <c r="I16" s="95">
        <v>175</v>
      </c>
      <c r="K16" s="443"/>
      <c r="L16" s="444"/>
      <c r="M16" s="444"/>
      <c r="N16" s="444"/>
      <c r="O16" s="444"/>
      <c r="P16" s="444"/>
      <c r="Q16" s="444"/>
      <c r="R16" s="95"/>
      <c r="T16" s="445" t="s">
        <v>37</v>
      </c>
      <c r="U16" s="446"/>
      <c r="V16" s="446"/>
      <c r="W16" s="446"/>
      <c r="X16" s="446"/>
      <c r="Y16" s="446"/>
      <c r="Z16" s="446"/>
      <c r="AA16" s="95"/>
    </row>
    <row r="17" spans="2:27">
      <c r="B17" s="443" t="s">
        <v>222</v>
      </c>
      <c r="C17" s="444"/>
      <c r="D17" s="444"/>
      <c r="E17" s="444"/>
      <c r="F17" s="444"/>
      <c r="G17" s="444"/>
      <c r="H17" s="444"/>
      <c r="I17" s="95">
        <v>90000</v>
      </c>
      <c r="K17" s="443"/>
      <c r="L17" s="444"/>
      <c r="M17" s="444"/>
      <c r="N17" s="444"/>
      <c r="O17" s="444"/>
      <c r="P17" s="444"/>
      <c r="Q17" s="444"/>
      <c r="R17" s="95"/>
      <c r="T17" s="445" t="s">
        <v>38</v>
      </c>
      <c r="U17" s="446"/>
      <c r="V17" s="446"/>
      <c r="W17" s="446"/>
      <c r="X17" s="446"/>
      <c r="Y17" s="446"/>
      <c r="Z17" s="446"/>
      <c r="AA17" s="95"/>
    </row>
    <row r="18" spans="2:27">
      <c r="B18" s="443" t="s">
        <v>10</v>
      </c>
      <c r="C18" s="444"/>
      <c r="D18" s="444"/>
      <c r="E18" s="444"/>
      <c r="F18" s="444"/>
      <c r="G18" s="444"/>
      <c r="H18" s="444"/>
      <c r="I18" s="95">
        <v>21000</v>
      </c>
      <c r="K18" s="443"/>
      <c r="L18" s="444"/>
      <c r="M18" s="444"/>
      <c r="N18" s="444"/>
      <c r="O18" s="444"/>
      <c r="P18" s="444"/>
      <c r="Q18" s="444"/>
      <c r="R18" s="95"/>
      <c r="T18" s="445" t="s">
        <v>39</v>
      </c>
      <c r="U18" s="446"/>
      <c r="V18" s="446"/>
      <c r="W18" s="446"/>
      <c r="X18" s="446"/>
      <c r="Y18" s="446"/>
      <c r="Z18" s="446"/>
      <c r="AA18" s="95"/>
    </row>
    <row r="19" spans="2:27">
      <c r="B19" s="443" t="s">
        <v>269</v>
      </c>
      <c r="C19" s="444"/>
      <c r="D19" s="444"/>
      <c r="E19" s="444"/>
      <c r="F19" s="444"/>
      <c r="G19" s="444"/>
      <c r="H19" s="444"/>
      <c r="I19" s="95">
        <v>40000</v>
      </c>
      <c r="K19" s="443"/>
      <c r="L19" s="444"/>
      <c r="M19" s="444"/>
      <c r="N19" s="444"/>
      <c r="O19" s="444"/>
      <c r="P19" s="444"/>
      <c r="Q19" s="444"/>
      <c r="R19" s="95"/>
      <c r="T19" s="443" t="s">
        <v>40</v>
      </c>
      <c r="U19" s="444"/>
      <c r="V19" s="444"/>
      <c r="W19" s="444"/>
      <c r="X19" s="444"/>
      <c r="Y19" s="444"/>
      <c r="Z19" s="444"/>
      <c r="AA19" s="95"/>
    </row>
    <row r="20" spans="2:27">
      <c r="B20" s="443" t="s">
        <v>270</v>
      </c>
      <c r="C20" s="444"/>
      <c r="D20" s="444"/>
      <c r="E20" s="444"/>
      <c r="F20" s="444"/>
      <c r="G20" s="444"/>
      <c r="H20" s="444"/>
      <c r="I20" s="95">
        <v>13000</v>
      </c>
      <c r="K20" s="443"/>
      <c r="L20" s="444"/>
      <c r="M20" s="444"/>
      <c r="N20" s="444"/>
      <c r="O20" s="444"/>
      <c r="P20" s="444"/>
      <c r="Q20" s="444"/>
      <c r="R20" s="95"/>
      <c r="T20" s="443"/>
      <c r="U20" s="444"/>
      <c r="V20" s="444"/>
      <c r="W20" s="444"/>
      <c r="X20" s="444"/>
      <c r="Y20" s="444"/>
      <c r="Z20" s="444"/>
      <c r="AA20" s="95"/>
    </row>
    <row r="21" spans="2:27" ht="14.4" thickBot="1">
      <c r="B21" s="443"/>
      <c r="C21" s="444"/>
      <c r="D21" s="444"/>
      <c r="E21" s="444"/>
      <c r="F21" s="444"/>
      <c r="G21" s="444"/>
      <c r="H21" s="444"/>
      <c r="I21" s="95"/>
      <c r="K21" s="447"/>
      <c r="L21" s="448"/>
      <c r="M21" s="448"/>
      <c r="N21" s="448"/>
      <c r="O21" s="448"/>
      <c r="P21" s="448"/>
      <c r="Q21" s="448"/>
      <c r="R21" s="95"/>
      <c r="T21" s="447"/>
      <c r="U21" s="448"/>
      <c r="V21" s="448"/>
      <c r="W21" s="448"/>
      <c r="X21" s="448"/>
      <c r="Y21" s="448"/>
      <c r="Z21" s="448"/>
      <c r="AA21" s="95"/>
    </row>
    <row r="22" spans="2:27">
      <c r="B22" s="443"/>
      <c r="C22" s="444"/>
      <c r="D22" s="444"/>
      <c r="E22" s="444"/>
      <c r="F22" s="444"/>
      <c r="G22" s="444"/>
      <c r="H22" s="444"/>
      <c r="I22" s="95"/>
      <c r="K22" s="449" t="s">
        <v>26</v>
      </c>
      <c r="L22" s="450"/>
      <c r="M22" s="450"/>
      <c r="N22" s="450"/>
      <c r="O22" s="450"/>
      <c r="P22" s="450"/>
      <c r="Q22" s="450"/>
      <c r="R22" s="451"/>
      <c r="T22" s="455" t="s">
        <v>28</v>
      </c>
      <c r="U22" s="456"/>
      <c r="V22" s="456"/>
      <c r="W22" s="456"/>
      <c r="X22" s="456"/>
      <c r="Y22" s="456"/>
      <c r="Z22" s="456"/>
      <c r="AA22" s="457"/>
    </row>
    <row r="23" spans="2:27" ht="14.4" thickBot="1">
      <c r="B23" s="443" t="s">
        <v>302</v>
      </c>
      <c r="C23" s="444"/>
      <c r="D23" s="444"/>
      <c r="E23" s="444"/>
      <c r="F23" s="444"/>
      <c r="G23" s="444"/>
      <c r="H23" s="444"/>
      <c r="I23" s="95">
        <v>220000</v>
      </c>
      <c r="K23" s="452"/>
      <c r="L23" s="453"/>
      <c r="M23" s="453"/>
      <c r="N23" s="453"/>
      <c r="O23" s="453"/>
      <c r="P23" s="453"/>
      <c r="Q23" s="453"/>
      <c r="R23" s="454"/>
      <c r="T23" s="458"/>
      <c r="U23" s="459"/>
      <c r="V23" s="459"/>
      <c r="W23" s="459"/>
      <c r="X23" s="459"/>
      <c r="Y23" s="459"/>
      <c r="Z23" s="459"/>
      <c r="AA23" s="460"/>
    </row>
    <row r="24" spans="2:27">
      <c r="B24" s="443" t="s">
        <v>301</v>
      </c>
      <c r="C24" s="444"/>
      <c r="D24" s="444"/>
      <c r="E24" s="444"/>
      <c r="F24" s="444"/>
      <c r="G24" s="444"/>
      <c r="H24" s="444"/>
      <c r="I24" s="95">
        <v>260000</v>
      </c>
      <c r="K24" s="439" t="s">
        <v>296</v>
      </c>
      <c r="L24" s="440"/>
      <c r="M24" s="440"/>
      <c r="N24" s="440"/>
      <c r="O24" s="440"/>
      <c r="P24" s="440"/>
      <c r="Q24" s="440"/>
      <c r="R24" s="95"/>
      <c r="T24" s="439" t="s">
        <v>2</v>
      </c>
      <c r="U24" s="440"/>
      <c r="V24" s="440"/>
      <c r="W24" s="440"/>
      <c r="X24" s="440"/>
      <c r="Y24" s="440"/>
      <c r="Z24" s="440"/>
      <c r="AA24" s="95"/>
    </row>
    <row r="25" spans="2:27">
      <c r="B25" s="443" t="s">
        <v>303</v>
      </c>
      <c r="C25" s="444"/>
      <c r="D25" s="444"/>
      <c r="E25" s="444"/>
      <c r="F25" s="444"/>
      <c r="G25" s="444"/>
      <c r="H25" s="444"/>
      <c r="I25" s="95">
        <v>14000</v>
      </c>
      <c r="K25" s="443" t="s">
        <v>295</v>
      </c>
      <c r="L25" s="444"/>
      <c r="M25" s="444"/>
      <c r="N25" s="444"/>
      <c r="O25" s="444"/>
      <c r="P25" s="444"/>
      <c r="Q25" s="444"/>
      <c r="R25" s="95"/>
      <c r="T25" s="443" t="s">
        <v>22</v>
      </c>
      <c r="U25" s="444"/>
      <c r="V25" s="444"/>
      <c r="W25" s="444"/>
      <c r="X25" s="444"/>
      <c r="Y25" s="444"/>
      <c r="Z25" s="444"/>
      <c r="AA25" s="95"/>
    </row>
    <row r="26" spans="2:27">
      <c r="B26" s="443" t="s">
        <v>304</v>
      </c>
      <c r="C26" s="444"/>
      <c r="D26" s="444"/>
      <c r="E26" s="444"/>
      <c r="F26" s="444"/>
      <c r="G26" s="444"/>
      <c r="H26" s="444"/>
      <c r="I26" s="95">
        <v>90000</v>
      </c>
      <c r="K26" s="443" t="s">
        <v>330</v>
      </c>
      <c r="L26" s="444"/>
      <c r="M26" s="444"/>
      <c r="N26" s="444"/>
      <c r="O26" s="444"/>
      <c r="P26" s="444"/>
      <c r="Q26" s="444"/>
      <c r="R26" s="95"/>
      <c r="T26" s="443" t="s">
        <v>21</v>
      </c>
      <c r="U26" s="444"/>
      <c r="V26" s="444"/>
      <c r="W26" s="444"/>
      <c r="X26" s="444"/>
      <c r="Y26" s="444"/>
      <c r="Z26" s="444"/>
      <c r="AA26" s="95"/>
    </row>
    <row r="27" spans="2:27">
      <c r="B27" s="443" t="s">
        <v>305</v>
      </c>
      <c r="C27" s="444"/>
      <c r="D27" s="444"/>
      <c r="E27" s="444"/>
      <c r="F27" s="444"/>
      <c r="G27" s="444"/>
      <c r="H27" s="444"/>
      <c r="I27" s="95">
        <v>60000</v>
      </c>
      <c r="K27" s="443" t="s">
        <v>329</v>
      </c>
      <c r="L27" s="444"/>
      <c r="M27" s="444"/>
      <c r="N27" s="444"/>
      <c r="O27" s="444"/>
      <c r="P27" s="444"/>
      <c r="Q27" s="444"/>
      <c r="R27" s="95">
        <v>12000</v>
      </c>
      <c r="T27" s="443" t="s">
        <v>71</v>
      </c>
      <c r="U27" s="444"/>
      <c r="V27" s="444"/>
      <c r="W27" s="444"/>
      <c r="X27" s="444"/>
      <c r="Y27" s="444"/>
      <c r="Z27" s="444"/>
      <c r="AA27" s="95"/>
    </row>
    <row r="28" spans="2:27">
      <c r="B28" s="443"/>
      <c r="C28" s="444"/>
      <c r="D28" s="444"/>
      <c r="E28" s="444"/>
      <c r="F28" s="444"/>
      <c r="G28" s="444"/>
      <c r="H28" s="444"/>
      <c r="I28" s="95"/>
      <c r="K28" s="443" t="s">
        <v>331</v>
      </c>
      <c r="L28" s="444"/>
      <c r="M28" s="444"/>
      <c r="N28" s="444"/>
      <c r="O28" s="444"/>
      <c r="P28" s="444"/>
      <c r="Q28" s="444"/>
      <c r="R28" s="95">
        <v>28000</v>
      </c>
      <c r="T28" s="443" t="s">
        <v>72</v>
      </c>
      <c r="U28" s="444"/>
      <c r="V28" s="444"/>
      <c r="W28" s="444"/>
      <c r="X28" s="444"/>
      <c r="Y28" s="444"/>
      <c r="Z28" s="444"/>
      <c r="AA28" s="95"/>
    </row>
    <row r="29" spans="2:27">
      <c r="B29" s="443"/>
      <c r="C29" s="444"/>
      <c r="D29" s="444"/>
      <c r="E29" s="444"/>
      <c r="F29" s="444"/>
      <c r="G29" s="444"/>
      <c r="H29" s="444"/>
      <c r="I29" s="95"/>
      <c r="K29" s="443" t="s">
        <v>42</v>
      </c>
      <c r="L29" s="444"/>
      <c r="M29" s="444"/>
      <c r="N29" s="444"/>
      <c r="O29" s="444"/>
      <c r="P29" s="444"/>
      <c r="Q29" s="444"/>
      <c r="R29" s="95">
        <v>200000</v>
      </c>
      <c r="T29" s="443"/>
      <c r="U29" s="444"/>
      <c r="V29" s="444"/>
      <c r="W29" s="444"/>
      <c r="X29" s="444"/>
      <c r="Y29" s="444"/>
      <c r="Z29" s="444"/>
      <c r="AA29" s="95"/>
    </row>
    <row r="30" spans="2:27">
      <c r="B30" s="443"/>
      <c r="C30" s="444"/>
      <c r="D30" s="444"/>
      <c r="E30" s="444"/>
      <c r="F30" s="444"/>
      <c r="G30" s="444"/>
      <c r="H30" s="444"/>
      <c r="I30" s="95"/>
      <c r="K30" s="443" t="s">
        <v>41</v>
      </c>
      <c r="L30" s="444"/>
      <c r="M30" s="444"/>
      <c r="N30" s="444"/>
      <c r="O30" s="444"/>
      <c r="P30" s="444"/>
      <c r="Q30" s="444"/>
      <c r="R30" s="95">
        <v>150000</v>
      </c>
      <c r="T30" s="443"/>
      <c r="U30" s="444"/>
      <c r="V30" s="444"/>
      <c r="W30" s="444"/>
      <c r="X30" s="444"/>
      <c r="Y30" s="444"/>
      <c r="Z30" s="444"/>
      <c r="AA30" s="95"/>
    </row>
    <row r="31" spans="2:27">
      <c r="B31" s="443"/>
      <c r="C31" s="444"/>
      <c r="D31" s="444"/>
      <c r="E31" s="444"/>
      <c r="F31" s="444"/>
      <c r="G31" s="444"/>
      <c r="H31" s="444"/>
      <c r="I31" s="95"/>
      <c r="K31" s="443" t="s">
        <v>3</v>
      </c>
      <c r="L31" s="444"/>
      <c r="M31" s="444"/>
      <c r="N31" s="444"/>
      <c r="O31" s="444"/>
      <c r="P31" s="444"/>
      <c r="Q31" s="444"/>
      <c r="R31" s="95">
        <v>100000</v>
      </c>
      <c r="T31" s="443"/>
      <c r="U31" s="444"/>
      <c r="V31" s="444"/>
      <c r="W31" s="444"/>
      <c r="X31" s="444"/>
      <c r="Y31" s="444"/>
      <c r="Z31" s="444"/>
      <c r="AA31" s="95"/>
    </row>
    <row r="32" spans="2:27">
      <c r="B32" s="443"/>
      <c r="C32" s="444"/>
      <c r="D32" s="444"/>
      <c r="E32" s="444"/>
      <c r="F32" s="444"/>
      <c r="G32" s="444"/>
      <c r="H32" s="444"/>
      <c r="I32" s="95"/>
      <c r="K32" s="443" t="s">
        <v>4</v>
      </c>
      <c r="L32" s="444"/>
      <c r="M32" s="444"/>
      <c r="N32" s="444"/>
      <c r="O32" s="444"/>
      <c r="P32" s="444"/>
      <c r="Q32" s="444"/>
      <c r="R32" s="95">
        <v>75000</v>
      </c>
      <c r="T32" s="443"/>
      <c r="U32" s="444"/>
      <c r="V32" s="444"/>
      <c r="W32" s="444"/>
      <c r="X32" s="444"/>
      <c r="Y32" s="444"/>
      <c r="Z32" s="444"/>
      <c r="AA32" s="95"/>
    </row>
    <row r="33" spans="2:27">
      <c r="B33" s="443"/>
      <c r="C33" s="444"/>
      <c r="D33" s="444"/>
      <c r="E33" s="444"/>
      <c r="F33" s="444"/>
      <c r="G33" s="444"/>
      <c r="H33" s="444"/>
      <c r="I33" s="95"/>
      <c r="K33" s="443" t="s">
        <v>67</v>
      </c>
      <c r="L33" s="444"/>
      <c r="M33" s="444"/>
      <c r="N33" s="444"/>
      <c r="O33" s="444"/>
      <c r="P33" s="444"/>
      <c r="Q33" s="444"/>
      <c r="R33" s="95">
        <v>500</v>
      </c>
      <c r="T33" s="443"/>
      <c r="U33" s="444"/>
      <c r="V33" s="444"/>
      <c r="W33" s="444"/>
      <c r="X33" s="444"/>
      <c r="Y33" s="444"/>
      <c r="Z33" s="444"/>
      <c r="AA33" s="95"/>
    </row>
    <row r="34" spans="2:27" ht="14.4" thickBot="1">
      <c r="B34" s="447"/>
      <c r="C34" s="448"/>
      <c r="D34" s="448"/>
      <c r="E34" s="448"/>
      <c r="F34" s="448"/>
      <c r="G34" s="448"/>
      <c r="H34" s="448"/>
      <c r="I34" s="96"/>
      <c r="K34" s="443" t="s">
        <v>68</v>
      </c>
      <c r="L34" s="444"/>
      <c r="M34" s="444"/>
      <c r="N34" s="444"/>
      <c r="O34" s="444"/>
      <c r="P34" s="444"/>
      <c r="Q34" s="444"/>
      <c r="R34" s="95">
        <v>500</v>
      </c>
      <c r="T34" s="443"/>
      <c r="U34" s="444"/>
      <c r="V34" s="444"/>
      <c r="W34" s="444"/>
      <c r="X34" s="444"/>
      <c r="Y34" s="444"/>
      <c r="Z34" s="444"/>
      <c r="AA34" s="95"/>
    </row>
    <row r="35" spans="2:27">
      <c r="B35" s="461" t="s">
        <v>95</v>
      </c>
      <c r="C35" s="462"/>
      <c r="D35" s="462"/>
      <c r="E35" s="462"/>
      <c r="F35" s="462"/>
      <c r="G35" s="462"/>
      <c r="H35" s="462"/>
      <c r="I35" s="463"/>
      <c r="K35" s="443" t="s">
        <v>70</v>
      </c>
      <c r="L35" s="444"/>
      <c r="M35" s="444"/>
      <c r="N35" s="444"/>
      <c r="O35" s="444"/>
      <c r="P35" s="444"/>
      <c r="Q35" s="444"/>
      <c r="R35" s="95">
        <v>6000</v>
      </c>
      <c r="T35" s="443"/>
      <c r="U35" s="444"/>
      <c r="V35" s="444"/>
      <c r="W35" s="444"/>
      <c r="X35" s="444"/>
      <c r="Y35" s="444"/>
      <c r="Z35" s="444"/>
      <c r="AA35" s="95"/>
    </row>
    <row r="36" spans="2:27" ht="14.4" thickBot="1">
      <c r="B36" s="464"/>
      <c r="C36" s="465"/>
      <c r="D36" s="465"/>
      <c r="E36" s="465"/>
      <c r="F36" s="465"/>
      <c r="G36" s="465"/>
      <c r="H36" s="465"/>
      <c r="I36" s="466"/>
      <c r="K36" s="443" t="s">
        <v>380</v>
      </c>
      <c r="L36" s="444"/>
      <c r="M36" s="444"/>
      <c r="N36" s="444"/>
      <c r="O36" s="444"/>
      <c r="P36" s="444"/>
      <c r="Q36" s="444"/>
      <c r="R36" s="95">
        <v>15000</v>
      </c>
      <c r="T36" s="443"/>
      <c r="U36" s="444"/>
      <c r="V36" s="444"/>
      <c r="W36" s="444"/>
      <c r="X36" s="444"/>
      <c r="Y36" s="444"/>
      <c r="Z36" s="444"/>
      <c r="AA36" s="95"/>
    </row>
    <row r="37" spans="2:27">
      <c r="B37" s="108" t="s">
        <v>96</v>
      </c>
      <c r="C37" s="109"/>
      <c r="D37" s="109"/>
      <c r="E37" s="109"/>
      <c r="F37" s="109"/>
      <c r="G37" s="109">
        <v>1</v>
      </c>
      <c r="H37" s="110">
        <v>75000</v>
      </c>
      <c r="I37" s="95">
        <f>G37*H37</f>
        <v>75000</v>
      </c>
      <c r="K37" s="443" t="s">
        <v>16</v>
      </c>
      <c r="L37" s="444"/>
      <c r="M37" s="444"/>
      <c r="N37" s="444"/>
      <c r="O37" s="444"/>
      <c r="P37" s="444"/>
      <c r="Q37" s="444"/>
      <c r="R37" s="95">
        <v>150000</v>
      </c>
      <c r="T37" s="443"/>
      <c r="U37" s="444"/>
      <c r="V37" s="444"/>
      <c r="W37" s="444"/>
      <c r="X37" s="444"/>
      <c r="Y37" s="444"/>
      <c r="Z37" s="444"/>
      <c r="AA37" s="95"/>
    </row>
    <row r="38" spans="2:27">
      <c r="B38" s="108" t="s">
        <v>97</v>
      </c>
      <c r="C38" s="109"/>
      <c r="D38" s="109"/>
      <c r="E38" s="109"/>
      <c r="F38" s="109"/>
      <c r="G38" s="109">
        <v>2</v>
      </c>
      <c r="H38" s="110">
        <v>70000</v>
      </c>
      <c r="I38" s="95">
        <f>G38*H38</f>
        <v>140000</v>
      </c>
      <c r="K38" s="443" t="s">
        <v>17</v>
      </c>
      <c r="L38" s="444"/>
      <c r="M38" s="444"/>
      <c r="N38" s="444"/>
      <c r="O38" s="444"/>
      <c r="P38" s="444"/>
      <c r="Q38" s="444"/>
      <c r="R38" s="95">
        <v>150000</v>
      </c>
      <c r="T38" s="443"/>
      <c r="U38" s="444"/>
      <c r="V38" s="444"/>
      <c r="W38" s="444"/>
      <c r="X38" s="444"/>
      <c r="Y38" s="444"/>
      <c r="Z38" s="444"/>
      <c r="AA38" s="95"/>
    </row>
    <row r="39" spans="2:27">
      <c r="B39" s="108" t="s">
        <v>98</v>
      </c>
      <c r="C39" s="109"/>
      <c r="D39" s="109"/>
      <c r="E39" s="109"/>
      <c r="F39" s="109"/>
      <c r="G39" s="109">
        <v>1</v>
      </c>
      <c r="H39" s="110">
        <v>60000</v>
      </c>
      <c r="I39" s="95">
        <f>G39*H39</f>
        <v>60000</v>
      </c>
      <c r="K39" s="443"/>
      <c r="L39" s="444"/>
      <c r="M39" s="444"/>
      <c r="N39" s="444"/>
      <c r="O39" s="444"/>
      <c r="P39" s="444"/>
      <c r="Q39" s="444"/>
      <c r="R39" s="95"/>
      <c r="T39" s="443"/>
      <c r="U39" s="444"/>
      <c r="V39" s="444"/>
      <c r="W39" s="444"/>
      <c r="X39" s="444"/>
      <c r="Y39" s="444"/>
      <c r="Z39" s="444"/>
      <c r="AA39" s="95"/>
    </row>
    <row r="40" spans="2:27" ht="14.4" thickBot="1">
      <c r="B40" s="111" t="s">
        <v>99</v>
      </c>
      <c r="C40" s="112"/>
      <c r="D40" s="112"/>
      <c r="E40" s="112"/>
      <c r="F40" s="112"/>
      <c r="G40" s="112"/>
      <c r="H40" s="113">
        <v>60000</v>
      </c>
      <c r="I40" s="96">
        <f>G40*H40</f>
        <v>0</v>
      </c>
      <c r="K40" s="447"/>
      <c r="L40" s="448"/>
      <c r="M40" s="448"/>
      <c r="N40" s="448"/>
      <c r="O40" s="448"/>
      <c r="P40" s="448"/>
      <c r="Q40" s="448"/>
      <c r="R40" s="96"/>
      <c r="T40" s="447"/>
      <c r="U40" s="448"/>
      <c r="V40" s="448"/>
      <c r="W40" s="448"/>
      <c r="X40" s="448"/>
      <c r="Y40" s="448"/>
      <c r="Z40" s="448"/>
      <c r="AA40" s="96"/>
    </row>
    <row r="44" spans="2:27" ht="14.4" thickBot="1"/>
    <row r="45" spans="2:27" ht="15" customHeight="1">
      <c r="B45" s="475" t="s">
        <v>386</v>
      </c>
      <c r="C45" s="476"/>
      <c r="D45" s="476"/>
      <c r="E45" s="476"/>
      <c r="F45" s="476"/>
      <c r="G45" s="476"/>
      <c r="H45" s="476"/>
      <c r="I45" s="477"/>
      <c r="M45" s="475" t="s">
        <v>396</v>
      </c>
      <c r="N45" s="476"/>
      <c r="O45" s="476"/>
      <c r="P45" s="476"/>
      <c r="Q45" s="476"/>
      <c r="R45" s="476"/>
      <c r="S45" s="476"/>
      <c r="T45" s="477"/>
    </row>
    <row r="46" spans="2:27" ht="15" customHeight="1">
      <c r="B46" s="478"/>
      <c r="C46" s="479"/>
      <c r="D46" s="479"/>
      <c r="E46" s="479"/>
      <c r="F46" s="479"/>
      <c r="G46" s="479"/>
      <c r="H46" s="479"/>
      <c r="I46" s="480"/>
      <c r="M46" s="478"/>
      <c r="N46" s="479"/>
      <c r="O46" s="479"/>
      <c r="P46" s="479"/>
      <c r="Q46" s="479"/>
      <c r="R46" s="479"/>
      <c r="S46" s="479"/>
      <c r="T46" s="480"/>
    </row>
    <row r="47" spans="2:27" ht="15.75" customHeight="1" thickBot="1">
      <c r="B47" s="481"/>
      <c r="C47" s="482"/>
      <c r="D47" s="482"/>
      <c r="E47" s="482"/>
      <c r="F47" s="482"/>
      <c r="G47" s="482"/>
      <c r="H47" s="482"/>
      <c r="I47" s="483"/>
      <c r="M47" s="481"/>
      <c r="N47" s="482"/>
      <c r="O47" s="482"/>
      <c r="P47" s="482"/>
      <c r="Q47" s="482"/>
      <c r="R47" s="482"/>
      <c r="S47" s="482"/>
      <c r="T47" s="483"/>
    </row>
    <row r="48" spans="2:27" ht="14.4" thickBot="1">
      <c r="B48" s="467" t="s">
        <v>262</v>
      </c>
      <c r="C48" s="468"/>
      <c r="D48" s="468"/>
      <c r="E48" s="468"/>
      <c r="F48" s="468"/>
      <c r="G48" s="468"/>
      <c r="H48" s="468"/>
      <c r="I48" s="484"/>
      <c r="M48" s="467" t="s">
        <v>262</v>
      </c>
      <c r="N48" s="468"/>
      <c r="O48" s="468"/>
      <c r="P48" s="468"/>
      <c r="Q48" s="468"/>
      <c r="R48" s="468"/>
      <c r="S48" s="468"/>
      <c r="T48" s="484"/>
    </row>
    <row r="49" spans="2:20" ht="14.4" thickBot="1">
      <c r="B49" s="467" t="s">
        <v>267</v>
      </c>
      <c r="C49" s="468"/>
      <c r="D49" s="468"/>
      <c r="E49" s="468"/>
      <c r="F49" s="468"/>
      <c r="G49" s="114" t="s">
        <v>266</v>
      </c>
      <c r="H49" s="114" t="s">
        <v>0</v>
      </c>
      <c r="I49" s="97" t="s">
        <v>265</v>
      </c>
      <c r="M49" s="467" t="s">
        <v>267</v>
      </c>
      <c r="N49" s="468"/>
      <c r="O49" s="468"/>
      <c r="P49" s="468"/>
      <c r="Q49" s="468"/>
      <c r="R49" s="114" t="s">
        <v>266</v>
      </c>
      <c r="S49" s="114" t="s">
        <v>0</v>
      </c>
      <c r="T49" s="97" t="s">
        <v>265</v>
      </c>
    </row>
    <row r="50" spans="2:20">
      <c r="B50" s="469" t="s">
        <v>13</v>
      </c>
      <c r="C50" s="470"/>
      <c r="D50" s="470"/>
      <c r="E50" s="471"/>
      <c r="F50" s="115">
        <v>1</v>
      </c>
      <c r="G50" s="116"/>
      <c r="H50" s="117">
        <f>$I$4</f>
        <v>160000</v>
      </c>
      <c r="I50" s="98">
        <f>F50*G50*H50</f>
        <v>0</v>
      </c>
      <c r="M50" s="469" t="s">
        <v>13</v>
      </c>
      <c r="N50" s="470"/>
      <c r="O50" s="470"/>
      <c r="P50" s="471"/>
      <c r="Q50" s="115">
        <v>1</v>
      </c>
      <c r="R50" s="116"/>
      <c r="S50" s="117">
        <f>$I$4</f>
        <v>160000</v>
      </c>
      <c r="T50" s="98">
        <f>Q50*R50*S50</f>
        <v>0</v>
      </c>
    </row>
    <row r="51" spans="2:20">
      <c r="B51" s="118" t="s">
        <v>261</v>
      </c>
      <c r="C51" s="119"/>
      <c r="D51" s="119"/>
      <c r="E51" s="120"/>
      <c r="F51" s="121">
        <v>1</v>
      </c>
      <c r="G51" s="122"/>
      <c r="H51" s="123">
        <f>$I$5</f>
        <v>165000</v>
      </c>
      <c r="I51" s="99"/>
      <c r="M51" s="118" t="s">
        <v>261</v>
      </c>
      <c r="N51" s="119"/>
      <c r="O51" s="119"/>
      <c r="P51" s="120"/>
      <c r="Q51" s="121">
        <v>1</v>
      </c>
      <c r="R51" s="122"/>
      <c r="S51" s="123">
        <f>$I$5</f>
        <v>165000</v>
      </c>
      <c r="T51" s="99"/>
    </row>
    <row r="52" spans="2:20">
      <c r="B52" s="472" t="s">
        <v>14</v>
      </c>
      <c r="C52" s="473"/>
      <c r="D52" s="473"/>
      <c r="E52" s="474"/>
      <c r="F52" s="121">
        <v>1</v>
      </c>
      <c r="G52" s="122">
        <v>19</v>
      </c>
      <c r="H52" s="123">
        <f>$I$6</f>
        <v>140000</v>
      </c>
      <c r="I52" s="99">
        <f>F52*G52*H52</f>
        <v>2660000</v>
      </c>
      <c r="M52" s="472" t="s">
        <v>14</v>
      </c>
      <c r="N52" s="473"/>
      <c r="O52" s="473"/>
      <c r="P52" s="474"/>
      <c r="Q52" s="121">
        <v>1</v>
      </c>
      <c r="R52" s="122">
        <v>21</v>
      </c>
      <c r="S52" s="123">
        <f>$I$6</f>
        <v>140000</v>
      </c>
      <c r="T52" s="99">
        <f>Q52*R52*S52</f>
        <v>2940000</v>
      </c>
    </row>
    <row r="53" spans="2:20">
      <c r="B53" s="472" t="s">
        <v>23</v>
      </c>
      <c r="C53" s="473"/>
      <c r="D53" s="473"/>
      <c r="E53" s="474"/>
      <c r="F53" s="121">
        <v>1</v>
      </c>
      <c r="G53" s="122"/>
      <c r="H53" s="123">
        <f>$I$7</f>
        <v>150000</v>
      </c>
      <c r="I53" s="99">
        <f>F53*G53*H53</f>
        <v>0</v>
      </c>
      <c r="M53" s="472" t="s">
        <v>23</v>
      </c>
      <c r="N53" s="473"/>
      <c r="O53" s="473"/>
      <c r="P53" s="474"/>
      <c r="Q53" s="121">
        <v>1</v>
      </c>
      <c r="R53" s="122"/>
      <c r="S53" s="123">
        <f>$I$7</f>
        <v>150000</v>
      </c>
      <c r="T53" s="99">
        <f>Q53*R53*S53</f>
        <v>0</v>
      </c>
    </row>
    <row r="54" spans="2:20">
      <c r="B54" s="472" t="s">
        <v>1</v>
      </c>
      <c r="C54" s="473"/>
      <c r="D54" s="473"/>
      <c r="E54" s="474"/>
      <c r="F54" s="121">
        <v>1</v>
      </c>
      <c r="G54" s="122">
        <v>5</v>
      </c>
      <c r="H54" s="123">
        <v>45000</v>
      </c>
      <c r="I54" s="99">
        <f>F54*G54*H54</f>
        <v>225000</v>
      </c>
      <c r="M54" s="472" t="s">
        <v>1</v>
      </c>
      <c r="N54" s="473"/>
      <c r="O54" s="473"/>
      <c r="P54" s="474"/>
      <c r="Q54" s="121"/>
      <c r="R54" s="122">
        <v>5</v>
      </c>
      <c r="S54" s="123">
        <v>45000</v>
      </c>
      <c r="T54" s="99">
        <f>Q54*R54*S54</f>
        <v>0</v>
      </c>
    </row>
    <row r="55" spans="2:20">
      <c r="B55" s="485" t="s">
        <v>18</v>
      </c>
      <c r="C55" s="486"/>
      <c r="D55" s="486"/>
      <c r="E55" s="486"/>
      <c r="F55" s="487"/>
      <c r="G55" s="122">
        <v>35</v>
      </c>
      <c r="H55" s="123">
        <f>$I$8</f>
        <v>12800</v>
      </c>
      <c r="I55" s="99">
        <f>G55*H55</f>
        <v>448000</v>
      </c>
      <c r="M55" s="485" t="s">
        <v>18</v>
      </c>
      <c r="N55" s="486"/>
      <c r="O55" s="486"/>
      <c r="P55" s="486"/>
      <c r="Q55" s="487"/>
      <c r="R55" s="122">
        <v>40</v>
      </c>
      <c r="S55" s="123">
        <f>$I$8</f>
        <v>12800</v>
      </c>
      <c r="T55" s="99">
        <f>R55*S55</f>
        <v>512000</v>
      </c>
    </row>
    <row r="56" spans="2:20">
      <c r="B56" s="485" t="s">
        <v>19</v>
      </c>
      <c r="C56" s="486"/>
      <c r="D56" s="486"/>
      <c r="E56" s="486"/>
      <c r="F56" s="487"/>
      <c r="G56" s="122">
        <v>40</v>
      </c>
      <c r="H56" s="123">
        <f>$I$9</f>
        <v>11100</v>
      </c>
      <c r="I56" s="99">
        <f>G56*H56</f>
        <v>444000</v>
      </c>
      <c r="M56" s="485" t="s">
        <v>19</v>
      </c>
      <c r="N56" s="486"/>
      <c r="O56" s="486"/>
      <c r="P56" s="486"/>
      <c r="Q56" s="487"/>
      <c r="R56" s="122">
        <v>45</v>
      </c>
      <c r="S56" s="123">
        <f>$I$9</f>
        <v>11100</v>
      </c>
      <c r="T56" s="99">
        <f>R56*S56</f>
        <v>499500</v>
      </c>
    </row>
    <row r="57" spans="2:20">
      <c r="B57" s="488" t="s">
        <v>259</v>
      </c>
      <c r="C57" s="489"/>
      <c r="D57" s="489"/>
      <c r="E57" s="489"/>
      <c r="F57" s="490"/>
      <c r="G57" s="122">
        <v>1000</v>
      </c>
      <c r="H57" s="123">
        <f>$I$10</f>
        <v>58</v>
      </c>
      <c r="I57" s="99">
        <f t="shared" ref="I57:I83" si="0">G57*H57</f>
        <v>58000</v>
      </c>
      <c r="M57" s="488" t="s">
        <v>259</v>
      </c>
      <c r="N57" s="489"/>
      <c r="O57" s="489"/>
      <c r="P57" s="489"/>
      <c r="Q57" s="490"/>
      <c r="R57" s="122">
        <v>1000</v>
      </c>
      <c r="S57" s="123">
        <f>$I$10</f>
        <v>58</v>
      </c>
      <c r="T57" s="99">
        <f t="shared" ref="T57:T69" si="1">R57*S57</f>
        <v>58000</v>
      </c>
    </row>
    <row r="58" spans="2:20">
      <c r="B58" s="488" t="s">
        <v>260</v>
      </c>
      <c r="C58" s="489"/>
      <c r="D58" s="489"/>
      <c r="E58" s="489"/>
      <c r="F58" s="490"/>
      <c r="G58" s="122">
        <v>3000</v>
      </c>
      <c r="H58" s="123">
        <f>$I$11</f>
        <v>35</v>
      </c>
      <c r="I58" s="99">
        <f t="shared" si="0"/>
        <v>105000</v>
      </c>
      <c r="M58" s="488" t="s">
        <v>260</v>
      </c>
      <c r="N58" s="489"/>
      <c r="O58" s="489"/>
      <c r="P58" s="489"/>
      <c r="Q58" s="490"/>
      <c r="R58" s="122">
        <v>3000</v>
      </c>
      <c r="S58" s="123">
        <f>$I$11</f>
        <v>35</v>
      </c>
      <c r="T58" s="99">
        <f t="shared" si="1"/>
        <v>105000</v>
      </c>
    </row>
    <row r="59" spans="2:20">
      <c r="B59" s="488" t="s">
        <v>299</v>
      </c>
      <c r="C59" s="489"/>
      <c r="D59" s="489"/>
      <c r="E59" s="489"/>
      <c r="F59" s="490"/>
      <c r="G59" s="122">
        <v>100</v>
      </c>
      <c r="H59" s="123">
        <f>$I$12</f>
        <v>1250</v>
      </c>
      <c r="I59" s="99">
        <f t="shared" si="0"/>
        <v>125000</v>
      </c>
      <c r="M59" s="488" t="s">
        <v>299</v>
      </c>
      <c r="N59" s="489"/>
      <c r="O59" s="489"/>
      <c r="P59" s="489"/>
      <c r="Q59" s="490"/>
      <c r="R59" s="122">
        <v>100</v>
      </c>
      <c r="S59" s="123">
        <f>$I$12</f>
        <v>1250</v>
      </c>
      <c r="T59" s="99">
        <f t="shared" si="1"/>
        <v>125000</v>
      </c>
    </row>
    <row r="60" spans="2:20">
      <c r="B60" s="488" t="s">
        <v>300</v>
      </c>
      <c r="C60" s="489"/>
      <c r="D60" s="489"/>
      <c r="E60" s="489"/>
      <c r="F60" s="490"/>
      <c r="G60" s="122">
        <v>200</v>
      </c>
      <c r="H60" s="123">
        <f>$I$13</f>
        <v>1250</v>
      </c>
      <c r="I60" s="99">
        <f t="shared" si="0"/>
        <v>250000</v>
      </c>
      <c r="M60" s="488" t="s">
        <v>300</v>
      </c>
      <c r="N60" s="489"/>
      <c r="O60" s="489"/>
      <c r="P60" s="489"/>
      <c r="Q60" s="490"/>
      <c r="R60" s="122">
        <v>200</v>
      </c>
      <c r="S60" s="123">
        <f>$I$13</f>
        <v>1250</v>
      </c>
      <c r="T60" s="99">
        <f t="shared" si="1"/>
        <v>250000</v>
      </c>
    </row>
    <row r="61" spans="2:20">
      <c r="B61" s="488" t="s">
        <v>220</v>
      </c>
      <c r="C61" s="489"/>
      <c r="D61" s="489"/>
      <c r="E61" s="489"/>
      <c r="F61" s="490"/>
      <c r="G61" s="122"/>
      <c r="H61" s="123">
        <f>$I$14</f>
        <v>750</v>
      </c>
      <c r="I61" s="99">
        <f t="shared" si="0"/>
        <v>0</v>
      </c>
      <c r="M61" s="488" t="s">
        <v>220</v>
      </c>
      <c r="N61" s="489"/>
      <c r="O61" s="489"/>
      <c r="P61" s="489"/>
      <c r="Q61" s="490"/>
      <c r="R61" s="122"/>
      <c r="S61" s="123">
        <f>$I$14</f>
        <v>750</v>
      </c>
      <c r="T61" s="99">
        <f t="shared" si="1"/>
        <v>0</v>
      </c>
    </row>
    <row r="62" spans="2:20">
      <c r="B62" s="488" t="s">
        <v>268</v>
      </c>
      <c r="C62" s="489"/>
      <c r="D62" s="489"/>
      <c r="E62" s="489"/>
      <c r="F62" s="490"/>
      <c r="G62" s="122">
        <v>100</v>
      </c>
      <c r="H62" s="123">
        <f>$I$15</f>
        <v>175</v>
      </c>
      <c r="I62" s="99">
        <f t="shared" si="0"/>
        <v>17500</v>
      </c>
      <c r="M62" s="488" t="s">
        <v>268</v>
      </c>
      <c r="N62" s="489"/>
      <c r="O62" s="489"/>
      <c r="P62" s="489"/>
      <c r="Q62" s="490"/>
      <c r="R62" s="122">
        <v>100</v>
      </c>
      <c r="S62" s="123">
        <f>$I$15</f>
        <v>175</v>
      </c>
      <c r="T62" s="99">
        <f t="shared" si="1"/>
        <v>17500</v>
      </c>
    </row>
    <row r="63" spans="2:20">
      <c r="B63" s="488" t="s">
        <v>221</v>
      </c>
      <c r="C63" s="489"/>
      <c r="D63" s="489"/>
      <c r="E63" s="489"/>
      <c r="F63" s="490"/>
      <c r="G63" s="122">
        <v>200</v>
      </c>
      <c r="H63" s="123">
        <f>$I$16</f>
        <v>175</v>
      </c>
      <c r="I63" s="99">
        <f t="shared" si="0"/>
        <v>35000</v>
      </c>
      <c r="M63" s="488" t="s">
        <v>221</v>
      </c>
      <c r="N63" s="489"/>
      <c r="O63" s="489"/>
      <c r="P63" s="489"/>
      <c r="Q63" s="490"/>
      <c r="R63" s="122">
        <v>200</v>
      </c>
      <c r="S63" s="123">
        <f>$I$16</f>
        <v>175</v>
      </c>
      <c r="T63" s="99">
        <f t="shared" si="1"/>
        <v>35000</v>
      </c>
    </row>
    <row r="64" spans="2:20">
      <c r="B64" s="472" t="s">
        <v>222</v>
      </c>
      <c r="C64" s="473"/>
      <c r="D64" s="473"/>
      <c r="E64" s="473"/>
      <c r="F64" s="474"/>
      <c r="G64" s="122">
        <v>1</v>
      </c>
      <c r="H64" s="123">
        <f>$I$17</f>
        <v>90000</v>
      </c>
      <c r="I64" s="99">
        <f t="shared" si="0"/>
        <v>90000</v>
      </c>
      <c r="M64" s="472" t="s">
        <v>222</v>
      </c>
      <c r="N64" s="473"/>
      <c r="O64" s="473"/>
      <c r="P64" s="473"/>
      <c r="Q64" s="474"/>
      <c r="R64" s="122">
        <v>1</v>
      </c>
      <c r="S64" s="123">
        <f>$I$17</f>
        <v>90000</v>
      </c>
      <c r="T64" s="99">
        <f t="shared" si="1"/>
        <v>90000</v>
      </c>
    </row>
    <row r="65" spans="2:23" ht="14.4" thickBot="1">
      <c r="B65" s="485" t="s">
        <v>337</v>
      </c>
      <c r="C65" s="486"/>
      <c r="D65" s="486"/>
      <c r="E65" s="486"/>
      <c r="F65" s="487"/>
      <c r="G65" s="122">
        <v>12</v>
      </c>
      <c r="H65" s="123">
        <f>$I$18</f>
        <v>21000</v>
      </c>
      <c r="I65" s="99">
        <f t="shared" si="0"/>
        <v>252000</v>
      </c>
      <c r="M65" s="485" t="s">
        <v>337</v>
      </c>
      <c r="N65" s="486"/>
      <c r="O65" s="486"/>
      <c r="P65" s="486"/>
      <c r="Q65" s="487"/>
      <c r="R65" s="122">
        <v>15</v>
      </c>
      <c r="S65" s="123">
        <f>$I$18</f>
        <v>21000</v>
      </c>
      <c r="T65" s="99">
        <f t="shared" si="1"/>
        <v>315000</v>
      </c>
    </row>
    <row r="66" spans="2:23" ht="15" customHeight="1">
      <c r="B66" s="485" t="s">
        <v>269</v>
      </c>
      <c r="C66" s="486"/>
      <c r="D66" s="486"/>
      <c r="E66" s="486"/>
      <c r="F66" s="487"/>
      <c r="G66" s="122"/>
      <c r="H66" s="123">
        <f>$I$19</f>
        <v>40000</v>
      </c>
      <c r="I66" s="99">
        <f t="shared" si="0"/>
        <v>0</v>
      </c>
      <c r="J66" s="499" t="s">
        <v>275</v>
      </c>
      <c r="K66" s="500"/>
      <c r="L66" s="501"/>
      <c r="M66" s="485" t="s">
        <v>269</v>
      </c>
      <c r="N66" s="486"/>
      <c r="O66" s="486"/>
      <c r="P66" s="486"/>
      <c r="Q66" s="487"/>
      <c r="R66" s="122"/>
      <c r="S66" s="123">
        <f>$I$19</f>
        <v>40000</v>
      </c>
      <c r="T66" s="99">
        <f t="shared" si="1"/>
        <v>0</v>
      </c>
      <c r="U66" s="499" t="s">
        <v>275</v>
      </c>
      <c r="V66" s="500"/>
      <c r="W66" s="501"/>
    </row>
    <row r="67" spans="2:23" ht="15.75" customHeight="1" thickBot="1">
      <c r="B67" s="485" t="s">
        <v>270</v>
      </c>
      <c r="C67" s="486"/>
      <c r="D67" s="486"/>
      <c r="E67" s="486"/>
      <c r="F67" s="487"/>
      <c r="G67" s="122"/>
      <c r="H67" s="123">
        <f>$I$20</f>
        <v>13000</v>
      </c>
      <c r="I67" s="99">
        <f t="shared" si="0"/>
        <v>0</v>
      </c>
      <c r="J67" s="502"/>
      <c r="K67" s="503"/>
      <c r="L67" s="504"/>
      <c r="M67" s="485" t="s">
        <v>270</v>
      </c>
      <c r="N67" s="486"/>
      <c r="O67" s="486"/>
      <c r="P67" s="486"/>
      <c r="Q67" s="487"/>
      <c r="R67" s="122"/>
      <c r="S67" s="123">
        <f>$I$20</f>
        <v>13000</v>
      </c>
      <c r="T67" s="99">
        <f t="shared" si="1"/>
        <v>0</v>
      </c>
      <c r="U67" s="502"/>
      <c r="V67" s="503"/>
      <c r="W67" s="504"/>
    </row>
    <row r="68" spans="2:23" ht="15" customHeight="1">
      <c r="B68" s="488" t="s">
        <v>385</v>
      </c>
      <c r="C68" s="489"/>
      <c r="D68" s="489"/>
      <c r="E68" s="489"/>
      <c r="F68" s="490"/>
      <c r="G68" s="122"/>
      <c r="H68" s="123">
        <v>43500</v>
      </c>
      <c r="I68" s="99">
        <f t="shared" si="0"/>
        <v>0</v>
      </c>
      <c r="J68" s="491">
        <f>SUM(I50:I69)</f>
        <v>4709500</v>
      </c>
      <c r="K68" s="492"/>
      <c r="L68" s="493"/>
      <c r="M68" s="488" t="s">
        <v>385</v>
      </c>
      <c r="N68" s="489"/>
      <c r="O68" s="489"/>
      <c r="P68" s="489"/>
      <c r="Q68" s="490"/>
      <c r="R68" s="122"/>
      <c r="S68" s="123">
        <v>43500</v>
      </c>
      <c r="T68" s="99">
        <f t="shared" si="1"/>
        <v>0</v>
      </c>
      <c r="U68" s="491">
        <f>SUM(T50:T69)</f>
        <v>4947000</v>
      </c>
      <c r="V68" s="492"/>
      <c r="W68" s="493"/>
    </row>
    <row r="69" spans="2:23" ht="15.75" customHeight="1" thickBot="1">
      <c r="B69" s="497"/>
      <c r="C69" s="498"/>
      <c r="D69" s="498"/>
      <c r="E69" s="498"/>
      <c r="F69" s="498"/>
      <c r="G69" s="124"/>
      <c r="H69" s="125"/>
      <c r="I69" s="100">
        <f t="shared" si="0"/>
        <v>0</v>
      </c>
      <c r="J69" s="494"/>
      <c r="K69" s="495"/>
      <c r="L69" s="496"/>
      <c r="M69" s="497"/>
      <c r="N69" s="498"/>
      <c r="O69" s="498"/>
      <c r="P69" s="498"/>
      <c r="Q69" s="498"/>
      <c r="R69" s="124"/>
      <c r="S69" s="125"/>
      <c r="T69" s="100">
        <f t="shared" si="1"/>
        <v>0</v>
      </c>
      <c r="U69" s="494"/>
      <c r="V69" s="495"/>
      <c r="W69" s="496"/>
    </row>
    <row r="70" spans="2:23" ht="14.4" thickBot="1">
      <c r="B70" s="505" t="s">
        <v>271</v>
      </c>
      <c r="C70" s="506"/>
      <c r="D70" s="506"/>
      <c r="E70" s="506"/>
      <c r="F70" s="506"/>
      <c r="G70" s="506"/>
      <c r="H70" s="506"/>
      <c r="I70" s="507"/>
      <c r="M70" s="505" t="s">
        <v>271</v>
      </c>
      <c r="N70" s="506"/>
      <c r="O70" s="506"/>
      <c r="P70" s="506"/>
      <c r="Q70" s="506"/>
      <c r="R70" s="506"/>
      <c r="S70" s="506"/>
      <c r="T70" s="507"/>
    </row>
    <row r="71" spans="2:23" ht="14.4" thickBot="1">
      <c r="B71" s="467" t="s">
        <v>267</v>
      </c>
      <c r="C71" s="468"/>
      <c r="D71" s="468"/>
      <c r="E71" s="468"/>
      <c r="F71" s="468"/>
      <c r="G71" s="114" t="s">
        <v>266</v>
      </c>
      <c r="H71" s="114" t="s">
        <v>0</v>
      </c>
      <c r="I71" s="97" t="s">
        <v>265</v>
      </c>
      <c r="M71" s="467" t="s">
        <v>267</v>
      </c>
      <c r="N71" s="468"/>
      <c r="O71" s="468"/>
      <c r="P71" s="468"/>
      <c r="Q71" s="468"/>
      <c r="R71" s="114" t="s">
        <v>266</v>
      </c>
      <c r="S71" s="114" t="s">
        <v>0</v>
      </c>
      <c r="T71" s="97" t="s">
        <v>265</v>
      </c>
    </row>
    <row r="72" spans="2:23">
      <c r="B72" s="508" t="s">
        <v>272</v>
      </c>
      <c r="C72" s="509"/>
      <c r="D72" s="509"/>
      <c r="E72" s="509"/>
      <c r="F72" s="510"/>
      <c r="G72" s="116">
        <v>4</v>
      </c>
      <c r="H72" s="117">
        <f>$I$23</f>
        <v>220000</v>
      </c>
      <c r="I72" s="98">
        <f t="shared" si="0"/>
        <v>880000</v>
      </c>
      <c r="M72" s="508" t="s">
        <v>272</v>
      </c>
      <c r="N72" s="509"/>
      <c r="O72" s="509"/>
      <c r="P72" s="509"/>
      <c r="Q72" s="510"/>
      <c r="R72" s="116">
        <v>4</v>
      </c>
      <c r="S72" s="117">
        <f>$I$23</f>
        <v>220000</v>
      </c>
      <c r="T72" s="98">
        <f t="shared" ref="T72:T77" si="2">R72*S72</f>
        <v>880000</v>
      </c>
    </row>
    <row r="73" spans="2:23">
      <c r="B73" s="485" t="s">
        <v>273</v>
      </c>
      <c r="C73" s="486"/>
      <c r="D73" s="486"/>
      <c r="E73" s="486"/>
      <c r="F73" s="487"/>
      <c r="G73" s="122"/>
      <c r="H73" s="117">
        <f>$I$26</f>
        <v>90000</v>
      </c>
      <c r="I73" s="99">
        <f t="shared" si="0"/>
        <v>0</v>
      </c>
      <c r="M73" s="485" t="s">
        <v>273</v>
      </c>
      <c r="N73" s="486"/>
      <c r="O73" s="486"/>
      <c r="P73" s="486"/>
      <c r="Q73" s="487"/>
      <c r="R73" s="122"/>
      <c r="S73" s="117">
        <f>$I$26</f>
        <v>90000</v>
      </c>
      <c r="T73" s="99">
        <f t="shared" si="2"/>
        <v>0</v>
      </c>
    </row>
    <row r="74" spans="2:23">
      <c r="B74" s="485" t="s">
        <v>224</v>
      </c>
      <c r="C74" s="486"/>
      <c r="D74" s="486"/>
      <c r="E74" s="486"/>
      <c r="F74" s="487"/>
      <c r="G74" s="122"/>
      <c r="H74" s="117">
        <f>$I$27</f>
        <v>60000</v>
      </c>
      <c r="I74" s="99">
        <f t="shared" si="0"/>
        <v>0</v>
      </c>
      <c r="M74" s="485" t="s">
        <v>224</v>
      </c>
      <c r="N74" s="486"/>
      <c r="O74" s="486"/>
      <c r="P74" s="486"/>
      <c r="Q74" s="487"/>
      <c r="R74" s="122"/>
      <c r="S74" s="117">
        <f>$I$27</f>
        <v>60000</v>
      </c>
      <c r="T74" s="99">
        <f t="shared" si="2"/>
        <v>0</v>
      </c>
    </row>
    <row r="75" spans="2:23">
      <c r="B75" s="485" t="s">
        <v>274</v>
      </c>
      <c r="C75" s="486"/>
      <c r="D75" s="486"/>
      <c r="E75" s="486"/>
      <c r="F75" s="487"/>
      <c r="G75" s="122"/>
      <c r="H75" s="117">
        <f>$I$26</f>
        <v>90000</v>
      </c>
      <c r="I75" s="99">
        <f t="shared" si="0"/>
        <v>0</v>
      </c>
      <c r="M75" s="485" t="s">
        <v>274</v>
      </c>
      <c r="N75" s="486"/>
      <c r="O75" s="486"/>
      <c r="P75" s="486"/>
      <c r="Q75" s="487"/>
      <c r="R75" s="122"/>
      <c r="S75" s="117">
        <f>$I$26</f>
        <v>90000</v>
      </c>
      <c r="T75" s="99">
        <f t="shared" si="2"/>
        <v>0</v>
      </c>
    </row>
    <row r="76" spans="2:23">
      <c r="B76" s="485" t="s">
        <v>226</v>
      </c>
      <c r="C76" s="486"/>
      <c r="D76" s="486"/>
      <c r="E76" s="486"/>
      <c r="F76" s="487"/>
      <c r="G76" s="122"/>
      <c r="H76" s="117"/>
      <c r="I76" s="99">
        <f t="shared" si="0"/>
        <v>0</v>
      </c>
      <c r="M76" s="485" t="s">
        <v>226</v>
      </c>
      <c r="N76" s="486"/>
      <c r="O76" s="486"/>
      <c r="P76" s="486"/>
      <c r="Q76" s="487"/>
      <c r="R76" s="122"/>
      <c r="S76" s="117"/>
      <c r="T76" s="99">
        <f t="shared" si="2"/>
        <v>0</v>
      </c>
    </row>
    <row r="77" spans="2:23">
      <c r="B77" s="126" t="s">
        <v>227</v>
      </c>
      <c r="C77" s="127"/>
      <c r="D77" s="127"/>
      <c r="E77" s="127"/>
      <c r="F77" s="128"/>
      <c r="G77" s="122"/>
      <c r="H77" s="117"/>
      <c r="I77" s="99">
        <f t="shared" si="0"/>
        <v>0</v>
      </c>
      <c r="M77" s="126" t="s">
        <v>227</v>
      </c>
      <c r="N77" s="127"/>
      <c r="O77" s="127"/>
      <c r="P77" s="127"/>
      <c r="Q77" s="128"/>
      <c r="R77" s="122"/>
      <c r="S77" s="117"/>
      <c r="T77" s="99">
        <f t="shared" si="2"/>
        <v>0</v>
      </c>
    </row>
    <row r="78" spans="2:23">
      <c r="B78" s="126" t="s">
        <v>225</v>
      </c>
      <c r="C78" s="127"/>
      <c r="D78" s="127"/>
      <c r="E78" s="127"/>
      <c r="F78" s="128"/>
      <c r="G78" s="122"/>
      <c r="H78" s="117"/>
      <c r="I78" s="99"/>
      <c r="M78" s="126" t="s">
        <v>225</v>
      </c>
      <c r="N78" s="127"/>
      <c r="O78" s="127"/>
      <c r="P78" s="127"/>
      <c r="Q78" s="128"/>
      <c r="R78" s="122"/>
      <c r="S78" s="117"/>
      <c r="T78" s="99"/>
    </row>
    <row r="79" spans="2:23" ht="14.4" thickBot="1">
      <c r="B79" s="126"/>
      <c r="C79" s="127"/>
      <c r="D79" s="127"/>
      <c r="E79" s="127"/>
      <c r="F79" s="128"/>
      <c r="G79" s="122"/>
      <c r="H79" s="123"/>
      <c r="I79" s="99">
        <f t="shared" si="0"/>
        <v>0</v>
      </c>
      <c r="M79" s="126"/>
      <c r="N79" s="127"/>
      <c r="O79" s="127"/>
      <c r="P79" s="127"/>
      <c r="Q79" s="128"/>
      <c r="R79" s="122"/>
      <c r="S79" s="123"/>
      <c r="T79" s="99">
        <f t="shared" ref="T79:T83" si="3">R79*S79</f>
        <v>0</v>
      </c>
    </row>
    <row r="80" spans="2:23" ht="15" customHeight="1">
      <c r="B80" s="485"/>
      <c r="C80" s="486"/>
      <c r="D80" s="486"/>
      <c r="E80" s="486"/>
      <c r="F80" s="487"/>
      <c r="G80" s="122"/>
      <c r="H80" s="123"/>
      <c r="I80" s="99">
        <f t="shared" si="0"/>
        <v>0</v>
      </c>
      <c r="J80" s="499" t="s">
        <v>275</v>
      </c>
      <c r="K80" s="500"/>
      <c r="L80" s="501"/>
      <c r="M80" s="485"/>
      <c r="N80" s="486"/>
      <c r="O80" s="486"/>
      <c r="P80" s="486"/>
      <c r="Q80" s="487"/>
      <c r="R80" s="122"/>
      <c r="S80" s="123"/>
      <c r="T80" s="99">
        <f t="shared" si="3"/>
        <v>0</v>
      </c>
      <c r="U80" s="499" t="s">
        <v>275</v>
      </c>
      <c r="V80" s="500"/>
      <c r="W80" s="501"/>
    </row>
    <row r="81" spans="2:23" ht="15.75" customHeight="1" thickBot="1">
      <c r="B81" s="485" t="s">
        <v>389</v>
      </c>
      <c r="C81" s="486"/>
      <c r="D81" s="486"/>
      <c r="E81" s="486"/>
      <c r="F81" s="487"/>
      <c r="G81" s="122">
        <v>1</v>
      </c>
      <c r="H81" s="123">
        <v>100000</v>
      </c>
      <c r="I81" s="99">
        <f t="shared" si="0"/>
        <v>100000</v>
      </c>
      <c r="J81" s="502"/>
      <c r="K81" s="503"/>
      <c r="L81" s="504"/>
      <c r="M81" s="485" t="s">
        <v>389</v>
      </c>
      <c r="N81" s="486"/>
      <c r="O81" s="486"/>
      <c r="P81" s="486"/>
      <c r="Q81" s="487"/>
      <c r="R81" s="122">
        <v>1</v>
      </c>
      <c r="S81" s="123">
        <v>100000</v>
      </c>
      <c r="T81" s="99">
        <f t="shared" si="3"/>
        <v>100000</v>
      </c>
      <c r="U81" s="502"/>
      <c r="V81" s="503"/>
      <c r="W81" s="504"/>
    </row>
    <row r="82" spans="2:23" ht="15" customHeight="1">
      <c r="B82" s="485" t="s">
        <v>390</v>
      </c>
      <c r="C82" s="486"/>
      <c r="D82" s="486"/>
      <c r="E82" s="486"/>
      <c r="F82" s="487"/>
      <c r="G82" s="122"/>
      <c r="H82" s="123"/>
      <c r="I82" s="99">
        <f t="shared" si="0"/>
        <v>0</v>
      </c>
      <c r="J82" s="491">
        <f>SUM(I72:I83)</f>
        <v>1080000</v>
      </c>
      <c r="K82" s="492"/>
      <c r="L82" s="493"/>
      <c r="M82" s="485" t="s">
        <v>390</v>
      </c>
      <c r="N82" s="486"/>
      <c r="O82" s="486"/>
      <c r="P82" s="486"/>
      <c r="Q82" s="487"/>
      <c r="R82" s="122"/>
      <c r="S82" s="123"/>
      <c r="T82" s="99">
        <f t="shared" si="3"/>
        <v>0</v>
      </c>
      <c r="U82" s="491">
        <f>SUM(T72:T83)</f>
        <v>1080000</v>
      </c>
      <c r="V82" s="492"/>
      <c r="W82" s="493"/>
    </row>
    <row r="83" spans="2:23" ht="15" customHeight="1" thickBot="1">
      <c r="B83" s="129" t="s">
        <v>7</v>
      </c>
      <c r="C83" s="130"/>
      <c r="D83" s="130"/>
      <c r="E83" s="130"/>
      <c r="F83" s="131"/>
      <c r="G83" s="124">
        <v>1</v>
      </c>
      <c r="H83" s="125">
        <v>100000</v>
      </c>
      <c r="I83" s="100">
        <f t="shared" si="0"/>
        <v>100000</v>
      </c>
      <c r="J83" s="494"/>
      <c r="K83" s="495"/>
      <c r="L83" s="496"/>
      <c r="M83" s="129" t="s">
        <v>7</v>
      </c>
      <c r="N83" s="130"/>
      <c r="O83" s="130"/>
      <c r="P83" s="130"/>
      <c r="Q83" s="131"/>
      <c r="R83" s="124">
        <v>1</v>
      </c>
      <c r="S83" s="125">
        <v>100000</v>
      </c>
      <c r="T83" s="100">
        <f t="shared" si="3"/>
        <v>100000</v>
      </c>
      <c r="U83" s="494"/>
      <c r="V83" s="495"/>
      <c r="W83" s="496"/>
    </row>
    <row r="84" spans="2:23" ht="15" customHeight="1" thickBot="1">
      <c r="B84" s="511" t="s">
        <v>25</v>
      </c>
      <c r="C84" s="512"/>
      <c r="D84" s="512"/>
      <c r="E84" s="512"/>
      <c r="F84" s="512"/>
      <c r="G84" s="512"/>
      <c r="H84" s="512"/>
      <c r="I84" s="513"/>
      <c r="J84" s="132"/>
      <c r="K84" s="132"/>
      <c r="L84" s="132"/>
      <c r="M84" s="511" t="s">
        <v>25</v>
      </c>
      <c r="N84" s="512"/>
      <c r="O84" s="512"/>
      <c r="P84" s="512"/>
      <c r="Q84" s="512"/>
      <c r="R84" s="512"/>
      <c r="S84" s="512"/>
      <c r="T84" s="513"/>
      <c r="U84" s="132"/>
      <c r="V84" s="132"/>
      <c r="W84" s="132"/>
    </row>
    <row r="85" spans="2:23" ht="15" customHeight="1" thickBot="1">
      <c r="B85" s="514" t="s">
        <v>267</v>
      </c>
      <c r="C85" s="515"/>
      <c r="D85" s="515"/>
      <c r="E85" s="515"/>
      <c r="F85" s="515"/>
      <c r="G85" s="133" t="s">
        <v>266</v>
      </c>
      <c r="H85" s="134" t="s">
        <v>0</v>
      </c>
      <c r="I85" s="101" t="s">
        <v>265</v>
      </c>
      <c r="J85" s="132"/>
      <c r="K85" s="132"/>
      <c r="L85" s="132"/>
      <c r="M85" s="514" t="s">
        <v>267</v>
      </c>
      <c r="N85" s="515"/>
      <c r="O85" s="515"/>
      <c r="P85" s="515"/>
      <c r="Q85" s="515"/>
      <c r="R85" s="133" t="s">
        <v>266</v>
      </c>
      <c r="S85" s="134" t="s">
        <v>0</v>
      </c>
      <c r="T85" s="101" t="s">
        <v>265</v>
      </c>
      <c r="U85" s="132"/>
      <c r="V85" s="132"/>
      <c r="W85" s="132"/>
    </row>
    <row r="86" spans="2:23" ht="15" customHeight="1">
      <c r="B86" s="516" t="s">
        <v>31</v>
      </c>
      <c r="C86" s="517"/>
      <c r="D86" s="517"/>
      <c r="E86" s="517"/>
      <c r="F86" s="518"/>
      <c r="G86" s="116">
        <v>1</v>
      </c>
      <c r="H86" s="117">
        <f>$R$4</f>
        <v>300000</v>
      </c>
      <c r="I86" s="99">
        <f t="shared" ref="I86:I88" si="4">G86*H86</f>
        <v>300000</v>
      </c>
      <c r="J86" s="132"/>
      <c r="K86" s="132"/>
      <c r="L86" s="132"/>
      <c r="M86" s="516" t="s">
        <v>31</v>
      </c>
      <c r="N86" s="517"/>
      <c r="O86" s="517"/>
      <c r="P86" s="517"/>
      <c r="Q86" s="518"/>
      <c r="R86" s="116">
        <v>1</v>
      </c>
      <c r="S86" s="117">
        <f>$R$4</f>
        <v>300000</v>
      </c>
      <c r="T86" s="99">
        <f t="shared" ref="T86:T88" si="5">R86*S86</f>
        <v>300000</v>
      </c>
      <c r="U86" s="132"/>
      <c r="V86" s="132"/>
      <c r="W86" s="132"/>
    </row>
    <row r="87" spans="2:23" ht="15" customHeight="1">
      <c r="B87" s="519" t="s">
        <v>11</v>
      </c>
      <c r="C87" s="520"/>
      <c r="D87" s="520"/>
      <c r="E87" s="520"/>
      <c r="F87" s="521"/>
      <c r="G87" s="122">
        <v>1</v>
      </c>
      <c r="H87" s="117">
        <f>$R$5</f>
        <v>65000</v>
      </c>
      <c r="I87" s="99">
        <f t="shared" si="4"/>
        <v>65000</v>
      </c>
      <c r="J87" s="132"/>
      <c r="K87" s="132"/>
      <c r="L87" s="132"/>
      <c r="M87" s="519" t="s">
        <v>11</v>
      </c>
      <c r="N87" s="520"/>
      <c r="O87" s="520"/>
      <c r="P87" s="520"/>
      <c r="Q87" s="521"/>
      <c r="R87" s="122">
        <v>1</v>
      </c>
      <c r="S87" s="117">
        <f>$R$5</f>
        <v>65000</v>
      </c>
      <c r="T87" s="99">
        <f t="shared" si="5"/>
        <v>65000</v>
      </c>
      <c r="U87" s="132"/>
      <c r="V87" s="132"/>
      <c r="W87" s="132"/>
    </row>
    <row r="88" spans="2:23" ht="15" customHeight="1">
      <c r="B88" s="519" t="s">
        <v>32</v>
      </c>
      <c r="C88" s="520"/>
      <c r="D88" s="520"/>
      <c r="E88" s="520"/>
      <c r="F88" s="521"/>
      <c r="G88" s="122"/>
      <c r="H88" s="117">
        <f>$R$6</f>
        <v>250000</v>
      </c>
      <c r="I88" s="99">
        <f t="shared" si="4"/>
        <v>0</v>
      </c>
      <c r="J88" s="132"/>
      <c r="K88" s="132"/>
      <c r="L88" s="132"/>
      <c r="M88" s="519" t="s">
        <v>32</v>
      </c>
      <c r="N88" s="520"/>
      <c r="O88" s="520"/>
      <c r="P88" s="520"/>
      <c r="Q88" s="521"/>
      <c r="R88" s="122"/>
      <c r="S88" s="117">
        <f>$R$6</f>
        <v>250000</v>
      </c>
      <c r="T88" s="99">
        <f t="shared" si="5"/>
        <v>0</v>
      </c>
      <c r="U88" s="132"/>
      <c r="V88" s="132"/>
      <c r="W88" s="132"/>
    </row>
    <row r="89" spans="2:23" ht="15" customHeight="1">
      <c r="B89" s="519" t="s">
        <v>391</v>
      </c>
      <c r="C89" s="520"/>
      <c r="D89" s="520"/>
      <c r="E89" s="520"/>
      <c r="F89" s="521"/>
      <c r="G89" s="122">
        <v>15</v>
      </c>
      <c r="H89" s="117">
        <v>15000</v>
      </c>
      <c r="I89" s="99">
        <f>G89*H89</f>
        <v>225000</v>
      </c>
      <c r="J89" s="132"/>
      <c r="K89" s="132"/>
      <c r="L89" s="132"/>
      <c r="M89" s="519" t="s">
        <v>391</v>
      </c>
      <c r="N89" s="520"/>
      <c r="O89" s="520"/>
      <c r="P89" s="520"/>
      <c r="Q89" s="521"/>
      <c r="R89" s="122">
        <v>15</v>
      </c>
      <c r="S89" s="117">
        <v>15000</v>
      </c>
      <c r="T89" s="99"/>
      <c r="U89" s="132"/>
      <c r="V89" s="132"/>
      <c r="W89" s="132"/>
    </row>
    <row r="90" spans="2:23" ht="15.75" customHeight="1">
      <c r="B90" s="519" t="s">
        <v>327</v>
      </c>
      <c r="C90" s="520"/>
      <c r="D90" s="520"/>
      <c r="E90" s="520"/>
      <c r="F90" s="521"/>
      <c r="G90" s="122">
        <v>50</v>
      </c>
      <c r="H90" s="117">
        <f>$R$7</f>
        <v>30000</v>
      </c>
      <c r="I90" s="99">
        <f>G90*H90</f>
        <v>1500000</v>
      </c>
      <c r="M90" s="519" t="s">
        <v>327</v>
      </c>
      <c r="N90" s="520"/>
      <c r="O90" s="520"/>
      <c r="P90" s="520"/>
      <c r="Q90" s="521"/>
      <c r="R90" s="122">
        <v>50</v>
      </c>
      <c r="S90" s="117">
        <f>$R$7</f>
        <v>30000</v>
      </c>
      <c r="T90" s="99">
        <f>R90*S90</f>
        <v>1500000</v>
      </c>
    </row>
    <row r="91" spans="2:23" ht="15" customHeight="1">
      <c r="B91" s="519" t="s">
        <v>100</v>
      </c>
      <c r="C91" s="520"/>
      <c r="D91" s="520"/>
      <c r="E91" s="520"/>
      <c r="F91" s="521"/>
      <c r="G91" s="122"/>
      <c r="H91" s="117">
        <f>$R$8</f>
        <v>30000</v>
      </c>
      <c r="I91" s="99">
        <f t="shared" ref="I91:I151" si="6">G91*H91</f>
        <v>0</v>
      </c>
      <c r="M91" s="519" t="s">
        <v>100</v>
      </c>
      <c r="N91" s="520"/>
      <c r="O91" s="520"/>
      <c r="P91" s="520"/>
      <c r="Q91" s="521"/>
      <c r="R91" s="122"/>
      <c r="S91" s="117">
        <f>$R$8</f>
        <v>30000</v>
      </c>
      <c r="T91" s="99">
        <f t="shared" ref="T91:T98" si="7">R91*S91</f>
        <v>0</v>
      </c>
    </row>
    <row r="92" spans="2:23" ht="15.75" customHeight="1">
      <c r="B92" s="519" t="s">
        <v>328</v>
      </c>
      <c r="C92" s="520"/>
      <c r="D92" s="520"/>
      <c r="E92" s="520"/>
      <c r="F92" s="521"/>
      <c r="G92" s="122"/>
      <c r="H92" s="117">
        <f>$R$9</f>
        <v>50000</v>
      </c>
      <c r="I92" s="99">
        <f t="shared" si="6"/>
        <v>0</v>
      </c>
      <c r="M92" s="519" t="s">
        <v>328</v>
      </c>
      <c r="N92" s="520"/>
      <c r="O92" s="520"/>
      <c r="P92" s="520"/>
      <c r="Q92" s="521"/>
      <c r="R92" s="122"/>
      <c r="S92" s="117">
        <f>$R$9</f>
        <v>50000</v>
      </c>
      <c r="T92" s="99">
        <f t="shared" si="7"/>
        <v>0</v>
      </c>
    </row>
    <row r="93" spans="2:23">
      <c r="B93" s="519" t="s">
        <v>325</v>
      </c>
      <c r="C93" s="520"/>
      <c r="D93" s="520"/>
      <c r="E93" s="520"/>
      <c r="F93" s="521"/>
      <c r="G93" s="122"/>
      <c r="H93" s="117">
        <f>$R$10</f>
        <v>15000</v>
      </c>
      <c r="I93" s="99">
        <f t="shared" si="6"/>
        <v>0</v>
      </c>
      <c r="M93" s="519" t="s">
        <v>325</v>
      </c>
      <c r="N93" s="520"/>
      <c r="O93" s="520"/>
      <c r="P93" s="520"/>
      <c r="Q93" s="521"/>
      <c r="R93" s="122"/>
      <c r="S93" s="117">
        <f>$R$10</f>
        <v>15000</v>
      </c>
      <c r="T93" s="99">
        <f t="shared" si="7"/>
        <v>0</v>
      </c>
    </row>
    <row r="94" spans="2:23" ht="14.4" thickBot="1">
      <c r="B94" s="519" t="s">
        <v>326</v>
      </c>
      <c r="C94" s="520"/>
      <c r="D94" s="520"/>
      <c r="E94" s="520"/>
      <c r="F94" s="521"/>
      <c r="G94" s="122">
        <v>45</v>
      </c>
      <c r="H94" s="117">
        <f>$R$11</f>
        <v>15000</v>
      </c>
      <c r="I94" s="99">
        <f t="shared" si="6"/>
        <v>675000</v>
      </c>
      <c r="M94" s="519" t="s">
        <v>326</v>
      </c>
      <c r="N94" s="520"/>
      <c r="O94" s="520"/>
      <c r="P94" s="520"/>
      <c r="Q94" s="521"/>
      <c r="R94" s="122">
        <v>45</v>
      </c>
      <c r="S94" s="117">
        <f>$R$11</f>
        <v>15000</v>
      </c>
      <c r="T94" s="99">
        <f t="shared" si="7"/>
        <v>675000</v>
      </c>
    </row>
    <row r="95" spans="2:23" ht="15" customHeight="1">
      <c r="B95" s="135" t="s">
        <v>276</v>
      </c>
      <c r="C95" s="136"/>
      <c r="D95" s="136"/>
      <c r="E95" s="136"/>
      <c r="F95" s="137"/>
      <c r="G95" s="122"/>
      <c r="H95" s="117">
        <f>$R$12</f>
        <v>75000</v>
      </c>
      <c r="I95" s="99">
        <f t="shared" si="6"/>
        <v>0</v>
      </c>
      <c r="J95" s="499" t="s">
        <v>275</v>
      </c>
      <c r="K95" s="500"/>
      <c r="L95" s="501"/>
      <c r="M95" s="135" t="s">
        <v>276</v>
      </c>
      <c r="N95" s="136"/>
      <c r="O95" s="136"/>
      <c r="P95" s="136"/>
      <c r="Q95" s="137"/>
      <c r="R95" s="122">
        <v>5</v>
      </c>
      <c r="S95" s="117">
        <f>$R$12</f>
        <v>75000</v>
      </c>
      <c r="T95" s="99">
        <f t="shared" si="7"/>
        <v>375000</v>
      </c>
      <c r="U95" s="499" t="s">
        <v>275</v>
      </c>
      <c r="V95" s="500"/>
      <c r="W95" s="501"/>
    </row>
    <row r="96" spans="2:23" ht="15.75" customHeight="1" thickBot="1">
      <c r="B96" s="135" t="s">
        <v>277</v>
      </c>
      <c r="C96" s="136"/>
      <c r="D96" s="136"/>
      <c r="E96" s="136"/>
      <c r="F96" s="137"/>
      <c r="G96" s="122"/>
      <c r="H96" s="117">
        <f>$R$13</f>
        <v>75000</v>
      </c>
      <c r="I96" s="99">
        <f t="shared" si="6"/>
        <v>0</v>
      </c>
      <c r="J96" s="502"/>
      <c r="K96" s="503"/>
      <c r="L96" s="504"/>
      <c r="M96" s="135" t="s">
        <v>277</v>
      </c>
      <c r="N96" s="136"/>
      <c r="O96" s="136"/>
      <c r="P96" s="136"/>
      <c r="Q96" s="137"/>
      <c r="R96" s="122"/>
      <c r="S96" s="117">
        <f>$R$13</f>
        <v>75000</v>
      </c>
      <c r="T96" s="99">
        <f t="shared" si="7"/>
        <v>0</v>
      </c>
      <c r="U96" s="502"/>
      <c r="V96" s="503"/>
      <c r="W96" s="504"/>
    </row>
    <row r="97" spans="2:23" ht="15" customHeight="1">
      <c r="B97" s="519" t="s">
        <v>6</v>
      </c>
      <c r="C97" s="520"/>
      <c r="D97" s="520"/>
      <c r="E97" s="520"/>
      <c r="F97" s="521"/>
      <c r="G97" s="122">
        <v>15</v>
      </c>
      <c r="H97" s="117">
        <f>$R$14</f>
        <v>30000</v>
      </c>
      <c r="I97" s="99">
        <f t="shared" si="6"/>
        <v>450000</v>
      </c>
      <c r="J97" s="491">
        <f>SUM(I86:I98)</f>
        <v>3311000</v>
      </c>
      <c r="K97" s="492"/>
      <c r="L97" s="493"/>
      <c r="M97" s="519" t="s">
        <v>75</v>
      </c>
      <c r="N97" s="520"/>
      <c r="O97" s="520"/>
      <c r="P97" s="520"/>
      <c r="Q97" s="521"/>
      <c r="R97" s="122">
        <v>15</v>
      </c>
      <c r="S97" s="117">
        <f>$R$14</f>
        <v>30000</v>
      </c>
      <c r="T97" s="99">
        <f t="shared" si="7"/>
        <v>450000</v>
      </c>
      <c r="U97" s="491">
        <f>SUM(T86:T98)</f>
        <v>3485000</v>
      </c>
      <c r="V97" s="492"/>
      <c r="W97" s="493"/>
    </row>
    <row r="98" spans="2:23" ht="15.75" customHeight="1" thickBot="1">
      <c r="B98" s="519" t="s">
        <v>12</v>
      </c>
      <c r="C98" s="520"/>
      <c r="D98" s="520"/>
      <c r="E98" s="520"/>
      <c r="F98" s="521"/>
      <c r="G98" s="124">
        <v>8</v>
      </c>
      <c r="H98" s="117">
        <f>$R$15</f>
        <v>12000</v>
      </c>
      <c r="I98" s="99">
        <f t="shared" si="6"/>
        <v>96000</v>
      </c>
      <c r="J98" s="494"/>
      <c r="K98" s="495"/>
      <c r="L98" s="496"/>
      <c r="M98" s="519" t="s">
        <v>12</v>
      </c>
      <c r="N98" s="520"/>
      <c r="O98" s="520"/>
      <c r="P98" s="520"/>
      <c r="Q98" s="521"/>
      <c r="R98" s="124">
        <v>10</v>
      </c>
      <c r="S98" s="117">
        <f>$R$15</f>
        <v>12000</v>
      </c>
      <c r="T98" s="99">
        <f t="shared" si="7"/>
        <v>120000</v>
      </c>
      <c r="U98" s="494"/>
      <c r="V98" s="495"/>
      <c r="W98" s="496"/>
    </row>
    <row r="99" spans="2:23" ht="15.75" customHeight="1" thickBot="1">
      <c r="B99" s="522" t="s">
        <v>27</v>
      </c>
      <c r="C99" s="523"/>
      <c r="D99" s="523"/>
      <c r="E99" s="523"/>
      <c r="F99" s="523"/>
      <c r="G99" s="523"/>
      <c r="H99" s="523"/>
      <c r="I99" s="524"/>
      <c r="M99" s="522" t="s">
        <v>27</v>
      </c>
      <c r="N99" s="523"/>
      <c r="O99" s="523"/>
      <c r="P99" s="523"/>
      <c r="Q99" s="523"/>
      <c r="R99" s="523"/>
      <c r="S99" s="523"/>
      <c r="T99" s="524"/>
    </row>
    <row r="100" spans="2:23" ht="15.75" customHeight="1" thickBot="1">
      <c r="B100" s="522" t="s">
        <v>267</v>
      </c>
      <c r="C100" s="523"/>
      <c r="D100" s="523"/>
      <c r="E100" s="523"/>
      <c r="F100" s="523"/>
      <c r="G100" s="138" t="s">
        <v>266</v>
      </c>
      <c r="H100" s="138" t="s">
        <v>0</v>
      </c>
      <c r="I100" s="102" t="s">
        <v>265</v>
      </c>
      <c r="M100" s="522" t="s">
        <v>267</v>
      </c>
      <c r="N100" s="523"/>
      <c r="O100" s="523"/>
      <c r="P100" s="523"/>
      <c r="Q100" s="523"/>
      <c r="R100" s="138" t="s">
        <v>266</v>
      </c>
      <c r="S100" s="138" t="s">
        <v>0</v>
      </c>
      <c r="T100" s="102" t="s">
        <v>265</v>
      </c>
    </row>
    <row r="101" spans="2:23" ht="15.75" customHeight="1">
      <c r="B101" s="525" t="s">
        <v>278</v>
      </c>
      <c r="C101" s="526"/>
      <c r="D101" s="526"/>
      <c r="E101" s="526"/>
      <c r="F101" s="527"/>
      <c r="G101" s="116"/>
      <c r="H101" s="117">
        <v>1500000</v>
      </c>
      <c r="I101" s="99">
        <f t="shared" si="6"/>
        <v>0</v>
      </c>
      <c r="M101" s="525" t="s">
        <v>278</v>
      </c>
      <c r="N101" s="526"/>
      <c r="O101" s="526"/>
      <c r="P101" s="526"/>
      <c r="Q101" s="527"/>
      <c r="R101" s="116"/>
      <c r="S101" s="117">
        <v>1500000</v>
      </c>
      <c r="T101" s="99">
        <f t="shared" ref="T101:T112" si="8">R101*S101</f>
        <v>0</v>
      </c>
    </row>
    <row r="102" spans="2:23">
      <c r="B102" s="525" t="s">
        <v>279</v>
      </c>
      <c r="C102" s="526"/>
      <c r="D102" s="526"/>
      <c r="E102" s="526"/>
      <c r="F102" s="527"/>
      <c r="G102" s="122"/>
      <c r="H102" s="123"/>
      <c r="I102" s="99">
        <f t="shared" si="6"/>
        <v>0</v>
      </c>
      <c r="M102" s="525" t="s">
        <v>279</v>
      </c>
      <c r="N102" s="526"/>
      <c r="O102" s="526"/>
      <c r="P102" s="526"/>
      <c r="Q102" s="527"/>
      <c r="R102" s="122"/>
      <c r="S102" s="123"/>
      <c r="T102" s="99">
        <f t="shared" si="8"/>
        <v>0</v>
      </c>
    </row>
    <row r="103" spans="2:23">
      <c r="B103" s="528" t="s">
        <v>280</v>
      </c>
      <c r="C103" s="529"/>
      <c r="D103" s="529"/>
      <c r="E103" s="529"/>
      <c r="F103" s="530"/>
      <c r="G103" s="122"/>
      <c r="H103" s="123">
        <v>1000000</v>
      </c>
      <c r="I103" s="99">
        <f t="shared" si="6"/>
        <v>0</v>
      </c>
      <c r="M103" s="528" t="s">
        <v>280</v>
      </c>
      <c r="N103" s="529"/>
      <c r="O103" s="529"/>
      <c r="P103" s="529"/>
      <c r="Q103" s="530"/>
      <c r="R103" s="122"/>
      <c r="S103" s="123">
        <v>1000000</v>
      </c>
      <c r="T103" s="99">
        <f t="shared" si="8"/>
        <v>0</v>
      </c>
    </row>
    <row r="104" spans="2:23">
      <c r="B104" s="528" t="s">
        <v>94</v>
      </c>
      <c r="C104" s="529"/>
      <c r="D104" s="529"/>
      <c r="E104" s="529"/>
      <c r="F104" s="530"/>
      <c r="G104" s="122">
        <v>1</v>
      </c>
      <c r="H104" s="123">
        <v>350000</v>
      </c>
      <c r="I104" s="99">
        <f t="shared" si="6"/>
        <v>350000</v>
      </c>
      <c r="M104" s="528" t="s">
        <v>94</v>
      </c>
      <c r="N104" s="529"/>
      <c r="O104" s="529"/>
      <c r="P104" s="529"/>
      <c r="Q104" s="530"/>
      <c r="R104" s="122">
        <v>1</v>
      </c>
      <c r="S104" s="123">
        <v>350000</v>
      </c>
      <c r="T104" s="99">
        <f t="shared" si="8"/>
        <v>350000</v>
      </c>
    </row>
    <row r="105" spans="2:23">
      <c r="B105" s="139" t="s">
        <v>281</v>
      </c>
      <c r="C105" s="140"/>
      <c r="D105" s="140"/>
      <c r="E105" s="140"/>
      <c r="F105" s="141"/>
      <c r="G105" s="122"/>
      <c r="H105" s="123"/>
      <c r="I105" s="99">
        <f t="shared" si="6"/>
        <v>0</v>
      </c>
      <c r="M105" s="139" t="s">
        <v>281</v>
      </c>
      <c r="N105" s="140"/>
      <c r="O105" s="140"/>
      <c r="P105" s="140"/>
      <c r="Q105" s="141"/>
      <c r="R105" s="122"/>
      <c r="S105" s="123"/>
      <c r="T105" s="99">
        <f t="shared" si="8"/>
        <v>0</v>
      </c>
    </row>
    <row r="106" spans="2:23">
      <c r="B106" s="528" t="s">
        <v>284</v>
      </c>
      <c r="C106" s="529"/>
      <c r="D106" s="529"/>
      <c r="E106" s="529"/>
      <c r="F106" s="530"/>
      <c r="G106" s="122">
        <v>2</v>
      </c>
      <c r="H106" s="123">
        <v>600000</v>
      </c>
      <c r="I106" s="99">
        <f t="shared" si="6"/>
        <v>1200000</v>
      </c>
      <c r="M106" s="528" t="s">
        <v>284</v>
      </c>
      <c r="N106" s="529"/>
      <c r="O106" s="529"/>
      <c r="P106" s="529"/>
      <c r="Q106" s="530"/>
      <c r="R106" s="122">
        <v>2</v>
      </c>
      <c r="S106" s="123">
        <v>600000</v>
      </c>
      <c r="T106" s="99">
        <f t="shared" si="8"/>
        <v>1200000</v>
      </c>
    </row>
    <row r="107" spans="2:23">
      <c r="B107" s="528" t="s">
        <v>285</v>
      </c>
      <c r="C107" s="529"/>
      <c r="D107" s="529"/>
      <c r="E107" s="529"/>
      <c r="F107" s="530"/>
      <c r="G107" s="122"/>
      <c r="H107" s="123"/>
      <c r="I107" s="99">
        <f t="shared" si="6"/>
        <v>0</v>
      </c>
      <c r="M107" s="528" t="s">
        <v>285</v>
      </c>
      <c r="N107" s="529"/>
      <c r="O107" s="529"/>
      <c r="P107" s="529"/>
      <c r="Q107" s="530"/>
      <c r="R107" s="122"/>
      <c r="S107" s="123"/>
      <c r="T107" s="99">
        <f t="shared" si="8"/>
        <v>0</v>
      </c>
    </row>
    <row r="108" spans="2:23" ht="14.4" thickBot="1">
      <c r="B108" s="139" t="s">
        <v>288</v>
      </c>
      <c r="C108" s="140"/>
      <c r="D108" s="140"/>
      <c r="E108" s="140"/>
      <c r="F108" s="141"/>
      <c r="G108" s="122"/>
      <c r="H108" s="123"/>
      <c r="I108" s="99">
        <f t="shared" si="6"/>
        <v>0</v>
      </c>
      <c r="M108" s="139" t="s">
        <v>288</v>
      </c>
      <c r="N108" s="140"/>
      <c r="O108" s="140"/>
      <c r="P108" s="140"/>
      <c r="Q108" s="141"/>
      <c r="R108" s="122"/>
      <c r="S108" s="123"/>
      <c r="T108" s="99">
        <f t="shared" si="8"/>
        <v>0</v>
      </c>
    </row>
    <row r="109" spans="2:23" ht="15" customHeight="1">
      <c r="B109" s="528" t="s">
        <v>289</v>
      </c>
      <c r="C109" s="529"/>
      <c r="D109" s="529"/>
      <c r="E109" s="529"/>
      <c r="F109" s="530"/>
      <c r="G109" s="122"/>
      <c r="H109" s="123">
        <v>600000</v>
      </c>
      <c r="I109" s="99">
        <f t="shared" si="6"/>
        <v>0</v>
      </c>
      <c r="J109" s="499" t="s">
        <v>275</v>
      </c>
      <c r="K109" s="500"/>
      <c r="L109" s="501"/>
      <c r="M109" s="528" t="s">
        <v>289</v>
      </c>
      <c r="N109" s="529"/>
      <c r="O109" s="529"/>
      <c r="P109" s="529"/>
      <c r="Q109" s="530"/>
      <c r="R109" s="122"/>
      <c r="S109" s="123">
        <v>600000</v>
      </c>
      <c r="T109" s="99">
        <f t="shared" si="8"/>
        <v>0</v>
      </c>
      <c r="U109" s="499" t="s">
        <v>275</v>
      </c>
      <c r="V109" s="500"/>
      <c r="W109" s="501"/>
    </row>
    <row r="110" spans="2:23" ht="15.75" customHeight="1" thickBot="1">
      <c r="B110" s="528" t="s">
        <v>290</v>
      </c>
      <c r="C110" s="529"/>
      <c r="D110" s="529"/>
      <c r="E110" s="529"/>
      <c r="F110" s="530"/>
      <c r="G110" s="122"/>
      <c r="H110" s="123">
        <v>250000</v>
      </c>
      <c r="I110" s="99">
        <f t="shared" si="6"/>
        <v>0</v>
      </c>
      <c r="J110" s="502"/>
      <c r="K110" s="503"/>
      <c r="L110" s="504"/>
      <c r="M110" s="528" t="s">
        <v>290</v>
      </c>
      <c r="N110" s="529"/>
      <c r="O110" s="529"/>
      <c r="P110" s="529"/>
      <c r="Q110" s="530"/>
      <c r="R110" s="122"/>
      <c r="S110" s="123">
        <v>250000</v>
      </c>
      <c r="T110" s="99">
        <f t="shared" si="8"/>
        <v>0</v>
      </c>
      <c r="U110" s="502"/>
      <c r="V110" s="503"/>
      <c r="W110" s="504"/>
    </row>
    <row r="111" spans="2:23" ht="15" customHeight="1">
      <c r="B111" s="528"/>
      <c r="C111" s="529"/>
      <c r="D111" s="529"/>
      <c r="E111" s="529"/>
      <c r="F111" s="530"/>
      <c r="G111" s="122"/>
      <c r="H111" s="123"/>
      <c r="I111" s="99">
        <f t="shared" si="6"/>
        <v>0</v>
      </c>
      <c r="J111" s="491">
        <f>SUM(I101:I112)</f>
        <v>1550000</v>
      </c>
      <c r="K111" s="492"/>
      <c r="L111" s="493"/>
      <c r="M111" s="528"/>
      <c r="N111" s="529"/>
      <c r="O111" s="529"/>
      <c r="P111" s="529"/>
      <c r="Q111" s="530"/>
      <c r="R111" s="122"/>
      <c r="S111" s="123"/>
      <c r="T111" s="99">
        <f t="shared" si="8"/>
        <v>0</v>
      </c>
      <c r="U111" s="491">
        <f>SUM(T101:T112)</f>
        <v>1550000</v>
      </c>
      <c r="V111" s="492"/>
      <c r="W111" s="493"/>
    </row>
    <row r="112" spans="2:23" ht="15.75" customHeight="1" thickBot="1">
      <c r="B112" s="537"/>
      <c r="C112" s="538"/>
      <c r="D112" s="538"/>
      <c r="E112" s="538"/>
      <c r="F112" s="539"/>
      <c r="G112" s="124"/>
      <c r="H112" s="125"/>
      <c r="I112" s="100">
        <f t="shared" si="6"/>
        <v>0</v>
      </c>
      <c r="J112" s="494"/>
      <c r="K112" s="495"/>
      <c r="L112" s="496"/>
      <c r="M112" s="537"/>
      <c r="N112" s="538"/>
      <c r="O112" s="538"/>
      <c r="P112" s="538"/>
      <c r="Q112" s="539"/>
      <c r="R112" s="124"/>
      <c r="S112" s="125"/>
      <c r="T112" s="100">
        <f t="shared" si="8"/>
        <v>0</v>
      </c>
      <c r="U112" s="494"/>
      <c r="V112" s="495"/>
      <c r="W112" s="496"/>
    </row>
    <row r="113" spans="2:23" ht="14.4" thickBot="1">
      <c r="B113" s="531" t="s">
        <v>26</v>
      </c>
      <c r="C113" s="532"/>
      <c r="D113" s="532"/>
      <c r="E113" s="532"/>
      <c r="F113" s="532"/>
      <c r="G113" s="532"/>
      <c r="H113" s="532"/>
      <c r="I113" s="533"/>
      <c r="J113" s="132"/>
      <c r="K113" s="132"/>
      <c r="L113" s="132"/>
      <c r="M113" s="531" t="s">
        <v>26</v>
      </c>
      <c r="N113" s="532"/>
      <c r="O113" s="532"/>
      <c r="P113" s="532"/>
      <c r="Q113" s="532"/>
      <c r="R113" s="532"/>
      <c r="S113" s="532"/>
      <c r="T113" s="533"/>
      <c r="U113" s="132"/>
      <c r="V113" s="132"/>
      <c r="W113" s="132"/>
    </row>
    <row r="114" spans="2:23" ht="14.4" thickBot="1">
      <c r="B114" s="531" t="s">
        <v>267</v>
      </c>
      <c r="C114" s="532"/>
      <c r="D114" s="532"/>
      <c r="E114" s="532"/>
      <c r="F114" s="532"/>
      <c r="G114" s="142" t="s">
        <v>266</v>
      </c>
      <c r="H114" s="142" t="s">
        <v>0</v>
      </c>
      <c r="I114" s="103" t="s">
        <v>265</v>
      </c>
      <c r="J114" s="132"/>
      <c r="K114" s="132"/>
      <c r="L114" s="132"/>
      <c r="M114" s="531" t="s">
        <v>267</v>
      </c>
      <c r="N114" s="532"/>
      <c r="O114" s="532"/>
      <c r="P114" s="532"/>
      <c r="Q114" s="532"/>
      <c r="R114" s="142" t="s">
        <v>266</v>
      </c>
      <c r="S114" s="142" t="s">
        <v>0</v>
      </c>
      <c r="T114" s="103" t="s">
        <v>265</v>
      </c>
      <c r="U114" s="132"/>
      <c r="V114" s="132"/>
      <c r="W114" s="132"/>
    </row>
    <row r="115" spans="2:23">
      <c r="B115" s="534" t="s">
        <v>296</v>
      </c>
      <c r="C115" s="535"/>
      <c r="D115" s="535"/>
      <c r="E115" s="535"/>
      <c r="F115" s="536"/>
      <c r="G115" s="143"/>
      <c r="H115" s="144">
        <v>50000</v>
      </c>
      <c r="I115" s="104">
        <f t="shared" si="6"/>
        <v>0</v>
      </c>
      <c r="M115" s="534" t="s">
        <v>296</v>
      </c>
      <c r="N115" s="535"/>
      <c r="O115" s="535"/>
      <c r="P115" s="535"/>
      <c r="Q115" s="536"/>
      <c r="R115" s="143"/>
      <c r="S115" s="144">
        <v>50000</v>
      </c>
      <c r="T115" s="104">
        <f t="shared" ref="T115:T131" si="9">R115*S115</f>
        <v>0</v>
      </c>
    </row>
    <row r="116" spans="2:23">
      <c r="B116" s="540" t="s">
        <v>295</v>
      </c>
      <c r="C116" s="541"/>
      <c r="D116" s="541"/>
      <c r="E116" s="541"/>
      <c r="F116" s="542"/>
      <c r="G116" s="122">
        <v>4</v>
      </c>
      <c r="H116" s="123">
        <v>15000</v>
      </c>
      <c r="I116" s="99">
        <f t="shared" si="6"/>
        <v>60000</v>
      </c>
      <c r="M116" s="540" t="s">
        <v>295</v>
      </c>
      <c r="N116" s="541"/>
      <c r="O116" s="541"/>
      <c r="P116" s="541"/>
      <c r="Q116" s="542"/>
      <c r="R116" s="122">
        <v>4</v>
      </c>
      <c r="S116" s="123">
        <v>15000</v>
      </c>
      <c r="T116" s="99">
        <f t="shared" si="9"/>
        <v>60000</v>
      </c>
    </row>
    <row r="117" spans="2:23">
      <c r="B117" s="540" t="s">
        <v>330</v>
      </c>
      <c r="C117" s="541"/>
      <c r="D117" s="541"/>
      <c r="E117" s="541"/>
      <c r="F117" s="542"/>
      <c r="G117" s="122"/>
      <c r="H117" s="123">
        <v>15000</v>
      </c>
      <c r="I117" s="99">
        <f t="shared" si="6"/>
        <v>0</v>
      </c>
      <c r="M117" s="540" t="s">
        <v>330</v>
      </c>
      <c r="N117" s="541"/>
      <c r="O117" s="541"/>
      <c r="P117" s="541"/>
      <c r="Q117" s="542"/>
      <c r="R117" s="122"/>
      <c r="S117" s="123">
        <v>15000</v>
      </c>
      <c r="T117" s="99">
        <f t="shared" si="9"/>
        <v>0</v>
      </c>
    </row>
    <row r="118" spans="2:23">
      <c r="B118" s="540" t="s">
        <v>329</v>
      </c>
      <c r="C118" s="541"/>
      <c r="D118" s="541"/>
      <c r="E118" s="541"/>
      <c r="F118" s="542"/>
      <c r="G118" s="122">
        <v>1</v>
      </c>
      <c r="H118" s="123">
        <v>12000</v>
      </c>
      <c r="I118" s="99">
        <f t="shared" si="6"/>
        <v>12000</v>
      </c>
      <c r="M118" s="540" t="s">
        <v>329</v>
      </c>
      <c r="N118" s="541"/>
      <c r="O118" s="541"/>
      <c r="P118" s="541"/>
      <c r="Q118" s="542"/>
      <c r="R118" s="122">
        <v>1</v>
      </c>
      <c r="S118" s="123">
        <v>12000</v>
      </c>
      <c r="T118" s="99">
        <f t="shared" si="9"/>
        <v>12000</v>
      </c>
    </row>
    <row r="119" spans="2:23">
      <c r="B119" s="540" t="s">
        <v>331</v>
      </c>
      <c r="C119" s="541"/>
      <c r="D119" s="541"/>
      <c r="E119" s="541"/>
      <c r="F119" s="542"/>
      <c r="G119" s="122"/>
      <c r="H119" s="123">
        <v>28000</v>
      </c>
      <c r="I119" s="99">
        <f t="shared" si="6"/>
        <v>0</v>
      </c>
      <c r="M119" s="540" t="s">
        <v>331</v>
      </c>
      <c r="N119" s="541"/>
      <c r="O119" s="541"/>
      <c r="P119" s="541"/>
      <c r="Q119" s="542"/>
      <c r="R119" s="122"/>
      <c r="S119" s="123">
        <v>28000</v>
      </c>
      <c r="T119" s="99">
        <f t="shared" si="9"/>
        <v>0</v>
      </c>
    </row>
    <row r="120" spans="2:23">
      <c r="B120" s="145" t="s">
        <v>42</v>
      </c>
      <c r="C120" s="146"/>
      <c r="D120" s="146"/>
      <c r="E120" s="146"/>
      <c r="F120" s="147"/>
      <c r="G120" s="122"/>
      <c r="H120" s="123">
        <v>200000</v>
      </c>
      <c r="I120" s="99">
        <f t="shared" si="6"/>
        <v>0</v>
      </c>
      <c r="M120" s="145" t="s">
        <v>42</v>
      </c>
      <c r="N120" s="146"/>
      <c r="O120" s="146"/>
      <c r="P120" s="146"/>
      <c r="Q120" s="147"/>
      <c r="R120" s="122"/>
      <c r="S120" s="123">
        <v>200000</v>
      </c>
      <c r="T120" s="99">
        <f t="shared" si="9"/>
        <v>0</v>
      </c>
    </row>
    <row r="121" spans="2:23">
      <c r="B121" s="145" t="s">
        <v>41</v>
      </c>
      <c r="C121" s="146"/>
      <c r="D121" s="146"/>
      <c r="E121" s="146"/>
      <c r="F121" s="147"/>
      <c r="G121" s="122">
        <v>1</v>
      </c>
      <c r="H121" s="123">
        <v>150000</v>
      </c>
      <c r="I121" s="99">
        <f t="shared" si="6"/>
        <v>150000</v>
      </c>
      <c r="M121" s="145" t="s">
        <v>41</v>
      </c>
      <c r="N121" s="146"/>
      <c r="O121" s="146"/>
      <c r="P121" s="146"/>
      <c r="Q121" s="147"/>
      <c r="R121" s="122">
        <v>1</v>
      </c>
      <c r="S121" s="123">
        <v>150000</v>
      </c>
      <c r="T121" s="99">
        <f t="shared" si="9"/>
        <v>150000</v>
      </c>
    </row>
    <row r="122" spans="2:23">
      <c r="B122" s="145" t="s">
        <v>3</v>
      </c>
      <c r="C122" s="146"/>
      <c r="D122" s="146"/>
      <c r="E122" s="146"/>
      <c r="F122" s="147"/>
      <c r="G122" s="122">
        <v>1</v>
      </c>
      <c r="H122" s="123">
        <v>100000</v>
      </c>
      <c r="I122" s="99">
        <f t="shared" si="6"/>
        <v>100000</v>
      </c>
      <c r="M122" s="145" t="s">
        <v>3</v>
      </c>
      <c r="N122" s="146"/>
      <c r="O122" s="146"/>
      <c r="P122" s="146"/>
      <c r="Q122" s="147"/>
      <c r="R122" s="122">
        <v>1</v>
      </c>
      <c r="S122" s="123">
        <v>100000</v>
      </c>
      <c r="T122" s="99">
        <f t="shared" si="9"/>
        <v>100000</v>
      </c>
    </row>
    <row r="123" spans="2:23">
      <c r="B123" s="145" t="s">
        <v>4</v>
      </c>
      <c r="C123" s="146"/>
      <c r="D123" s="146"/>
      <c r="E123" s="146"/>
      <c r="F123" s="147"/>
      <c r="G123" s="122">
        <v>1</v>
      </c>
      <c r="H123" s="123">
        <v>75000</v>
      </c>
      <c r="I123" s="99">
        <f t="shared" si="6"/>
        <v>75000</v>
      </c>
      <c r="M123" s="145" t="s">
        <v>4</v>
      </c>
      <c r="N123" s="146"/>
      <c r="O123" s="146"/>
      <c r="P123" s="146"/>
      <c r="Q123" s="147"/>
      <c r="R123" s="122">
        <v>1</v>
      </c>
      <c r="S123" s="123">
        <v>75000</v>
      </c>
      <c r="T123" s="99">
        <f t="shared" si="9"/>
        <v>75000</v>
      </c>
    </row>
    <row r="124" spans="2:23">
      <c r="B124" s="145" t="s">
        <v>67</v>
      </c>
      <c r="C124" s="146"/>
      <c r="D124" s="146"/>
      <c r="E124" s="146"/>
      <c r="F124" s="147"/>
      <c r="G124" s="122">
        <v>10</v>
      </c>
      <c r="H124" s="123">
        <v>500</v>
      </c>
      <c r="I124" s="99">
        <f t="shared" si="6"/>
        <v>5000</v>
      </c>
      <c r="M124" s="145" t="s">
        <v>67</v>
      </c>
      <c r="N124" s="146"/>
      <c r="O124" s="146"/>
      <c r="P124" s="146"/>
      <c r="Q124" s="147"/>
      <c r="R124" s="122">
        <v>10</v>
      </c>
      <c r="S124" s="123">
        <v>500</v>
      </c>
      <c r="T124" s="99">
        <f t="shared" si="9"/>
        <v>5000</v>
      </c>
    </row>
    <row r="125" spans="2:23">
      <c r="B125" s="145" t="s">
        <v>68</v>
      </c>
      <c r="C125" s="146"/>
      <c r="D125" s="146"/>
      <c r="E125" s="146"/>
      <c r="F125" s="147"/>
      <c r="G125" s="122"/>
      <c r="H125" s="123">
        <v>500</v>
      </c>
      <c r="I125" s="99">
        <f t="shared" si="6"/>
        <v>0</v>
      </c>
      <c r="M125" s="145" t="s">
        <v>68</v>
      </c>
      <c r="N125" s="146"/>
      <c r="O125" s="146"/>
      <c r="P125" s="146"/>
      <c r="Q125" s="147"/>
      <c r="R125" s="122"/>
      <c r="S125" s="123">
        <v>500</v>
      </c>
      <c r="T125" s="99">
        <f t="shared" si="9"/>
        <v>0</v>
      </c>
    </row>
    <row r="126" spans="2:23">
      <c r="B126" s="540" t="s">
        <v>70</v>
      </c>
      <c r="C126" s="541"/>
      <c r="D126" s="541"/>
      <c r="E126" s="541"/>
      <c r="F126" s="542"/>
      <c r="G126" s="122">
        <v>5</v>
      </c>
      <c r="H126" s="123">
        <v>6000</v>
      </c>
      <c r="I126" s="99">
        <f t="shared" si="6"/>
        <v>30000</v>
      </c>
      <c r="M126" s="540" t="s">
        <v>70</v>
      </c>
      <c r="N126" s="541"/>
      <c r="O126" s="541"/>
      <c r="P126" s="541"/>
      <c r="Q126" s="542"/>
      <c r="R126" s="122">
        <v>5</v>
      </c>
      <c r="S126" s="123">
        <v>6000</v>
      </c>
      <c r="T126" s="99">
        <f t="shared" si="9"/>
        <v>30000</v>
      </c>
    </row>
    <row r="127" spans="2:23" ht="14.4" thickBot="1">
      <c r="B127" s="540" t="s">
        <v>380</v>
      </c>
      <c r="C127" s="541"/>
      <c r="D127" s="541"/>
      <c r="E127" s="541"/>
      <c r="F127" s="542"/>
      <c r="G127" s="122">
        <v>10</v>
      </c>
      <c r="H127" s="123">
        <v>15000</v>
      </c>
      <c r="I127" s="99">
        <f t="shared" si="6"/>
        <v>150000</v>
      </c>
      <c r="M127" s="540" t="s">
        <v>380</v>
      </c>
      <c r="N127" s="541"/>
      <c r="O127" s="541"/>
      <c r="P127" s="541"/>
      <c r="Q127" s="542"/>
      <c r="R127" s="122">
        <v>10</v>
      </c>
      <c r="S127" s="123">
        <v>15000</v>
      </c>
      <c r="T127" s="99">
        <f t="shared" si="9"/>
        <v>150000</v>
      </c>
    </row>
    <row r="128" spans="2:23" ht="15" customHeight="1">
      <c r="B128" s="540" t="s">
        <v>387</v>
      </c>
      <c r="C128" s="541"/>
      <c r="D128" s="541"/>
      <c r="E128" s="541"/>
      <c r="F128" s="542"/>
      <c r="G128" s="122">
        <v>1</v>
      </c>
      <c r="H128" s="123">
        <v>150000</v>
      </c>
      <c r="I128" s="99">
        <f t="shared" si="6"/>
        <v>150000</v>
      </c>
      <c r="J128" s="499" t="s">
        <v>275</v>
      </c>
      <c r="K128" s="500"/>
      <c r="L128" s="501"/>
      <c r="M128" s="540" t="s">
        <v>16</v>
      </c>
      <c r="N128" s="541"/>
      <c r="O128" s="541"/>
      <c r="P128" s="541"/>
      <c r="Q128" s="542"/>
      <c r="R128" s="122">
        <v>1</v>
      </c>
      <c r="S128" s="123">
        <v>150000</v>
      </c>
      <c r="T128" s="99">
        <f t="shared" si="9"/>
        <v>150000</v>
      </c>
      <c r="U128" s="499" t="s">
        <v>275</v>
      </c>
      <c r="V128" s="500"/>
      <c r="W128" s="501"/>
    </row>
    <row r="129" spans="2:23" ht="15.75" customHeight="1" thickBot="1">
      <c r="B129" s="540" t="s">
        <v>16</v>
      </c>
      <c r="C129" s="541"/>
      <c r="D129" s="541"/>
      <c r="E129" s="541"/>
      <c r="F129" s="542"/>
      <c r="G129" s="122">
        <v>1</v>
      </c>
      <c r="H129" s="123">
        <v>150000</v>
      </c>
      <c r="I129" s="99">
        <f t="shared" si="6"/>
        <v>150000</v>
      </c>
      <c r="J129" s="502"/>
      <c r="K129" s="503"/>
      <c r="L129" s="504"/>
      <c r="M129" s="540" t="s">
        <v>17</v>
      </c>
      <c r="N129" s="541"/>
      <c r="O129" s="541"/>
      <c r="P129" s="541"/>
      <c r="Q129" s="542"/>
      <c r="R129" s="122"/>
      <c r="S129" s="123">
        <v>150000</v>
      </c>
      <c r="T129" s="99">
        <f t="shared" si="9"/>
        <v>0</v>
      </c>
      <c r="U129" s="502"/>
      <c r="V129" s="503"/>
      <c r="W129" s="504"/>
    </row>
    <row r="130" spans="2:23" ht="15" customHeight="1">
      <c r="B130" s="540" t="s">
        <v>17</v>
      </c>
      <c r="C130" s="541"/>
      <c r="D130" s="541"/>
      <c r="E130" s="541"/>
      <c r="F130" s="542"/>
      <c r="G130" s="122">
        <v>1</v>
      </c>
      <c r="H130" s="123">
        <v>150000</v>
      </c>
      <c r="I130" s="99">
        <f t="shared" si="6"/>
        <v>150000</v>
      </c>
      <c r="J130" s="491">
        <f>SUM(I115:I131)</f>
        <v>1032000</v>
      </c>
      <c r="K130" s="492"/>
      <c r="L130" s="493"/>
      <c r="M130" s="540"/>
      <c r="N130" s="541"/>
      <c r="O130" s="541"/>
      <c r="P130" s="541"/>
      <c r="Q130" s="542"/>
      <c r="R130" s="122"/>
      <c r="S130" s="123"/>
      <c r="T130" s="99">
        <f t="shared" si="9"/>
        <v>0</v>
      </c>
      <c r="U130" s="491">
        <f>SUM(T115:T131)</f>
        <v>732000</v>
      </c>
      <c r="V130" s="492"/>
      <c r="W130" s="493"/>
    </row>
    <row r="131" spans="2:23" ht="15.75" customHeight="1" thickBot="1">
      <c r="B131" s="543"/>
      <c r="C131" s="544"/>
      <c r="D131" s="544"/>
      <c r="E131" s="544"/>
      <c r="F131" s="545"/>
      <c r="G131" s="124"/>
      <c r="H131" s="125"/>
      <c r="I131" s="100">
        <f t="shared" si="6"/>
        <v>0</v>
      </c>
      <c r="J131" s="494"/>
      <c r="K131" s="495"/>
      <c r="L131" s="496"/>
      <c r="M131" s="543"/>
      <c r="N131" s="544"/>
      <c r="O131" s="544"/>
      <c r="P131" s="544"/>
      <c r="Q131" s="545"/>
      <c r="R131" s="124"/>
      <c r="S131" s="125"/>
      <c r="T131" s="100">
        <f t="shared" si="9"/>
        <v>0</v>
      </c>
      <c r="U131" s="494"/>
      <c r="V131" s="495"/>
      <c r="W131" s="496"/>
    </row>
    <row r="132" spans="2:23" ht="14.4" thickBot="1">
      <c r="B132" s="546" t="s">
        <v>297</v>
      </c>
      <c r="C132" s="547"/>
      <c r="D132" s="547"/>
      <c r="E132" s="547"/>
      <c r="F132" s="547"/>
      <c r="G132" s="547"/>
      <c r="H132" s="547"/>
      <c r="I132" s="548"/>
      <c r="J132" s="132"/>
      <c r="K132" s="132"/>
      <c r="L132" s="132"/>
      <c r="M132" s="546" t="s">
        <v>297</v>
      </c>
      <c r="N132" s="547"/>
      <c r="O132" s="547"/>
      <c r="P132" s="547"/>
      <c r="Q132" s="547"/>
      <c r="R132" s="547"/>
      <c r="S132" s="547"/>
      <c r="T132" s="548"/>
      <c r="U132" s="132"/>
      <c r="V132" s="132"/>
      <c r="W132" s="132"/>
    </row>
    <row r="133" spans="2:23" ht="14.4" thickBot="1">
      <c r="B133" s="546" t="s">
        <v>267</v>
      </c>
      <c r="C133" s="547"/>
      <c r="D133" s="547"/>
      <c r="E133" s="547"/>
      <c r="F133" s="547"/>
      <c r="G133" s="148" t="s">
        <v>266</v>
      </c>
      <c r="H133" s="148" t="s">
        <v>0</v>
      </c>
      <c r="I133" s="105" t="s">
        <v>265</v>
      </c>
      <c r="J133" s="132"/>
      <c r="K133" s="132"/>
      <c r="L133" s="132"/>
      <c r="M133" s="546" t="s">
        <v>267</v>
      </c>
      <c r="N133" s="547"/>
      <c r="O133" s="547"/>
      <c r="P133" s="547"/>
      <c r="Q133" s="547"/>
      <c r="R133" s="148" t="s">
        <v>266</v>
      </c>
      <c r="S133" s="148" t="s">
        <v>0</v>
      </c>
      <c r="T133" s="105" t="s">
        <v>265</v>
      </c>
      <c r="U133" s="132"/>
      <c r="V133" s="132"/>
      <c r="W133" s="132"/>
    </row>
    <row r="134" spans="2:23">
      <c r="B134" s="549" t="s">
        <v>333</v>
      </c>
      <c r="C134" s="550"/>
      <c r="D134" s="550"/>
      <c r="E134" s="550"/>
      <c r="F134" s="551"/>
      <c r="G134" s="116"/>
      <c r="H134" s="117">
        <v>2000000</v>
      </c>
      <c r="I134" s="99">
        <f t="shared" si="6"/>
        <v>0</v>
      </c>
      <c r="M134" s="549" t="s">
        <v>333</v>
      </c>
      <c r="N134" s="550"/>
      <c r="O134" s="550"/>
      <c r="P134" s="550"/>
      <c r="Q134" s="551"/>
      <c r="R134" s="116"/>
      <c r="S134" s="117">
        <v>2500000</v>
      </c>
      <c r="T134" s="99">
        <f t="shared" ref="T134:T145" si="10">R134*S134</f>
        <v>0</v>
      </c>
    </row>
    <row r="135" spans="2:23">
      <c r="B135" s="552" t="s">
        <v>291</v>
      </c>
      <c r="C135" s="553"/>
      <c r="D135" s="553"/>
      <c r="E135" s="553"/>
      <c r="F135" s="554"/>
      <c r="G135" s="122">
        <v>1</v>
      </c>
      <c r="H135" s="123">
        <v>1000000</v>
      </c>
      <c r="I135" s="99">
        <f t="shared" si="6"/>
        <v>1000000</v>
      </c>
      <c r="M135" s="552" t="s">
        <v>291</v>
      </c>
      <c r="N135" s="553"/>
      <c r="O135" s="553"/>
      <c r="P135" s="553"/>
      <c r="Q135" s="554"/>
      <c r="R135" s="122"/>
      <c r="S135" s="123">
        <v>1000000</v>
      </c>
      <c r="T135" s="99">
        <f t="shared" si="10"/>
        <v>0</v>
      </c>
    </row>
    <row r="136" spans="2:23">
      <c r="B136" s="552" t="s">
        <v>292</v>
      </c>
      <c r="C136" s="553"/>
      <c r="D136" s="553"/>
      <c r="E136" s="553"/>
      <c r="F136" s="554"/>
      <c r="G136" s="122">
        <v>1</v>
      </c>
      <c r="H136" s="123">
        <v>200000</v>
      </c>
      <c r="I136" s="99">
        <f t="shared" si="6"/>
        <v>200000</v>
      </c>
      <c r="M136" s="552" t="s">
        <v>292</v>
      </c>
      <c r="N136" s="553"/>
      <c r="O136" s="553"/>
      <c r="P136" s="553"/>
      <c r="Q136" s="554"/>
      <c r="R136" s="122"/>
      <c r="S136" s="123">
        <v>200000</v>
      </c>
      <c r="T136" s="99">
        <f t="shared" si="10"/>
        <v>0</v>
      </c>
    </row>
    <row r="137" spans="2:23">
      <c r="B137" s="552" t="s">
        <v>293</v>
      </c>
      <c r="C137" s="553"/>
      <c r="D137" s="553"/>
      <c r="E137" s="553"/>
      <c r="F137" s="554"/>
      <c r="G137" s="122">
        <v>1</v>
      </c>
      <c r="H137" s="123">
        <v>500000</v>
      </c>
      <c r="I137" s="99">
        <f t="shared" si="6"/>
        <v>500000</v>
      </c>
      <c r="M137" s="552" t="s">
        <v>293</v>
      </c>
      <c r="N137" s="553"/>
      <c r="O137" s="553"/>
      <c r="P137" s="553"/>
      <c r="Q137" s="554"/>
      <c r="R137" s="122">
        <v>1</v>
      </c>
      <c r="S137" s="123">
        <v>250000</v>
      </c>
      <c r="T137" s="99">
        <f t="shared" si="10"/>
        <v>250000</v>
      </c>
    </row>
    <row r="138" spans="2:23">
      <c r="B138" s="552" t="s">
        <v>193</v>
      </c>
      <c r="C138" s="553"/>
      <c r="D138" s="553"/>
      <c r="E138" s="553"/>
      <c r="F138" s="554"/>
      <c r="G138" s="122">
        <v>1</v>
      </c>
      <c r="H138" s="123">
        <v>400000</v>
      </c>
      <c r="I138" s="99">
        <f t="shared" si="6"/>
        <v>400000</v>
      </c>
      <c r="M138" s="552" t="s">
        <v>193</v>
      </c>
      <c r="N138" s="553"/>
      <c r="O138" s="553"/>
      <c r="P138" s="553"/>
      <c r="Q138" s="554"/>
      <c r="R138" s="122">
        <v>1</v>
      </c>
      <c r="S138" s="123">
        <v>350000</v>
      </c>
      <c r="T138" s="99">
        <f t="shared" si="10"/>
        <v>350000</v>
      </c>
    </row>
    <row r="139" spans="2:23">
      <c r="B139" s="552" t="s">
        <v>294</v>
      </c>
      <c r="C139" s="553"/>
      <c r="D139" s="553"/>
      <c r="E139" s="553"/>
      <c r="F139" s="554"/>
      <c r="G139" s="122"/>
      <c r="H139" s="123">
        <v>300000</v>
      </c>
      <c r="I139" s="99">
        <f t="shared" si="6"/>
        <v>0</v>
      </c>
      <c r="M139" s="552" t="s">
        <v>294</v>
      </c>
      <c r="N139" s="553"/>
      <c r="O139" s="553"/>
      <c r="P139" s="553"/>
      <c r="Q139" s="554"/>
      <c r="R139" s="122"/>
      <c r="S139" s="123">
        <v>300000</v>
      </c>
      <c r="T139" s="99">
        <f t="shared" si="10"/>
        <v>0</v>
      </c>
    </row>
    <row r="140" spans="2:23">
      <c r="B140" s="552"/>
      <c r="C140" s="553"/>
      <c r="D140" s="553"/>
      <c r="E140" s="553"/>
      <c r="F140" s="554"/>
      <c r="G140" s="122"/>
      <c r="H140" s="123"/>
      <c r="I140" s="99">
        <f t="shared" si="6"/>
        <v>0</v>
      </c>
      <c r="M140" s="552"/>
      <c r="N140" s="553"/>
      <c r="O140" s="553"/>
      <c r="P140" s="553"/>
      <c r="Q140" s="554"/>
      <c r="R140" s="122"/>
      <c r="S140" s="123"/>
      <c r="T140" s="99">
        <f t="shared" si="10"/>
        <v>0</v>
      </c>
    </row>
    <row r="141" spans="2:23" ht="15" customHeight="1" thickBot="1">
      <c r="B141" s="552"/>
      <c r="C141" s="553"/>
      <c r="D141" s="553"/>
      <c r="E141" s="553"/>
      <c r="F141" s="554"/>
      <c r="G141" s="122"/>
      <c r="H141" s="123"/>
      <c r="I141" s="99">
        <f t="shared" si="6"/>
        <v>0</v>
      </c>
      <c r="M141" s="552"/>
      <c r="N141" s="553"/>
      <c r="O141" s="553"/>
      <c r="P141" s="553"/>
      <c r="Q141" s="554"/>
      <c r="R141" s="122"/>
      <c r="S141" s="123"/>
      <c r="T141" s="99">
        <f t="shared" si="10"/>
        <v>0</v>
      </c>
    </row>
    <row r="142" spans="2:23" ht="15.75" customHeight="1">
      <c r="B142" s="552"/>
      <c r="C142" s="553"/>
      <c r="D142" s="553"/>
      <c r="E142" s="553"/>
      <c r="F142" s="554"/>
      <c r="G142" s="122"/>
      <c r="H142" s="123"/>
      <c r="I142" s="99">
        <f t="shared" si="6"/>
        <v>0</v>
      </c>
      <c r="J142" s="499" t="s">
        <v>275</v>
      </c>
      <c r="K142" s="500"/>
      <c r="L142" s="501"/>
      <c r="M142" s="552"/>
      <c r="N142" s="553"/>
      <c r="O142" s="553"/>
      <c r="P142" s="553"/>
      <c r="Q142" s="554"/>
      <c r="R142" s="122"/>
      <c r="S142" s="123"/>
      <c r="T142" s="99">
        <f t="shared" si="10"/>
        <v>0</v>
      </c>
      <c r="U142" s="499" t="s">
        <v>275</v>
      </c>
      <c r="V142" s="500"/>
      <c r="W142" s="501"/>
    </row>
    <row r="143" spans="2:23" ht="15" customHeight="1" thickBot="1">
      <c r="B143" s="557" t="s">
        <v>2</v>
      </c>
      <c r="C143" s="558"/>
      <c r="D143" s="558"/>
      <c r="E143" s="558"/>
      <c r="F143" s="559"/>
      <c r="G143" s="149">
        <v>1</v>
      </c>
      <c r="H143" s="150">
        <v>950000</v>
      </c>
      <c r="I143" s="100">
        <f t="shared" si="6"/>
        <v>950000</v>
      </c>
      <c r="J143" s="502"/>
      <c r="K143" s="503"/>
      <c r="L143" s="504"/>
      <c r="M143" s="557" t="s">
        <v>2</v>
      </c>
      <c r="N143" s="558"/>
      <c r="O143" s="558"/>
      <c r="P143" s="558"/>
      <c r="Q143" s="559"/>
      <c r="R143" s="149">
        <v>1</v>
      </c>
      <c r="S143" s="150">
        <v>950000</v>
      </c>
      <c r="T143" s="100">
        <f t="shared" si="10"/>
        <v>950000</v>
      </c>
      <c r="U143" s="502"/>
      <c r="V143" s="503"/>
      <c r="W143" s="504"/>
    </row>
    <row r="144" spans="2:23" ht="15.75" customHeight="1">
      <c r="B144" s="555" t="s">
        <v>22</v>
      </c>
      <c r="C144" s="556"/>
      <c r="D144" s="556"/>
      <c r="E144" s="556"/>
      <c r="F144" s="556"/>
      <c r="G144" s="122"/>
      <c r="H144" s="123">
        <v>650000</v>
      </c>
      <c r="I144" s="99">
        <f t="shared" si="6"/>
        <v>0</v>
      </c>
      <c r="J144" s="491">
        <f>SUM(I134:I145)</f>
        <v>3050000</v>
      </c>
      <c r="K144" s="492"/>
      <c r="L144" s="493"/>
      <c r="M144" s="555" t="s">
        <v>22</v>
      </c>
      <c r="N144" s="556"/>
      <c r="O144" s="556"/>
      <c r="P144" s="556"/>
      <c r="Q144" s="556"/>
      <c r="R144" s="122"/>
      <c r="S144" s="123">
        <v>650000</v>
      </c>
      <c r="T144" s="99">
        <f t="shared" si="10"/>
        <v>0</v>
      </c>
      <c r="U144" s="491">
        <f>SUM(T134:T145)</f>
        <v>1850000</v>
      </c>
      <c r="V144" s="492"/>
      <c r="W144" s="493"/>
    </row>
    <row r="145" spans="2:23" ht="15.75" customHeight="1" thickBot="1">
      <c r="B145" s="555" t="s">
        <v>21</v>
      </c>
      <c r="C145" s="556"/>
      <c r="D145" s="556"/>
      <c r="E145" s="556"/>
      <c r="F145" s="556"/>
      <c r="G145" s="122"/>
      <c r="H145" s="123">
        <v>300000</v>
      </c>
      <c r="I145" s="99">
        <f t="shared" si="6"/>
        <v>0</v>
      </c>
      <c r="J145" s="494"/>
      <c r="K145" s="495"/>
      <c r="L145" s="496"/>
      <c r="M145" s="555" t="s">
        <v>21</v>
      </c>
      <c r="N145" s="556"/>
      <c r="O145" s="556"/>
      <c r="P145" s="556"/>
      <c r="Q145" s="556"/>
      <c r="R145" s="122">
        <v>1</v>
      </c>
      <c r="S145" s="123">
        <v>300000</v>
      </c>
      <c r="T145" s="99">
        <f t="shared" si="10"/>
        <v>300000</v>
      </c>
      <c r="U145" s="494"/>
      <c r="V145" s="495"/>
      <c r="W145" s="496"/>
    </row>
    <row r="146" spans="2:23" ht="14.4" thickBot="1">
      <c r="B146" s="560" t="s">
        <v>334</v>
      </c>
      <c r="C146" s="561"/>
      <c r="D146" s="561"/>
      <c r="E146" s="561"/>
      <c r="F146" s="561"/>
      <c r="G146" s="561"/>
      <c r="H146" s="561"/>
      <c r="I146" s="562"/>
      <c r="J146" s="151"/>
      <c r="K146" s="132"/>
      <c r="L146" s="132"/>
      <c r="M146" s="560" t="s">
        <v>334</v>
      </c>
      <c r="N146" s="561"/>
      <c r="O146" s="561"/>
      <c r="P146" s="561"/>
      <c r="Q146" s="561"/>
      <c r="R146" s="561"/>
      <c r="S146" s="561"/>
      <c r="T146" s="562"/>
      <c r="U146" s="151"/>
      <c r="V146" s="132"/>
      <c r="W146" s="132"/>
    </row>
    <row r="147" spans="2:23" ht="14.4" thickBot="1">
      <c r="B147" s="560" t="s">
        <v>267</v>
      </c>
      <c r="C147" s="561"/>
      <c r="D147" s="561"/>
      <c r="E147" s="561"/>
      <c r="F147" s="561"/>
      <c r="G147" s="152" t="s">
        <v>266</v>
      </c>
      <c r="H147" s="152" t="s">
        <v>0</v>
      </c>
      <c r="I147" s="106" t="s">
        <v>265</v>
      </c>
      <c r="J147" s="151"/>
      <c r="K147" s="132"/>
      <c r="L147" s="132"/>
      <c r="M147" s="560" t="s">
        <v>267</v>
      </c>
      <c r="N147" s="561"/>
      <c r="O147" s="561"/>
      <c r="P147" s="561"/>
      <c r="Q147" s="561"/>
      <c r="R147" s="152" t="s">
        <v>266</v>
      </c>
      <c r="S147" s="152" t="s">
        <v>0</v>
      </c>
      <c r="T147" s="106" t="s">
        <v>265</v>
      </c>
      <c r="U147" s="151"/>
      <c r="V147" s="132"/>
      <c r="W147" s="132"/>
    </row>
    <row r="148" spans="2:23" ht="15" customHeight="1">
      <c r="B148" s="563" t="s">
        <v>8</v>
      </c>
      <c r="C148" s="564"/>
      <c r="D148" s="564"/>
      <c r="E148" s="564"/>
      <c r="F148" s="564"/>
      <c r="G148" s="122">
        <v>12</v>
      </c>
      <c r="H148" s="123">
        <v>120000</v>
      </c>
      <c r="I148" s="99">
        <f t="shared" si="6"/>
        <v>1440000</v>
      </c>
      <c r="J148" s="499" t="s">
        <v>275</v>
      </c>
      <c r="K148" s="500"/>
      <c r="L148" s="501"/>
      <c r="M148" s="563" t="s">
        <v>8</v>
      </c>
      <c r="N148" s="564"/>
      <c r="O148" s="564"/>
      <c r="P148" s="564"/>
      <c r="Q148" s="564"/>
      <c r="R148" s="122">
        <v>12</v>
      </c>
      <c r="S148" s="123">
        <v>120000</v>
      </c>
      <c r="T148" s="99">
        <f t="shared" ref="T148:T151" si="11">R148*S148</f>
        <v>1440000</v>
      </c>
      <c r="U148" s="499" t="s">
        <v>275</v>
      </c>
      <c r="V148" s="500"/>
      <c r="W148" s="501"/>
    </row>
    <row r="149" spans="2:23" ht="15.75" customHeight="1" thickBot="1">
      <c r="B149" s="563" t="s">
        <v>9</v>
      </c>
      <c r="C149" s="564"/>
      <c r="D149" s="564"/>
      <c r="E149" s="564"/>
      <c r="F149" s="564"/>
      <c r="G149" s="122"/>
      <c r="H149" s="123">
        <v>600000</v>
      </c>
      <c r="I149" s="99">
        <f t="shared" si="6"/>
        <v>0</v>
      </c>
      <c r="J149" s="502"/>
      <c r="K149" s="503"/>
      <c r="L149" s="504"/>
      <c r="M149" s="563" t="s">
        <v>9</v>
      </c>
      <c r="N149" s="564"/>
      <c r="O149" s="564"/>
      <c r="P149" s="564"/>
      <c r="Q149" s="564"/>
      <c r="R149" s="122"/>
      <c r="S149" s="123">
        <v>750000</v>
      </c>
      <c r="T149" s="99">
        <f t="shared" si="11"/>
        <v>0</v>
      </c>
      <c r="U149" s="502"/>
      <c r="V149" s="503"/>
      <c r="W149" s="504"/>
    </row>
    <row r="150" spans="2:23" ht="15" customHeight="1">
      <c r="B150" s="563" t="s">
        <v>335</v>
      </c>
      <c r="C150" s="564"/>
      <c r="D150" s="564"/>
      <c r="E150" s="564"/>
      <c r="F150" s="564"/>
      <c r="G150" s="122">
        <v>1</v>
      </c>
      <c r="H150" s="123">
        <v>100000</v>
      </c>
      <c r="I150" s="99">
        <f t="shared" si="6"/>
        <v>100000</v>
      </c>
      <c r="J150" s="491">
        <f>SUM(I148:I151)</f>
        <v>1540000</v>
      </c>
      <c r="K150" s="492"/>
      <c r="L150" s="493"/>
      <c r="M150" s="563" t="s">
        <v>335</v>
      </c>
      <c r="N150" s="564"/>
      <c r="O150" s="564"/>
      <c r="P150" s="564"/>
      <c r="Q150" s="564"/>
      <c r="R150" s="122">
        <v>1</v>
      </c>
      <c r="S150" s="123">
        <v>100000</v>
      </c>
      <c r="T150" s="99">
        <f t="shared" si="11"/>
        <v>100000</v>
      </c>
      <c r="U150" s="491">
        <f>SUM(T148:T151)</f>
        <v>1540000</v>
      </c>
      <c r="V150" s="492"/>
      <c r="W150" s="493"/>
    </row>
    <row r="151" spans="2:23" ht="15.75" customHeight="1" thickBot="1">
      <c r="B151" s="583" t="s">
        <v>336</v>
      </c>
      <c r="C151" s="584"/>
      <c r="D151" s="584"/>
      <c r="E151" s="584"/>
      <c r="F151" s="584"/>
      <c r="G151" s="153"/>
      <c r="H151" s="154">
        <v>300000</v>
      </c>
      <c r="I151" s="107">
        <f t="shared" si="6"/>
        <v>0</v>
      </c>
      <c r="J151" s="494"/>
      <c r="K151" s="495"/>
      <c r="L151" s="496"/>
      <c r="M151" s="583" t="s">
        <v>336</v>
      </c>
      <c r="N151" s="584"/>
      <c r="O151" s="584"/>
      <c r="P151" s="584"/>
      <c r="Q151" s="584"/>
      <c r="R151" s="153"/>
      <c r="S151" s="154">
        <v>300000</v>
      </c>
      <c r="T151" s="107">
        <f t="shared" si="11"/>
        <v>0</v>
      </c>
      <c r="U151" s="494"/>
      <c r="V151" s="495"/>
      <c r="W151" s="496"/>
    </row>
    <row r="152" spans="2:23" ht="15" customHeight="1">
      <c r="B152" s="565" t="s">
        <v>388</v>
      </c>
      <c r="C152" s="566"/>
      <c r="D152" s="566"/>
      <c r="E152" s="566"/>
      <c r="F152" s="566"/>
      <c r="G152" s="566"/>
      <c r="H152" s="566"/>
      <c r="I152" s="567"/>
      <c r="J152" s="574">
        <f>SUM(J150,J144,J130,J111,J97,J82,J68)</f>
        <v>16272500</v>
      </c>
      <c r="K152" s="575"/>
      <c r="L152" s="576"/>
      <c r="M152" s="565" t="s">
        <v>392</v>
      </c>
      <c r="N152" s="566"/>
      <c r="O152" s="566"/>
      <c r="P152" s="566"/>
      <c r="Q152" s="566"/>
      <c r="R152" s="566"/>
      <c r="S152" s="566"/>
      <c r="T152" s="567"/>
      <c r="U152" s="574">
        <f>SUM(U150,U144,U130,U111,U97,U82,U68)</f>
        <v>15184000</v>
      </c>
      <c r="V152" s="575"/>
      <c r="W152" s="576"/>
    </row>
    <row r="153" spans="2:23" ht="15" customHeight="1">
      <c r="B153" s="568"/>
      <c r="C153" s="569"/>
      <c r="D153" s="569"/>
      <c r="E153" s="569"/>
      <c r="F153" s="569"/>
      <c r="G153" s="569"/>
      <c r="H153" s="569"/>
      <c r="I153" s="570"/>
      <c r="J153" s="577"/>
      <c r="K153" s="578"/>
      <c r="L153" s="579"/>
      <c r="M153" s="568"/>
      <c r="N153" s="569"/>
      <c r="O153" s="569"/>
      <c r="P153" s="569"/>
      <c r="Q153" s="569"/>
      <c r="R153" s="569"/>
      <c r="S153" s="569"/>
      <c r="T153" s="570"/>
      <c r="U153" s="577"/>
      <c r="V153" s="578"/>
      <c r="W153" s="579"/>
    </row>
    <row r="154" spans="2:23" ht="15.75" customHeight="1" thickBot="1">
      <c r="B154" s="571"/>
      <c r="C154" s="572"/>
      <c r="D154" s="572"/>
      <c r="E154" s="572"/>
      <c r="F154" s="572"/>
      <c r="G154" s="572"/>
      <c r="H154" s="572"/>
      <c r="I154" s="573"/>
      <c r="J154" s="580"/>
      <c r="K154" s="581"/>
      <c r="L154" s="582"/>
      <c r="M154" s="571"/>
      <c r="N154" s="572"/>
      <c r="O154" s="572"/>
      <c r="P154" s="572"/>
      <c r="Q154" s="572"/>
      <c r="R154" s="572"/>
      <c r="S154" s="572"/>
      <c r="T154" s="573"/>
      <c r="U154" s="580"/>
      <c r="V154" s="581"/>
      <c r="W154" s="582"/>
    </row>
    <row r="155" spans="2:23">
      <c r="B155" s="475" t="s">
        <v>397</v>
      </c>
      <c r="C155" s="476"/>
      <c r="D155" s="476"/>
      <c r="E155" s="476"/>
      <c r="F155" s="476"/>
      <c r="G155" s="476"/>
      <c r="H155" s="476"/>
      <c r="I155" s="477"/>
      <c r="M155" s="475" t="s">
        <v>398</v>
      </c>
      <c r="N155" s="476"/>
      <c r="O155" s="476"/>
      <c r="P155" s="476"/>
      <c r="Q155" s="476"/>
      <c r="R155" s="476"/>
      <c r="S155" s="476"/>
      <c r="T155" s="477"/>
    </row>
    <row r="156" spans="2:23">
      <c r="B156" s="478"/>
      <c r="C156" s="479"/>
      <c r="D156" s="479"/>
      <c r="E156" s="479"/>
      <c r="F156" s="479"/>
      <c r="G156" s="479"/>
      <c r="H156" s="479"/>
      <c r="I156" s="480"/>
      <c r="M156" s="478"/>
      <c r="N156" s="479"/>
      <c r="O156" s="479"/>
      <c r="P156" s="479"/>
      <c r="Q156" s="479"/>
      <c r="R156" s="479"/>
      <c r="S156" s="479"/>
      <c r="T156" s="480"/>
    </row>
    <row r="157" spans="2:23" ht="14.4" thickBot="1">
      <c r="B157" s="481"/>
      <c r="C157" s="482"/>
      <c r="D157" s="482"/>
      <c r="E157" s="482"/>
      <c r="F157" s="482"/>
      <c r="G157" s="482"/>
      <c r="H157" s="482"/>
      <c r="I157" s="483"/>
      <c r="M157" s="481"/>
      <c r="N157" s="482"/>
      <c r="O157" s="482"/>
      <c r="P157" s="482"/>
      <c r="Q157" s="482"/>
      <c r="R157" s="482"/>
      <c r="S157" s="482"/>
      <c r="T157" s="483"/>
      <c r="W157" s="93">
        <v>20</v>
      </c>
    </row>
    <row r="158" spans="2:23" ht="14.4" thickBot="1">
      <c r="B158" s="467" t="s">
        <v>262</v>
      </c>
      <c r="C158" s="468"/>
      <c r="D158" s="468"/>
      <c r="E158" s="468"/>
      <c r="F158" s="468"/>
      <c r="G158" s="468"/>
      <c r="H158" s="468"/>
      <c r="I158" s="484"/>
      <c r="M158" s="467" t="s">
        <v>262</v>
      </c>
      <c r="N158" s="468"/>
      <c r="O158" s="468"/>
      <c r="P158" s="468"/>
      <c r="Q158" s="468"/>
      <c r="R158" s="468"/>
      <c r="S158" s="468"/>
      <c r="T158" s="484"/>
      <c r="V158" s="93" t="s">
        <v>410</v>
      </c>
    </row>
    <row r="159" spans="2:23" ht="14.4" thickBot="1">
      <c r="B159" s="467" t="s">
        <v>267</v>
      </c>
      <c r="C159" s="468"/>
      <c r="D159" s="468"/>
      <c r="E159" s="468"/>
      <c r="F159" s="468"/>
      <c r="G159" s="114" t="s">
        <v>266</v>
      </c>
      <c r="H159" s="114" t="s">
        <v>0</v>
      </c>
      <c r="I159" s="97" t="s">
        <v>265</v>
      </c>
      <c r="M159" s="467" t="s">
        <v>267</v>
      </c>
      <c r="N159" s="468"/>
      <c r="O159" s="468"/>
      <c r="P159" s="468"/>
      <c r="Q159" s="468"/>
      <c r="R159" s="114" t="s">
        <v>266</v>
      </c>
      <c r="S159" s="114" t="s">
        <v>0</v>
      </c>
      <c r="T159" s="97" t="s">
        <v>265</v>
      </c>
    </row>
    <row r="160" spans="2:23">
      <c r="B160" s="469" t="s">
        <v>13</v>
      </c>
      <c r="C160" s="470"/>
      <c r="D160" s="470"/>
      <c r="E160" s="471"/>
      <c r="F160" s="115">
        <v>1</v>
      </c>
      <c r="G160" s="116"/>
      <c r="H160" s="117">
        <f>$I$4</f>
        <v>160000</v>
      </c>
      <c r="I160" s="98">
        <f>F160*G160*H160</f>
        <v>0</v>
      </c>
      <c r="M160" s="469" t="s">
        <v>13</v>
      </c>
      <c r="N160" s="470"/>
      <c r="O160" s="470"/>
      <c r="P160" s="471"/>
      <c r="Q160" s="115">
        <v>1</v>
      </c>
      <c r="R160" s="116"/>
      <c r="S160" s="117">
        <f>$I$4</f>
        <v>160000</v>
      </c>
      <c r="T160" s="98">
        <f>Q160*R160*S160</f>
        <v>0</v>
      </c>
    </row>
    <row r="161" spans="2:23">
      <c r="B161" s="118" t="s">
        <v>261</v>
      </c>
      <c r="C161" s="119"/>
      <c r="D161" s="119"/>
      <c r="E161" s="120"/>
      <c r="F161" s="121">
        <v>1</v>
      </c>
      <c r="G161" s="122"/>
      <c r="H161" s="123">
        <f>$I$5</f>
        <v>165000</v>
      </c>
      <c r="I161" s="99"/>
      <c r="M161" s="118" t="s">
        <v>261</v>
      </c>
      <c r="N161" s="119"/>
      <c r="O161" s="119"/>
      <c r="P161" s="120"/>
      <c r="Q161" s="121">
        <v>1</v>
      </c>
      <c r="R161" s="122"/>
      <c r="S161" s="123">
        <f>$I$5</f>
        <v>165000</v>
      </c>
      <c r="T161" s="99"/>
    </row>
    <row r="162" spans="2:23">
      <c r="B162" s="472" t="s">
        <v>14</v>
      </c>
      <c r="C162" s="473"/>
      <c r="D162" s="473"/>
      <c r="E162" s="474"/>
      <c r="F162" s="121">
        <v>1</v>
      </c>
      <c r="G162" s="122"/>
      <c r="H162" s="123">
        <f>$I$6</f>
        <v>140000</v>
      </c>
      <c r="I162" s="99">
        <f>F162*G162*H162</f>
        <v>0</v>
      </c>
      <c r="M162" s="472" t="s">
        <v>14</v>
      </c>
      <c r="N162" s="473"/>
      <c r="O162" s="473"/>
      <c r="P162" s="474"/>
      <c r="Q162" s="121">
        <v>1</v>
      </c>
      <c r="R162" s="122"/>
      <c r="S162" s="123">
        <f>$I$6</f>
        <v>140000</v>
      </c>
      <c r="T162" s="99">
        <f>Q162*R162*S162</f>
        <v>0</v>
      </c>
    </row>
    <row r="163" spans="2:23">
      <c r="B163" s="472" t="s">
        <v>23</v>
      </c>
      <c r="C163" s="473"/>
      <c r="D163" s="473"/>
      <c r="E163" s="474"/>
      <c r="F163" s="121">
        <v>1</v>
      </c>
      <c r="G163" s="122"/>
      <c r="H163" s="123">
        <f>$I$7</f>
        <v>150000</v>
      </c>
      <c r="I163" s="99">
        <f>F163*G163*H163</f>
        <v>0</v>
      </c>
      <c r="M163" s="472" t="s">
        <v>23</v>
      </c>
      <c r="N163" s="473"/>
      <c r="O163" s="473"/>
      <c r="P163" s="474"/>
      <c r="Q163" s="121">
        <v>1</v>
      </c>
      <c r="R163" s="122"/>
      <c r="S163" s="123">
        <f>$I$7</f>
        <v>150000</v>
      </c>
      <c r="T163" s="99">
        <f>Q163*R163*S163</f>
        <v>0</v>
      </c>
    </row>
    <row r="164" spans="2:23">
      <c r="B164" s="472"/>
      <c r="C164" s="473"/>
      <c r="D164" s="473"/>
      <c r="E164" s="474"/>
      <c r="F164" s="121"/>
      <c r="G164" s="122"/>
      <c r="H164" s="123"/>
      <c r="I164" s="99">
        <f>F164*G164*H164</f>
        <v>0</v>
      </c>
      <c r="M164" s="472"/>
      <c r="N164" s="473"/>
      <c r="O164" s="473"/>
      <c r="P164" s="474"/>
      <c r="Q164" s="121"/>
      <c r="R164" s="122"/>
      <c r="S164" s="123"/>
      <c r="T164" s="99">
        <f>Q164*R164*S164</f>
        <v>0</v>
      </c>
    </row>
    <row r="165" spans="2:23">
      <c r="B165" s="485" t="s">
        <v>18</v>
      </c>
      <c r="C165" s="486"/>
      <c r="D165" s="486"/>
      <c r="E165" s="486"/>
      <c r="F165" s="487"/>
      <c r="G165" s="122"/>
      <c r="H165" s="123">
        <f>$I$8</f>
        <v>12800</v>
      </c>
      <c r="I165" s="99">
        <f>G165*H165</f>
        <v>0</v>
      </c>
      <c r="M165" s="485" t="s">
        <v>18</v>
      </c>
      <c r="N165" s="486"/>
      <c r="O165" s="486"/>
      <c r="P165" s="486"/>
      <c r="Q165" s="487"/>
      <c r="R165" s="122"/>
      <c r="S165" s="123">
        <f>$I$8</f>
        <v>12800</v>
      </c>
      <c r="T165" s="99">
        <f>R165*S165</f>
        <v>0</v>
      </c>
    </row>
    <row r="166" spans="2:23">
      <c r="B166" s="485" t="s">
        <v>19</v>
      </c>
      <c r="C166" s="486"/>
      <c r="D166" s="486"/>
      <c r="E166" s="486"/>
      <c r="F166" s="487"/>
      <c r="G166" s="122"/>
      <c r="H166" s="123">
        <f>$I$9</f>
        <v>11100</v>
      </c>
      <c r="I166" s="99">
        <f>G166*H166</f>
        <v>0</v>
      </c>
      <c r="M166" s="485" t="s">
        <v>19</v>
      </c>
      <c r="N166" s="486"/>
      <c r="O166" s="486"/>
      <c r="P166" s="486"/>
      <c r="Q166" s="487"/>
      <c r="R166" s="122"/>
      <c r="S166" s="123">
        <f>$I$9</f>
        <v>11100</v>
      </c>
      <c r="T166" s="99">
        <f>R166*S166</f>
        <v>0</v>
      </c>
    </row>
    <row r="167" spans="2:23">
      <c r="B167" s="488" t="s">
        <v>259</v>
      </c>
      <c r="C167" s="489"/>
      <c r="D167" s="489"/>
      <c r="E167" s="489"/>
      <c r="F167" s="490"/>
      <c r="G167" s="122"/>
      <c r="H167" s="123">
        <f>$I$10</f>
        <v>58</v>
      </c>
      <c r="I167" s="99">
        <f t="shared" ref="I167:I179" si="12">G167*H167</f>
        <v>0</v>
      </c>
      <c r="M167" s="488" t="s">
        <v>259</v>
      </c>
      <c r="N167" s="489"/>
      <c r="O167" s="489"/>
      <c r="P167" s="489"/>
      <c r="Q167" s="490"/>
      <c r="R167" s="122"/>
      <c r="S167" s="123">
        <f>$I$10</f>
        <v>58</v>
      </c>
      <c r="T167" s="99">
        <f t="shared" ref="T167:T179" si="13">R167*S167</f>
        <v>0</v>
      </c>
    </row>
    <row r="168" spans="2:23">
      <c r="B168" s="488" t="s">
        <v>260</v>
      </c>
      <c r="C168" s="489"/>
      <c r="D168" s="489"/>
      <c r="E168" s="489"/>
      <c r="F168" s="490"/>
      <c r="G168" s="122"/>
      <c r="H168" s="123">
        <f>$I$11</f>
        <v>35</v>
      </c>
      <c r="I168" s="99">
        <f t="shared" si="12"/>
        <v>0</v>
      </c>
      <c r="M168" s="488" t="s">
        <v>260</v>
      </c>
      <c r="N168" s="489"/>
      <c r="O168" s="489"/>
      <c r="P168" s="489"/>
      <c r="Q168" s="490"/>
      <c r="R168" s="122"/>
      <c r="S168" s="123">
        <f>$I$11</f>
        <v>35</v>
      </c>
      <c r="T168" s="99">
        <f t="shared" si="13"/>
        <v>0</v>
      </c>
    </row>
    <row r="169" spans="2:23">
      <c r="B169" s="488" t="s">
        <v>299</v>
      </c>
      <c r="C169" s="489"/>
      <c r="D169" s="489"/>
      <c r="E169" s="489"/>
      <c r="F169" s="490"/>
      <c r="G169" s="122"/>
      <c r="H169" s="123">
        <f>$I$12</f>
        <v>1250</v>
      </c>
      <c r="I169" s="99">
        <f t="shared" si="12"/>
        <v>0</v>
      </c>
      <c r="M169" s="488" t="s">
        <v>299</v>
      </c>
      <c r="N169" s="489"/>
      <c r="O169" s="489"/>
      <c r="P169" s="489"/>
      <c r="Q169" s="490"/>
      <c r="R169" s="122"/>
      <c r="S169" s="123">
        <f>$I$12</f>
        <v>1250</v>
      </c>
      <c r="T169" s="99">
        <f t="shared" si="13"/>
        <v>0</v>
      </c>
    </row>
    <row r="170" spans="2:23">
      <c r="B170" s="488" t="s">
        <v>300</v>
      </c>
      <c r="C170" s="489"/>
      <c r="D170" s="489"/>
      <c r="E170" s="489"/>
      <c r="F170" s="490"/>
      <c r="G170" s="122"/>
      <c r="H170" s="123">
        <f>$I$13</f>
        <v>1250</v>
      </c>
      <c r="I170" s="99">
        <f t="shared" si="12"/>
        <v>0</v>
      </c>
      <c r="M170" s="488" t="s">
        <v>300</v>
      </c>
      <c r="N170" s="489"/>
      <c r="O170" s="489"/>
      <c r="P170" s="489"/>
      <c r="Q170" s="490"/>
      <c r="R170" s="122"/>
      <c r="S170" s="123">
        <f>$I$13</f>
        <v>1250</v>
      </c>
      <c r="T170" s="99">
        <f t="shared" si="13"/>
        <v>0</v>
      </c>
    </row>
    <row r="171" spans="2:23">
      <c r="B171" s="488" t="s">
        <v>220</v>
      </c>
      <c r="C171" s="489"/>
      <c r="D171" s="489"/>
      <c r="E171" s="489"/>
      <c r="F171" s="490"/>
      <c r="G171" s="122"/>
      <c r="H171" s="123">
        <f>$I$14</f>
        <v>750</v>
      </c>
      <c r="I171" s="99">
        <f t="shared" si="12"/>
        <v>0</v>
      </c>
      <c r="M171" s="488" t="s">
        <v>220</v>
      </c>
      <c r="N171" s="489"/>
      <c r="O171" s="489"/>
      <c r="P171" s="489"/>
      <c r="Q171" s="490"/>
      <c r="R171" s="122"/>
      <c r="S171" s="123">
        <f>$I$14</f>
        <v>750</v>
      </c>
      <c r="T171" s="99">
        <f t="shared" si="13"/>
        <v>0</v>
      </c>
    </row>
    <row r="172" spans="2:23">
      <c r="B172" s="488" t="s">
        <v>268</v>
      </c>
      <c r="C172" s="489"/>
      <c r="D172" s="489"/>
      <c r="E172" s="489"/>
      <c r="F172" s="490"/>
      <c r="G172" s="122"/>
      <c r="H172" s="123">
        <f>$I$15</f>
        <v>175</v>
      </c>
      <c r="I172" s="99">
        <f t="shared" si="12"/>
        <v>0</v>
      </c>
      <c r="M172" s="488" t="s">
        <v>268</v>
      </c>
      <c r="N172" s="489"/>
      <c r="O172" s="489"/>
      <c r="P172" s="489"/>
      <c r="Q172" s="490"/>
      <c r="R172" s="122"/>
      <c r="S172" s="123">
        <f>$I$15</f>
        <v>175</v>
      </c>
      <c r="T172" s="99">
        <f t="shared" si="13"/>
        <v>0</v>
      </c>
    </row>
    <row r="173" spans="2:23">
      <c r="B173" s="488" t="s">
        <v>221</v>
      </c>
      <c r="C173" s="489"/>
      <c r="D173" s="489"/>
      <c r="E173" s="489"/>
      <c r="F173" s="490"/>
      <c r="G173" s="122"/>
      <c r="H173" s="123">
        <f>$I$16</f>
        <v>175</v>
      </c>
      <c r="I173" s="99">
        <f t="shared" si="12"/>
        <v>0</v>
      </c>
      <c r="M173" s="488" t="s">
        <v>221</v>
      </c>
      <c r="N173" s="489"/>
      <c r="O173" s="489"/>
      <c r="P173" s="489"/>
      <c r="Q173" s="490"/>
      <c r="R173" s="122"/>
      <c r="S173" s="123">
        <f>$I$16</f>
        <v>175</v>
      </c>
      <c r="T173" s="99">
        <f t="shared" si="13"/>
        <v>0</v>
      </c>
    </row>
    <row r="174" spans="2:23">
      <c r="B174" s="472" t="s">
        <v>222</v>
      </c>
      <c r="C174" s="473"/>
      <c r="D174" s="473"/>
      <c r="E174" s="473"/>
      <c r="F174" s="474"/>
      <c r="G174" s="122"/>
      <c r="H174" s="123">
        <f>$I$17</f>
        <v>90000</v>
      </c>
      <c r="I174" s="99">
        <f t="shared" si="12"/>
        <v>0</v>
      </c>
      <c r="M174" s="472" t="s">
        <v>222</v>
      </c>
      <c r="N174" s="473"/>
      <c r="O174" s="473"/>
      <c r="P174" s="473"/>
      <c r="Q174" s="474"/>
      <c r="R174" s="122"/>
      <c r="S174" s="123">
        <f>$I$17</f>
        <v>90000</v>
      </c>
      <c r="T174" s="99">
        <f t="shared" si="13"/>
        <v>0</v>
      </c>
    </row>
    <row r="175" spans="2:23" ht="14.4" thickBot="1">
      <c r="B175" s="485" t="s">
        <v>337</v>
      </c>
      <c r="C175" s="486"/>
      <c r="D175" s="486"/>
      <c r="E175" s="486"/>
      <c r="F175" s="487"/>
      <c r="G175" s="122"/>
      <c r="H175" s="123">
        <f>$I$18</f>
        <v>21000</v>
      </c>
      <c r="I175" s="99">
        <f t="shared" si="12"/>
        <v>0</v>
      </c>
      <c r="M175" s="485" t="s">
        <v>337</v>
      </c>
      <c r="N175" s="486"/>
      <c r="O175" s="486"/>
      <c r="P175" s="486"/>
      <c r="Q175" s="487"/>
      <c r="R175" s="122"/>
      <c r="S175" s="123">
        <f>$I$18</f>
        <v>21000</v>
      </c>
      <c r="T175" s="99">
        <f t="shared" si="13"/>
        <v>0</v>
      </c>
    </row>
    <row r="176" spans="2:23">
      <c r="B176" s="485" t="s">
        <v>269</v>
      </c>
      <c r="C176" s="486"/>
      <c r="D176" s="486"/>
      <c r="E176" s="486"/>
      <c r="F176" s="487"/>
      <c r="G176" s="122"/>
      <c r="H176" s="123">
        <f>$I$19</f>
        <v>40000</v>
      </c>
      <c r="I176" s="99">
        <f t="shared" si="12"/>
        <v>0</v>
      </c>
      <c r="J176" s="499" t="s">
        <v>275</v>
      </c>
      <c r="K176" s="500"/>
      <c r="L176" s="501"/>
      <c r="M176" s="485" t="s">
        <v>269</v>
      </c>
      <c r="N176" s="486"/>
      <c r="O176" s="486"/>
      <c r="P176" s="486"/>
      <c r="Q176" s="487"/>
      <c r="R176" s="122"/>
      <c r="S176" s="123">
        <f>$I$19</f>
        <v>40000</v>
      </c>
      <c r="T176" s="99">
        <f t="shared" si="13"/>
        <v>0</v>
      </c>
      <c r="U176" s="499" t="s">
        <v>275</v>
      </c>
      <c r="V176" s="500"/>
      <c r="W176" s="501"/>
    </row>
    <row r="177" spans="2:23" ht="14.4" thickBot="1">
      <c r="B177" s="485" t="s">
        <v>270</v>
      </c>
      <c r="C177" s="486"/>
      <c r="D177" s="486"/>
      <c r="E177" s="486"/>
      <c r="F177" s="487"/>
      <c r="G177" s="122"/>
      <c r="H177" s="123">
        <f>$I$20</f>
        <v>13000</v>
      </c>
      <c r="I177" s="99">
        <f t="shared" si="12"/>
        <v>0</v>
      </c>
      <c r="J177" s="502"/>
      <c r="K177" s="503"/>
      <c r="L177" s="504"/>
      <c r="M177" s="485" t="s">
        <v>270</v>
      </c>
      <c r="N177" s="486"/>
      <c r="O177" s="486"/>
      <c r="P177" s="486"/>
      <c r="Q177" s="487"/>
      <c r="R177" s="122"/>
      <c r="S177" s="123">
        <f>$I$20</f>
        <v>13000</v>
      </c>
      <c r="T177" s="99">
        <f t="shared" si="13"/>
        <v>0</v>
      </c>
      <c r="U177" s="502"/>
      <c r="V177" s="503"/>
      <c r="W177" s="504"/>
    </row>
    <row r="178" spans="2:23">
      <c r="B178" s="488" t="s">
        <v>385</v>
      </c>
      <c r="C178" s="489"/>
      <c r="D178" s="489"/>
      <c r="E178" s="489"/>
      <c r="F178" s="490"/>
      <c r="G178" s="122"/>
      <c r="H178" s="123"/>
      <c r="I178" s="99">
        <f t="shared" si="12"/>
        <v>0</v>
      </c>
      <c r="J178" s="491">
        <f>SUM(I160:I179)</f>
        <v>0</v>
      </c>
      <c r="K178" s="492"/>
      <c r="L178" s="493"/>
      <c r="M178" s="488"/>
      <c r="N178" s="489"/>
      <c r="O178" s="489"/>
      <c r="P178" s="489"/>
      <c r="Q178" s="490"/>
      <c r="R178" s="122"/>
      <c r="S178" s="123"/>
      <c r="T178" s="99">
        <f t="shared" si="13"/>
        <v>0</v>
      </c>
      <c r="U178" s="491">
        <f>SUM(T160:T179)</f>
        <v>0</v>
      </c>
      <c r="V178" s="492"/>
      <c r="W178" s="493"/>
    </row>
    <row r="179" spans="2:23" ht="14.4" thickBot="1">
      <c r="B179" s="497"/>
      <c r="C179" s="498"/>
      <c r="D179" s="498"/>
      <c r="E179" s="498"/>
      <c r="F179" s="498"/>
      <c r="G179" s="124"/>
      <c r="H179" s="125"/>
      <c r="I179" s="100">
        <f t="shared" si="12"/>
        <v>0</v>
      </c>
      <c r="J179" s="494"/>
      <c r="K179" s="495"/>
      <c r="L179" s="496"/>
      <c r="M179" s="497"/>
      <c r="N179" s="498"/>
      <c r="O179" s="498"/>
      <c r="P179" s="498"/>
      <c r="Q179" s="498"/>
      <c r="R179" s="124"/>
      <c r="S179" s="125"/>
      <c r="T179" s="100">
        <f t="shared" si="13"/>
        <v>0</v>
      </c>
      <c r="U179" s="494"/>
      <c r="V179" s="495"/>
      <c r="W179" s="496"/>
    </row>
    <row r="180" spans="2:23" ht="14.4" thickBot="1">
      <c r="B180" s="505" t="s">
        <v>271</v>
      </c>
      <c r="C180" s="506"/>
      <c r="D180" s="506"/>
      <c r="E180" s="506"/>
      <c r="F180" s="506"/>
      <c r="G180" s="506"/>
      <c r="H180" s="506"/>
      <c r="I180" s="507"/>
      <c r="M180" s="505" t="s">
        <v>271</v>
      </c>
      <c r="N180" s="506"/>
      <c r="O180" s="506"/>
      <c r="P180" s="506"/>
      <c r="Q180" s="506"/>
      <c r="R180" s="506"/>
      <c r="S180" s="506"/>
      <c r="T180" s="507"/>
    </row>
    <row r="181" spans="2:23" ht="14.4" thickBot="1">
      <c r="B181" s="467" t="s">
        <v>267</v>
      </c>
      <c r="C181" s="468"/>
      <c r="D181" s="468"/>
      <c r="E181" s="468"/>
      <c r="F181" s="468"/>
      <c r="G181" s="114" t="s">
        <v>266</v>
      </c>
      <c r="H181" s="114" t="s">
        <v>0</v>
      </c>
      <c r="I181" s="97" t="s">
        <v>265</v>
      </c>
      <c r="M181" s="467" t="s">
        <v>267</v>
      </c>
      <c r="N181" s="468"/>
      <c r="O181" s="468"/>
      <c r="P181" s="468"/>
      <c r="Q181" s="468"/>
      <c r="R181" s="114" t="s">
        <v>266</v>
      </c>
      <c r="S181" s="114" t="s">
        <v>0</v>
      </c>
      <c r="T181" s="97" t="s">
        <v>265</v>
      </c>
    </row>
    <row r="182" spans="2:23">
      <c r="B182" s="508" t="s">
        <v>272</v>
      </c>
      <c r="C182" s="509"/>
      <c r="D182" s="509"/>
      <c r="E182" s="509"/>
      <c r="F182" s="510"/>
      <c r="G182" s="116"/>
      <c r="H182" s="117">
        <f>$I$23</f>
        <v>220000</v>
      </c>
      <c r="I182" s="98">
        <f t="shared" ref="I182:I187" si="14">G182*H182</f>
        <v>0</v>
      </c>
      <c r="M182" s="508" t="s">
        <v>272</v>
      </c>
      <c r="N182" s="509"/>
      <c r="O182" s="509"/>
      <c r="P182" s="509"/>
      <c r="Q182" s="510"/>
      <c r="R182" s="116"/>
      <c r="S182" s="117">
        <f>$I$23</f>
        <v>220000</v>
      </c>
      <c r="T182" s="98">
        <f t="shared" ref="T182:T187" si="15">R182*S182</f>
        <v>0</v>
      </c>
    </row>
    <row r="183" spans="2:23">
      <c r="B183" s="485" t="s">
        <v>273</v>
      </c>
      <c r="C183" s="486"/>
      <c r="D183" s="486"/>
      <c r="E183" s="486"/>
      <c r="F183" s="487"/>
      <c r="G183" s="122"/>
      <c r="H183" s="117">
        <f>$I$26</f>
        <v>90000</v>
      </c>
      <c r="I183" s="99">
        <f t="shared" si="14"/>
        <v>0</v>
      </c>
      <c r="M183" s="485" t="s">
        <v>273</v>
      </c>
      <c r="N183" s="486"/>
      <c r="O183" s="486"/>
      <c r="P183" s="486"/>
      <c r="Q183" s="487"/>
      <c r="R183" s="122"/>
      <c r="S183" s="117">
        <f>$I$26</f>
        <v>90000</v>
      </c>
      <c r="T183" s="99">
        <f t="shared" si="15"/>
        <v>0</v>
      </c>
    </row>
    <row r="184" spans="2:23">
      <c r="B184" s="485" t="s">
        <v>224</v>
      </c>
      <c r="C184" s="486"/>
      <c r="D184" s="486"/>
      <c r="E184" s="486"/>
      <c r="F184" s="487"/>
      <c r="G184" s="122"/>
      <c r="H184" s="117">
        <f>$I$27</f>
        <v>60000</v>
      </c>
      <c r="I184" s="99">
        <f t="shared" si="14"/>
        <v>0</v>
      </c>
      <c r="M184" s="485" t="s">
        <v>224</v>
      </c>
      <c r="N184" s="486"/>
      <c r="O184" s="486"/>
      <c r="P184" s="486"/>
      <c r="Q184" s="487"/>
      <c r="R184" s="122"/>
      <c r="S184" s="117">
        <f>$I$27</f>
        <v>60000</v>
      </c>
      <c r="T184" s="99">
        <f t="shared" si="15"/>
        <v>0</v>
      </c>
    </row>
    <row r="185" spans="2:23">
      <c r="B185" s="485" t="s">
        <v>274</v>
      </c>
      <c r="C185" s="486"/>
      <c r="D185" s="486"/>
      <c r="E185" s="486"/>
      <c r="F185" s="487"/>
      <c r="G185" s="122"/>
      <c r="H185" s="117">
        <f>$I$26</f>
        <v>90000</v>
      </c>
      <c r="I185" s="99">
        <f t="shared" si="14"/>
        <v>0</v>
      </c>
      <c r="M185" s="485" t="s">
        <v>274</v>
      </c>
      <c r="N185" s="486"/>
      <c r="O185" s="486"/>
      <c r="P185" s="486"/>
      <c r="Q185" s="487"/>
      <c r="R185" s="122"/>
      <c r="S185" s="117">
        <f>$I$26</f>
        <v>90000</v>
      </c>
      <c r="T185" s="99">
        <f t="shared" si="15"/>
        <v>0</v>
      </c>
    </row>
    <row r="186" spans="2:23">
      <c r="B186" s="485" t="s">
        <v>226</v>
      </c>
      <c r="C186" s="486"/>
      <c r="D186" s="486"/>
      <c r="E186" s="486"/>
      <c r="F186" s="487"/>
      <c r="G186" s="122"/>
      <c r="H186" s="117"/>
      <c r="I186" s="99">
        <f t="shared" si="14"/>
        <v>0</v>
      </c>
      <c r="M186" s="485" t="s">
        <v>226</v>
      </c>
      <c r="N186" s="486"/>
      <c r="O186" s="486"/>
      <c r="P186" s="486"/>
      <c r="Q186" s="487"/>
      <c r="R186" s="122"/>
      <c r="S186" s="117"/>
      <c r="T186" s="99">
        <f t="shared" si="15"/>
        <v>0</v>
      </c>
    </row>
    <row r="187" spans="2:23">
      <c r="B187" s="126" t="s">
        <v>227</v>
      </c>
      <c r="C187" s="127"/>
      <c r="D187" s="127"/>
      <c r="E187" s="127"/>
      <c r="F187" s="128"/>
      <c r="G187" s="122"/>
      <c r="H187" s="117"/>
      <c r="I187" s="99">
        <f t="shared" si="14"/>
        <v>0</v>
      </c>
      <c r="M187" s="126" t="s">
        <v>227</v>
      </c>
      <c r="N187" s="127"/>
      <c r="O187" s="127"/>
      <c r="P187" s="127"/>
      <c r="Q187" s="128"/>
      <c r="R187" s="122"/>
      <c r="S187" s="117"/>
      <c r="T187" s="99">
        <f t="shared" si="15"/>
        <v>0</v>
      </c>
    </row>
    <row r="188" spans="2:23">
      <c r="B188" s="126" t="s">
        <v>225</v>
      </c>
      <c r="C188" s="127"/>
      <c r="D188" s="127"/>
      <c r="E188" s="127"/>
      <c r="F188" s="128"/>
      <c r="G188" s="122"/>
      <c r="H188" s="117"/>
      <c r="I188" s="99"/>
      <c r="M188" s="126" t="s">
        <v>225</v>
      </c>
      <c r="N188" s="127"/>
      <c r="O188" s="127"/>
      <c r="P188" s="127"/>
      <c r="Q188" s="128"/>
      <c r="R188" s="122"/>
      <c r="S188" s="117"/>
      <c r="T188" s="99"/>
    </row>
    <row r="189" spans="2:23" ht="14.4" thickBot="1">
      <c r="B189" s="126"/>
      <c r="C189" s="127"/>
      <c r="D189" s="127"/>
      <c r="E189" s="127"/>
      <c r="F189" s="128"/>
      <c r="G189" s="122"/>
      <c r="H189" s="123"/>
      <c r="I189" s="99">
        <f t="shared" ref="I189:I193" si="16">G189*H189</f>
        <v>0</v>
      </c>
      <c r="M189" s="126"/>
      <c r="N189" s="127"/>
      <c r="O189" s="127"/>
      <c r="P189" s="127"/>
      <c r="Q189" s="128"/>
      <c r="R189" s="122"/>
      <c r="S189" s="123"/>
      <c r="T189" s="99">
        <f t="shared" ref="T189:T193" si="17">R189*S189</f>
        <v>0</v>
      </c>
    </row>
    <row r="190" spans="2:23">
      <c r="B190" s="485"/>
      <c r="C190" s="486"/>
      <c r="D190" s="486"/>
      <c r="E190" s="486"/>
      <c r="F190" s="487"/>
      <c r="G190" s="122"/>
      <c r="H190" s="123"/>
      <c r="I190" s="99">
        <f t="shared" si="16"/>
        <v>0</v>
      </c>
      <c r="J190" s="499" t="s">
        <v>275</v>
      </c>
      <c r="K190" s="500"/>
      <c r="L190" s="501"/>
      <c r="M190" s="485"/>
      <c r="N190" s="486"/>
      <c r="O190" s="486"/>
      <c r="P190" s="486"/>
      <c r="Q190" s="487"/>
      <c r="R190" s="122"/>
      <c r="S190" s="123"/>
      <c r="T190" s="99">
        <f t="shared" si="17"/>
        <v>0</v>
      </c>
      <c r="U190" s="499" t="s">
        <v>275</v>
      </c>
      <c r="V190" s="500"/>
      <c r="W190" s="501"/>
    </row>
    <row r="191" spans="2:23" ht="14.4" thickBot="1">
      <c r="B191" s="485"/>
      <c r="C191" s="486"/>
      <c r="D191" s="486"/>
      <c r="E191" s="486"/>
      <c r="F191" s="487"/>
      <c r="G191" s="122"/>
      <c r="H191" s="123"/>
      <c r="I191" s="99">
        <f t="shared" si="16"/>
        <v>0</v>
      </c>
      <c r="J191" s="502"/>
      <c r="K191" s="503"/>
      <c r="L191" s="504"/>
      <c r="M191" s="485"/>
      <c r="N191" s="486"/>
      <c r="O191" s="486"/>
      <c r="P191" s="486"/>
      <c r="Q191" s="487"/>
      <c r="R191" s="122"/>
      <c r="S191" s="123"/>
      <c r="T191" s="99">
        <f t="shared" si="17"/>
        <v>0</v>
      </c>
      <c r="U191" s="502"/>
      <c r="V191" s="503"/>
      <c r="W191" s="504"/>
    </row>
    <row r="192" spans="2:23">
      <c r="B192" s="485"/>
      <c r="C192" s="486"/>
      <c r="D192" s="486"/>
      <c r="E192" s="486"/>
      <c r="F192" s="487"/>
      <c r="G192" s="122"/>
      <c r="H192" s="123"/>
      <c r="I192" s="99">
        <f t="shared" si="16"/>
        <v>0</v>
      </c>
      <c r="J192" s="491">
        <f>SUM(I182:I193)</f>
        <v>0</v>
      </c>
      <c r="K192" s="492"/>
      <c r="L192" s="493"/>
      <c r="M192" s="485"/>
      <c r="N192" s="486"/>
      <c r="O192" s="486"/>
      <c r="P192" s="486"/>
      <c r="Q192" s="487"/>
      <c r="R192" s="122"/>
      <c r="S192" s="123"/>
      <c r="T192" s="99">
        <f t="shared" si="17"/>
        <v>0</v>
      </c>
      <c r="U192" s="491">
        <f>SUM(T182:T193)</f>
        <v>0</v>
      </c>
      <c r="V192" s="492"/>
      <c r="W192" s="493"/>
    </row>
    <row r="193" spans="2:23" ht="14.4" thickBot="1">
      <c r="B193" s="129"/>
      <c r="C193" s="130"/>
      <c r="D193" s="130"/>
      <c r="E193" s="130"/>
      <c r="F193" s="131"/>
      <c r="G193" s="124"/>
      <c r="H193" s="125"/>
      <c r="I193" s="100">
        <f t="shared" si="16"/>
        <v>0</v>
      </c>
      <c r="J193" s="494"/>
      <c r="K193" s="495"/>
      <c r="L193" s="496"/>
      <c r="M193" s="129"/>
      <c r="N193" s="130"/>
      <c r="O193" s="130"/>
      <c r="P193" s="130"/>
      <c r="Q193" s="131"/>
      <c r="R193" s="124"/>
      <c r="S193" s="125"/>
      <c r="T193" s="100">
        <f t="shared" si="17"/>
        <v>0</v>
      </c>
      <c r="U193" s="494"/>
      <c r="V193" s="495"/>
      <c r="W193" s="496"/>
    </row>
    <row r="194" spans="2:23" ht="14.4" thickBot="1">
      <c r="B194" s="511" t="s">
        <v>25</v>
      </c>
      <c r="C194" s="512"/>
      <c r="D194" s="512"/>
      <c r="E194" s="512"/>
      <c r="F194" s="512"/>
      <c r="G194" s="512"/>
      <c r="H194" s="512"/>
      <c r="I194" s="513"/>
      <c r="J194" s="132"/>
      <c r="K194" s="132"/>
      <c r="L194" s="132"/>
      <c r="M194" s="511" t="s">
        <v>25</v>
      </c>
      <c r="N194" s="512"/>
      <c r="O194" s="512"/>
      <c r="P194" s="512"/>
      <c r="Q194" s="512"/>
      <c r="R194" s="512"/>
      <c r="S194" s="512"/>
      <c r="T194" s="513"/>
      <c r="U194" s="132"/>
      <c r="V194" s="132"/>
      <c r="W194" s="132"/>
    </row>
    <row r="195" spans="2:23" ht="14.4" thickBot="1">
      <c r="B195" s="514" t="s">
        <v>267</v>
      </c>
      <c r="C195" s="515"/>
      <c r="D195" s="515"/>
      <c r="E195" s="515"/>
      <c r="F195" s="515"/>
      <c r="G195" s="133" t="s">
        <v>266</v>
      </c>
      <c r="H195" s="134" t="s">
        <v>0</v>
      </c>
      <c r="I195" s="101" t="s">
        <v>265</v>
      </c>
      <c r="J195" s="132"/>
      <c r="K195" s="132"/>
      <c r="L195" s="132"/>
      <c r="M195" s="514" t="s">
        <v>267</v>
      </c>
      <c r="N195" s="515"/>
      <c r="O195" s="515"/>
      <c r="P195" s="515"/>
      <c r="Q195" s="515"/>
      <c r="R195" s="133" t="s">
        <v>266</v>
      </c>
      <c r="S195" s="134" t="s">
        <v>0</v>
      </c>
      <c r="T195" s="101" t="s">
        <v>265</v>
      </c>
      <c r="U195" s="132"/>
      <c r="V195" s="132"/>
      <c r="W195" s="132"/>
    </row>
    <row r="196" spans="2:23">
      <c r="B196" s="516" t="s">
        <v>31</v>
      </c>
      <c r="C196" s="517"/>
      <c r="D196" s="517"/>
      <c r="E196" s="517"/>
      <c r="F196" s="518"/>
      <c r="G196" s="116"/>
      <c r="H196" s="117">
        <f>$R$4</f>
        <v>300000</v>
      </c>
      <c r="I196" s="99">
        <f t="shared" ref="I196:I198" si="18">G196*H196</f>
        <v>0</v>
      </c>
      <c r="J196" s="132"/>
      <c r="K196" s="132"/>
      <c r="L196" s="132"/>
      <c r="M196" s="516" t="s">
        <v>31</v>
      </c>
      <c r="N196" s="517"/>
      <c r="O196" s="517"/>
      <c r="P196" s="517"/>
      <c r="Q196" s="518"/>
      <c r="R196" s="116"/>
      <c r="S196" s="117">
        <f>$R$4</f>
        <v>300000</v>
      </c>
      <c r="T196" s="99">
        <f t="shared" ref="T196:T198" si="19">R196*S196</f>
        <v>0</v>
      </c>
      <c r="U196" s="132"/>
      <c r="V196" s="132"/>
      <c r="W196" s="132"/>
    </row>
    <row r="197" spans="2:23">
      <c r="B197" s="519" t="s">
        <v>11</v>
      </c>
      <c r="C197" s="520"/>
      <c r="D197" s="520"/>
      <c r="E197" s="520"/>
      <c r="F197" s="521"/>
      <c r="G197" s="122"/>
      <c r="H197" s="117">
        <f>$R$5</f>
        <v>65000</v>
      </c>
      <c r="I197" s="99">
        <f t="shared" si="18"/>
        <v>0</v>
      </c>
      <c r="J197" s="132"/>
      <c r="K197" s="132"/>
      <c r="L197" s="132"/>
      <c r="M197" s="519" t="s">
        <v>11</v>
      </c>
      <c r="N197" s="520"/>
      <c r="O197" s="520"/>
      <c r="P197" s="520"/>
      <c r="Q197" s="521"/>
      <c r="R197" s="122"/>
      <c r="S197" s="117">
        <f>$R$5</f>
        <v>65000</v>
      </c>
      <c r="T197" s="99">
        <f t="shared" si="19"/>
        <v>0</v>
      </c>
      <c r="U197" s="132"/>
      <c r="V197" s="132"/>
      <c r="W197" s="132"/>
    </row>
    <row r="198" spans="2:23">
      <c r="B198" s="519" t="s">
        <v>32</v>
      </c>
      <c r="C198" s="520"/>
      <c r="D198" s="520"/>
      <c r="E198" s="520"/>
      <c r="F198" s="521"/>
      <c r="G198" s="122"/>
      <c r="H198" s="117">
        <f>$R$6</f>
        <v>250000</v>
      </c>
      <c r="I198" s="99">
        <f t="shared" si="18"/>
        <v>0</v>
      </c>
      <c r="J198" s="132"/>
      <c r="K198" s="132"/>
      <c r="L198" s="132"/>
      <c r="M198" s="519" t="s">
        <v>32</v>
      </c>
      <c r="N198" s="520"/>
      <c r="O198" s="520"/>
      <c r="P198" s="520"/>
      <c r="Q198" s="521"/>
      <c r="R198" s="122"/>
      <c r="S198" s="117">
        <f>$R$6</f>
        <v>250000</v>
      </c>
      <c r="T198" s="99">
        <f t="shared" si="19"/>
        <v>0</v>
      </c>
      <c r="U198" s="132"/>
      <c r="V198" s="132"/>
      <c r="W198" s="132"/>
    </row>
    <row r="199" spans="2:23">
      <c r="B199" s="519" t="s">
        <v>327</v>
      </c>
      <c r="C199" s="520"/>
      <c r="D199" s="520"/>
      <c r="E199" s="520"/>
      <c r="F199" s="521"/>
      <c r="G199" s="122"/>
      <c r="H199" s="117">
        <f>$R$7</f>
        <v>30000</v>
      </c>
      <c r="I199" s="99">
        <f>G199*H199</f>
        <v>0</v>
      </c>
      <c r="M199" s="519" t="s">
        <v>327</v>
      </c>
      <c r="N199" s="520"/>
      <c r="O199" s="520"/>
      <c r="P199" s="520"/>
      <c r="Q199" s="521"/>
      <c r="R199" s="122"/>
      <c r="S199" s="117">
        <f>$R$7</f>
        <v>30000</v>
      </c>
      <c r="T199" s="99">
        <f>R199*S199</f>
        <v>0</v>
      </c>
    </row>
    <row r="200" spans="2:23">
      <c r="B200" s="519" t="s">
        <v>100</v>
      </c>
      <c r="C200" s="520"/>
      <c r="D200" s="520"/>
      <c r="E200" s="520"/>
      <c r="F200" s="521"/>
      <c r="G200" s="122"/>
      <c r="H200" s="117">
        <f>$R$8</f>
        <v>30000</v>
      </c>
      <c r="I200" s="99">
        <f t="shared" ref="I200:I207" si="20">G200*H200</f>
        <v>0</v>
      </c>
      <c r="M200" s="519" t="s">
        <v>100</v>
      </c>
      <c r="N200" s="520"/>
      <c r="O200" s="520"/>
      <c r="P200" s="520"/>
      <c r="Q200" s="521"/>
      <c r="R200" s="122"/>
      <c r="S200" s="117">
        <f>$R$8</f>
        <v>30000</v>
      </c>
      <c r="T200" s="99">
        <f t="shared" ref="T200:T207" si="21">R200*S200</f>
        <v>0</v>
      </c>
    </row>
    <row r="201" spans="2:23">
      <c r="B201" s="519" t="s">
        <v>328</v>
      </c>
      <c r="C201" s="520"/>
      <c r="D201" s="520"/>
      <c r="E201" s="520"/>
      <c r="F201" s="521"/>
      <c r="G201" s="122"/>
      <c r="H201" s="117">
        <f>$R$9</f>
        <v>50000</v>
      </c>
      <c r="I201" s="99">
        <f t="shared" si="20"/>
        <v>0</v>
      </c>
      <c r="M201" s="519" t="s">
        <v>328</v>
      </c>
      <c r="N201" s="520"/>
      <c r="O201" s="520"/>
      <c r="P201" s="520"/>
      <c r="Q201" s="521"/>
      <c r="R201" s="122"/>
      <c r="S201" s="117">
        <f>$R$9</f>
        <v>50000</v>
      </c>
      <c r="T201" s="99">
        <f t="shared" si="21"/>
        <v>0</v>
      </c>
    </row>
    <row r="202" spans="2:23">
      <c r="B202" s="519" t="s">
        <v>325</v>
      </c>
      <c r="C202" s="520"/>
      <c r="D202" s="520"/>
      <c r="E202" s="520"/>
      <c r="F202" s="521"/>
      <c r="G202" s="122"/>
      <c r="H202" s="117">
        <f>$R$10</f>
        <v>15000</v>
      </c>
      <c r="I202" s="99">
        <f t="shared" si="20"/>
        <v>0</v>
      </c>
      <c r="M202" s="519" t="s">
        <v>325</v>
      </c>
      <c r="N202" s="520"/>
      <c r="O202" s="520"/>
      <c r="P202" s="520"/>
      <c r="Q202" s="521"/>
      <c r="R202" s="122"/>
      <c r="S202" s="117">
        <f>$R$10</f>
        <v>15000</v>
      </c>
      <c r="T202" s="99">
        <f t="shared" si="21"/>
        <v>0</v>
      </c>
    </row>
    <row r="203" spans="2:23" ht="14.4" thickBot="1">
      <c r="B203" s="519" t="s">
        <v>326</v>
      </c>
      <c r="C203" s="520"/>
      <c r="D203" s="520"/>
      <c r="E203" s="520"/>
      <c r="F203" s="521"/>
      <c r="G203" s="122"/>
      <c r="H203" s="117">
        <f>$R$11</f>
        <v>15000</v>
      </c>
      <c r="I203" s="99">
        <f t="shared" si="20"/>
        <v>0</v>
      </c>
      <c r="M203" s="519" t="s">
        <v>326</v>
      </c>
      <c r="N203" s="520"/>
      <c r="O203" s="520"/>
      <c r="P203" s="520"/>
      <c r="Q203" s="521"/>
      <c r="R203" s="122"/>
      <c r="S203" s="117">
        <f>$R$11</f>
        <v>15000</v>
      </c>
      <c r="T203" s="99">
        <f t="shared" si="21"/>
        <v>0</v>
      </c>
    </row>
    <row r="204" spans="2:23">
      <c r="B204" s="135" t="s">
        <v>276</v>
      </c>
      <c r="C204" s="136"/>
      <c r="D204" s="136"/>
      <c r="E204" s="136"/>
      <c r="F204" s="137"/>
      <c r="G204" s="122"/>
      <c r="H204" s="117">
        <f>$R$12</f>
        <v>75000</v>
      </c>
      <c r="I204" s="99">
        <f t="shared" si="20"/>
        <v>0</v>
      </c>
      <c r="J204" s="499" t="s">
        <v>275</v>
      </c>
      <c r="K204" s="500"/>
      <c r="L204" s="501"/>
      <c r="M204" s="135" t="s">
        <v>276</v>
      </c>
      <c r="N204" s="136"/>
      <c r="O204" s="136"/>
      <c r="P204" s="136"/>
      <c r="Q204" s="137"/>
      <c r="R204" s="122"/>
      <c r="S204" s="117">
        <f>$R$12</f>
        <v>75000</v>
      </c>
      <c r="T204" s="99">
        <f t="shared" si="21"/>
        <v>0</v>
      </c>
      <c r="U204" s="499" t="s">
        <v>275</v>
      </c>
      <c r="V204" s="500"/>
      <c r="W204" s="501"/>
    </row>
    <row r="205" spans="2:23" ht="14.4" thickBot="1">
      <c r="B205" s="135" t="s">
        <v>277</v>
      </c>
      <c r="C205" s="136"/>
      <c r="D205" s="136"/>
      <c r="E205" s="136"/>
      <c r="F205" s="137"/>
      <c r="G205" s="122"/>
      <c r="H205" s="117">
        <f>$R$13</f>
        <v>75000</v>
      </c>
      <c r="I205" s="99">
        <f t="shared" si="20"/>
        <v>0</v>
      </c>
      <c r="J205" s="502"/>
      <c r="K205" s="503"/>
      <c r="L205" s="504"/>
      <c r="M205" s="135" t="s">
        <v>277</v>
      </c>
      <c r="N205" s="136"/>
      <c r="O205" s="136"/>
      <c r="P205" s="136"/>
      <c r="Q205" s="137"/>
      <c r="R205" s="122"/>
      <c r="S205" s="117">
        <f>$R$13</f>
        <v>75000</v>
      </c>
      <c r="T205" s="99">
        <f t="shared" si="21"/>
        <v>0</v>
      </c>
      <c r="U205" s="502"/>
      <c r="V205" s="503"/>
      <c r="W205" s="504"/>
    </row>
    <row r="206" spans="2:23">
      <c r="B206" s="519" t="s">
        <v>75</v>
      </c>
      <c r="C206" s="520"/>
      <c r="D206" s="520"/>
      <c r="E206" s="520"/>
      <c r="F206" s="521"/>
      <c r="G206" s="122"/>
      <c r="H206" s="117">
        <f>$R$14</f>
        <v>30000</v>
      </c>
      <c r="I206" s="99">
        <f t="shared" si="20"/>
        <v>0</v>
      </c>
      <c r="J206" s="491">
        <f>SUM(I196:I207)</f>
        <v>0</v>
      </c>
      <c r="K206" s="492"/>
      <c r="L206" s="493"/>
      <c r="M206" s="519" t="s">
        <v>347</v>
      </c>
      <c r="N206" s="520"/>
      <c r="O206" s="520"/>
      <c r="P206" s="520"/>
      <c r="Q206" s="521"/>
      <c r="R206" s="122"/>
      <c r="S206" s="117">
        <f>$R$14</f>
        <v>30000</v>
      </c>
      <c r="T206" s="99">
        <f t="shared" si="21"/>
        <v>0</v>
      </c>
      <c r="U206" s="491">
        <f>SUM(T196:T207)</f>
        <v>0</v>
      </c>
      <c r="V206" s="492"/>
      <c r="W206" s="493"/>
    </row>
    <row r="207" spans="2:23" ht="14.4" thickBot="1">
      <c r="B207" s="519" t="s">
        <v>12</v>
      </c>
      <c r="C207" s="520"/>
      <c r="D207" s="520"/>
      <c r="E207" s="520"/>
      <c r="F207" s="521"/>
      <c r="G207" s="124"/>
      <c r="H207" s="117">
        <f>$R$15</f>
        <v>12000</v>
      </c>
      <c r="I207" s="99">
        <f t="shared" si="20"/>
        <v>0</v>
      </c>
      <c r="J207" s="494"/>
      <c r="K207" s="495"/>
      <c r="L207" s="496"/>
      <c r="M207" s="519" t="s">
        <v>12</v>
      </c>
      <c r="N207" s="520"/>
      <c r="O207" s="520"/>
      <c r="P207" s="520"/>
      <c r="Q207" s="521"/>
      <c r="R207" s="124"/>
      <c r="S207" s="117">
        <f>$R$15</f>
        <v>12000</v>
      </c>
      <c r="T207" s="99">
        <f t="shared" si="21"/>
        <v>0</v>
      </c>
      <c r="U207" s="494"/>
      <c r="V207" s="495"/>
      <c r="W207" s="496"/>
    </row>
    <row r="208" spans="2:23" ht="14.4" thickBot="1">
      <c r="B208" s="522" t="s">
        <v>27</v>
      </c>
      <c r="C208" s="523"/>
      <c r="D208" s="523"/>
      <c r="E208" s="523"/>
      <c r="F208" s="523"/>
      <c r="G208" s="523"/>
      <c r="H208" s="523"/>
      <c r="I208" s="524"/>
      <c r="M208" s="522" t="s">
        <v>27</v>
      </c>
      <c r="N208" s="523"/>
      <c r="O208" s="523"/>
      <c r="P208" s="523"/>
      <c r="Q208" s="523"/>
      <c r="R208" s="523"/>
      <c r="S208" s="523"/>
      <c r="T208" s="524"/>
    </row>
    <row r="209" spans="2:23" ht="14.4" thickBot="1">
      <c r="B209" s="522" t="s">
        <v>267</v>
      </c>
      <c r="C209" s="523"/>
      <c r="D209" s="523"/>
      <c r="E209" s="523"/>
      <c r="F209" s="523"/>
      <c r="G209" s="138" t="s">
        <v>266</v>
      </c>
      <c r="H209" s="138" t="s">
        <v>0</v>
      </c>
      <c r="I209" s="102" t="s">
        <v>265</v>
      </c>
      <c r="M209" s="522" t="s">
        <v>267</v>
      </c>
      <c r="N209" s="523"/>
      <c r="O209" s="523"/>
      <c r="P209" s="523"/>
      <c r="Q209" s="523"/>
      <c r="R209" s="138" t="s">
        <v>266</v>
      </c>
      <c r="S209" s="138" t="s">
        <v>0</v>
      </c>
      <c r="T209" s="102" t="s">
        <v>265</v>
      </c>
    </row>
    <row r="210" spans="2:23">
      <c r="B210" s="525" t="s">
        <v>315</v>
      </c>
      <c r="C210" s="526"/>
      <c r="D210" s="526"/>
      <c r="E210" s="526"/>
      <c r="F210" s="527"/>
      <c r="G210" s="116"/>
      <c r="H210" s="117"/>
      <c r="I210" s="99">
        <f t="shared" ref="I210:I221" si="22">G210*H210</f>
        <v>0</v>
      </c>
      <c r="M210" s="525" t="s">
        <v>348</v>
      </c>
      <c r="N210" s="526"/>
      <c r="O210" s="526"/>
      <c r="P210" s="526"/>
      <c r="Q210" s="527"/>
      <c r="R210" s="116"/>
      <c r="S210" s="117"/>
      <c r="T210" s="99">
        <f t="shared" ref="T210:T221" si="23">R210*S210</f>
        <v>0</v>
      </c>
    </row>
    <row r="211" spans="2:23">
      <c r="B211" s="525" t="s">
        <v>316</v>
      </c>
      <c r="C211" s="526"/>
      <c r="D211" s="526"/>
      <c r="E211" s="526"/>
      <c r="F211" s="527"/>
      <c r="G211" s="122"/>
      <c r="H211" s="123"/>
      <c r="I211" s="99">
        <f t="shared" si="22"/>
        <v>0</v>
      </c>
      <c r="M211" s="525" t="s">
        <v>349</v>
      </c>
      <c r="N211" s="526"/>
      <c r="O211" s="526"/>
      <c r="P211" s="526"/>
      <c r="Q211" s="527"/>
      <c r="R211" s="122"/>
      <c r="S211" s="123"/>
      <c r="T211" s="99">
        <f t="shared" si="23"/>
        <v>0</v>
      </c>
    </row>
    <row r="212" spans="2:23">
      <c r="B212" s="528" t="s">
        <v>280</v>
      </c>
      <c r="C212" s="529"/>
      <c r="D212" s="529"/>
      <c r="E212" s="529"/>
      <c r="F212" s="530"/>
      <c r="G212" s="122"/>
      <c r="H212" s="123"/>
      <c r="I212" s="99">
        <f t="shared" si="22"/>
        <v>0</v>
      </c>
      <c r="M212" s="528" t="s">
        <v>280</v>
      </c>
      <c r="N212" s="529"/>
      <c r="O212" s="529"/>
      <c r="P212" s="529"/>
      <c r="Q212" s="530"/>
      <c r="R212" s="122"/>
      <c r="S212" s="123"/>
      <c r="T212" s="99">
        <f t="shared" si="23"/>
        <v>0</v>
      </c>
    </row>
    <row r="213" spans="2:23">
      <c r="B213" s="528" t="s">
        <v>94</v>
      </c>
      <c r="C213" s="529"/>
      <c r="D213" s="529"/>
      <c r="E213" s="529"/>
      <c r="F213" s="530"/>
      <c r="G213" s="122"/>
      <c r="H213" s="123"/>
      <c r="I213" s="99">
        <f t="shared" si="22"/>
        <v>0</v>
      </c>
      <c r="M213" s="528" t="s">
        <v>94</v>
      </c>
      <c r="N213" s="529"/>
      <c r="O213" s="529"/>
      <c r="P213" s="529"/>
      <c r="Q213" s="530"/>
      <c r="R213" s="122"/>
      <c r="S213" s="123"/>
      <c r="T213" s="99">
        <f t="shared" si="23"/>
        <v>0</v>
      </c>
    </row>
    <row r="214" spans="2:23">
      <c r="B214" s="139" t="s">
        <v>282</v>
      </c>
      <c r="C214" s="140"/>
      <c r="D214" s="140"/>
      <c r="E214" s="140"/>
      <c r="F214" s="141"/>
      <c r="G214" s="122"/>
      <c r="H214" s="123"/>
      <c r="I214" s="99">
        <f t="shared" si="22"/>
        <v>0</v>
      </c>
      <c r="M214" s="139" t="s">
        <v>283</v>
      </c>
      <c r="N214" s="140"/>
      <c r="O214" s="140"/>
      <c r="P214" s="140"/>
      <c r="Q214" s="141"/>
      <c r="R214" s="122"/>
      <c r="S214" s="123"/>
      <c r="T214" s="99">
        <f t="shared" si="23"/>
        <v>0</v>
      </c>
    </row>
    <row r="215" spans="2:23">
      <c r="B215" s="528" t="s">
        <v>317</v>
      </c>
      <c r="C215" s="529"/>
      <c r="D215" s="529"/>
      <c r="E215" s="529"/>
      <c r="F215" s="530"/>
      <c r="G215" s="122"/>
      <c r="H215" s="123"/>
      <c r="I215" s="99">
        <f t="shared" si="22"/>
        <v>0</v>
      </c>
      <c r="M215" s="528" t="s">
        <v>350</v>
      </c>
      <c r="N215" s="529"/>
      <c r="O215" s="529"/>
      <c r="P215" s="529"/>
      <c r="Q215" s="530"/>
      <c r="R215" s="122"/>
      <c r="S215" s="123"/>
      <c r="T215" s="99">
        <f t="shared" si="23"/>
        <v>0</v>
      </c>
    </row>
    <row r="216" spans="2:23">
      <c r="B216" s="528" t="s">
        <v>286</v>
      </c>
      <c r="C216" s="529"/>
      <c r="D216" s="529"/>
      <c r="E216" s="529"/>
      <c r="F216" s="530"/>
      <c r="G216" s="122"/>
      <c r="H216" s="123"/>
      <c r="I216" s="99">
        <f t="shared" si="22"/>
        <v>0</v>
      </c>
      <c r="M216" s="528" t="s">
        <v>287</v>
      </c>
      <c r="N216" s="529"/>
      <c r="O216" s="529"/>
      <c r="P216" s="529"/>
      <c r="Q216" s="530"/>
      <c r="R216" s="122"/>
      <c r="S216" s="123"/>
      <c r="T216" s="99">
        <f t="shared" si="23"/>
        <v>0</v>
      </c>
    </row>
    <row r="217" spans="2:23" ht="14.4" thickBot="1">
      <c r="B217" s="139" t="s">
        <v>318</v>
      </c>
      <c r="C217" s="140"/>
      <c r="D217" s="140"/>
      <c r="E217" s="140"/>
      <c r="F217" s="141"/>
      <c r="G217" s="122"/>
      <c r="H217" s="123"/>
      <c r="I217" s="99">
        <f t="shared" si="22"/>
        <v>0</v>
      </c>
      <c r="M217" s="139" t="s">
        <v>351</v>
      </c>
      <c r="N217" s="140"/>
      <c r="O217" s="140"/>
      <c r="P217" s="140"/>
      <c r="Q217" s="141"/>
      <c r="R217" s="122"/>
      <c r="S217" s="123"/>
      <c r="T217" s="99">
        <f t="shared" si="23"/>
        <v>0</v>
      </c>
    </row>
    <row r="218" spans="2:23">
      <c r="B218" s="528" t="s">
        <v>319</v>
      </c>
      <c r="C218" s="529"/>
      <c r="D218" s="529"/>
      <c r="E218" s="529"/>
      <c r="F218" s="530"/>
      <c r="G218" s="122"/>
      <c r="H218" s="123"/>
      <c r="I218" s="99">
        <f t="shared" si="22"/>
        <v>0</v>
      </c>
      <c r="J218" s="499" t="s">
        <v>275</v>
      </c>
      <c r="K218" s="500"/>
      <c r="L218" s="501"/>
      <c r="M218" s="528" t="s">
        <v>352</v>
      </c>
      <c r="N218" s="529"/>
      <c r="O218" s="529"/>
      <c r="P218" s="529"/>
      <c r="Q218" s="530"/>
      <c r="R218" s="122"/>
      <c r="S218" s="123"/>
      <c r="T218" s="99">
        <f t="shared" si="23"/>
        <v>0</v>
      </c>
      <c r="U218" s="499" t="s">
        <v>275</v>
      </c>
      <c r="V218" s="500"/>
      <c r="W218" s="501"/>
    </row>
    <row r="219" spans="2:23" ht="14.4" thickBot="1">
      <c r="B219" s="528" t="s">
        <v>320</v>
      </c>
      <c r="C219" s="529"/>
      <c r="D219" s="529"/>
      <c r="E219" s="529"/>
      <c r="F219" s="530"/>
      <c r="G219" s="122"/>
      <c r="H219" s="123"/>
      <c r="I219" s="99">
        <f t="shared" si="22"/>
        <v>0</v>
      </c>
      <c r="J219" s="502"/>
      <c r="K219" s="503"/>
      <c r="L219" s="504"/>
      <c r="M219" s="528" t="s">
        <v>353</v>
      </c>
      <c r="N219" s="529"/>
      <c r="O219" s="529"/>
      <c r="P219" s="529"/>
      <c r="Q219" s="530"/>
      <c r="R219" s="122"/>
      <c r="S219" s="123"/>
      <c r="T219" s="99">
        <f t="shared" si="23"/>
        <v>0</v>
      </c>
      <c r="U219" s="502"/>
      <c r="V219" s="503"/>
      <c r="W219" s="504"/>
    </row>
    <row r="220" spans="2:23">
      <c r="B220" s="528"/>
      <c r="C220" s="529"/>
      <c r="D220" s="529"/>
      <c r="E220" s="529"/>
      <c r="F220" s="530"/>
      <c r="G220" s="122"/>
      <c r="H220" s="123"/>
      <c r="I220" s="99">
        <f t="shared" si="22"/>
        <v>0</v>
      </c>
      <c r="J220" s="491">
        <f>SUM(I210:I221)</f>
        <v>0</v>
      </c>
      <c r="K220" s="492"/>
      <c r="L220" s="493"/>
      <c r="M220" s="528"/>
      <c r="N220" s="529"/>
      <c r="O220" s="529"/>
      <c r="P220" s="529"/>
      <c r="Q220" s="530"/>
      <c r="R220" s="122"/>
      <c r="S220" s="123"/>
      <c r="T220" s="99">
        <f t="shared" si="23"/>
        <v>0</v>
      </c>
      <c r="U220" s="491">
        <f>SUM(T210:T221)</f>
        <v>0</v>
      </c>
      <c r="V220" s="492"/>
      <c r="W220" s="493"/>
    </row>
    <row r="221" spans="2:23" ht="14.4" thickBot="1">
      <c r="B221" s="537"/>
      <c r="C221" s="538"/>
      <c r="D221" s="538"/>
      <c r="E221" s="538"/>
      <c r="F221" s="539"/>
      <c r="G221" s="124"/>
      <c r="H221" s="125"/>
      <c r="I221" s="100">
        <f t="shared" si="22"/>
        <v>0</v>
      </c>
      <c r="J221" s="494"/>
      <c r="K221" s="495"/>
      <c r="L221" s="496"/>
      <c r="M221" s="537"/>
      <c r="N221" s="538"/>
      <c r="O221" s="538"/>
      <c r="P221" s="538"/>
      <c r="Q221" s="539"/>
      <c r="R221" s="124"/>
      <c r="S221" s="125"/>
      <c r="T221" s="100">
        <f t="shared" si="23"/>
        <v>0</v>
      </c>
      <c r="U221" s="494"/>
      <c r="V221" s="495"/>
      <c r="W221" s="496"/>
    </row>
    <row r="222" spans="2:23" ht="14.4" thickBot="1">
      <c r="B222" s="531" t="s">
        <v>26</v>
      </c>
      <c r="C222" s="532"/>
      <c r="D222" s="532"/>
      <c r="E222" s="532"/>
      <c r="F222" s="532"/>
      <c r="G222" s="532"/>
      <c r="H222" s="532"/>
      <c r="I222" s="533"/>
      <c r="J222" s="132"/>
      <c r="K222" s="132"/>
      <c r="L222" s="132"/>
      <c r="M222" s="531" t="s">
        <v>26</v>
      </c>
      <c r="N222" s="532"/>
      <c r="O222" s="532"/>
      <c r="P222" s="532"/>
      <c r="Q222" s="532"/>
      <c r="R222" s="532"/>
      <c r="S222" s="532"/>
      <c r="T222" s="533"/>
      <c r="U222" s="132"/>
      <c r="V222" s="132"/>
      <c r="W222" s="132"/>
    </row>
    <row r="223" spans="2:23" ht="14.4" thickBot="1">
      <c r="B223" s="531" t="s">
        <v>267</v>
      </c>
      <c r="C223" s="532"/>
      <c r="D223" s="532"/>
      <c r="E223" s="532"/>
      <c r="F223" s="532"/>
      <c r="G223" s="142" t="s">
        <v>266</v>
      </c>
      <c r="H223" s="142" t="s">
        <v>0</v>
      </c>
      <c r="I223" s="103" t="s">
        <v>265</v>
      </c>
      <c r="J223" s="132"/>
      <c r="K223" s="132"/>
      <c r="L223" s="132"/>
      <c r="M223" s="531" t="s">
        <v>267</v>
      </c>
      <c r="N223" s="532"/>
      <c r="O223" s="532"/>
      <c r="P223" s="532"/>
      <c r="Q223" s="532"/>
      <c r="R223" s="142" t="s">
        <v>266</v>
      </c>
      <c r="S223" s="142" t="s">
        <v>0</v>
      </c>
      <c r="T223" s="103" t="s">
        <v>265</v>
      </c>
      <c r="U223" s="132"/>
      <c r="V223" s="132"/>
      <c r="W223" s="132"/>
    </row>
    <row r="224" spans="2:23">
      <c r="B224" s="534" t="s">
        <v>296</v>
      </c>
      <c r="C224" s="535"/>
      <c r="D224" s="535"/>
      <c r="E224" s="535"/>
      <c r="F224" s="536"/>
      <c r="G224" s="143"/>
      <c r="H224" s="144"/>
      <c r="I224" s="104">
        <f t="shared" ref="I224:I240" si="24">G224*H224</f>
        <v>0</v>
      </c>
      <c r="M224" s="534" t="s">
        <v>296</v>
      </c>
      <c r="N224" s="535"/>
      <c r="O224" s="535"/>
      <c r="P224" s="535"/>
      <c r="Q224" s="536"/>
      <c r="R224" s="143"/>
      <c r="S224" s="144"/>
      <c r="T224" s="104">
        <f t="shared" ref="T224:T240" si="25">R224*S224</f>
        <v>0</v>
      </c>
    </row>
    <row r="225" spans="2:23">
      <c r="B225" s="540" t="s">
        <v>295</v>
      </c>
      <c r="C225" s="541"/>
      <c r="D225" s="541"/>
      <c r="E225" s="541"/>
      <c r="F225" s="542"/>
      <c r="G225" s="122"/>
      <c r="H225" s="123"/>
      <c r="I225" s="99">
        <f t="shared" si="24"/>
        <v>0</v>
      </c>
      <c r="M225" s="540" t="s">
        <v>295</v>
      </c>
      <c r="N225" s="541"/>
      <c r="O225" s="541"/>
      <c r="P225" s="541"/>
      <c r="Q225" s="542"/>
      <c r="R225" s="122"/>
      <c r="S225" s="123"/>
      <c r="T225" s="99">
        <f t="shared" si="25"/>
        <v>0</v>
      </c>
    </row>
    <row r="226" spans="2:23">
      <c r="B226" s="540" t="s">
        <v>330</v>
      </c>
      <c r="C226" s="541"/>
      <c r="D226" s="541"/>
      <c r="E226" s="541"/>
      <c r="F226" s="542"/>
      <c r="G226" s="122"/>
      <c r="H226" s="123"/>
      <c r="I226" s="99">
        <f t="shared" si="24"/>
        <v>0</v>
      </c>
      <c r="M226" s="540" t="s">
        <v>330</v>
      </c>
      <c r="N226" s="541"/>
      <c r="O226" s="541"/>
      <c r="P226" s="541"/>
      <c r="Q226" s="542"/>
      <c r="R226" s="122"/>
      <c r="S226" s="123"/>
      <c r="T226" s="99">
        <f t="shared" si="25"/>
        <v>0</v>
      </c>
    </row>
    <row r="227" spans="2:23">
      <c r="B227" s="540" t="s">
        <v>329</v>
      </c>
      <c r="C227" s="541"/>
      <c r="D227" s="541"/>
      <c r="E227" s="541"/>
      <c r="F227" s="542"/>
      <c r="G227" s="122"/>
      <c r="H227" s="123"/>
      <c r="I227" s="99">
        <f t="shared" si="24"/>
        <v>0</v>
      </c>
      <c r="M227" s="540" t="s">
        <v>329</v>
      </c>
      <c r="N227" s="541"/>
      <c r="O227" s="541"/>
      <c r="P227" s="541"/>
      <c r="Q227" s="542"/>
      <c r="R227" s="122"/>
      <c r="S227" s="123"/>
      <c r="T227" s="99">
        <f t="shared" si="25"/>
        <v>0</v>
      </c>
    </row>
    <row r="228" spans="2:23">
      <c r="B228" s="540" t="s">
        <v>331</v>
      </c>
      <c r="C228" s="541"/>
      <c r="D228" s="541"/>
      <c r="E228" s="541"/>
      <c r="F228" s="542"/>
      <c r="G228" s="122"/>
      <c r="H228" s="123"/>
      <c r="I228" s="99">
        <f t="shared" si="24"/>
        <v>0</v>
      </c>
      <c r="M228" s="540" t="s">
        <v>331</v>
      </c>
      <c r="N228" s="541"/>
      <c r="O228" s="541"/>
      <c r="P228" s="541"/>
      <c r="Q228" s="542"/>
      <c r="R228" s="122"/>
      <c r="S228" s="123"/>
      <c r="T228" s="99">
        <f t="shared" si="25"/>
        <v>0</v>
      </c>
    </row>
    <row r="229" spans="2:23">
      <c r="B229" s="145" t="s">
        <v>42</v>
      </c>
      <c r="C229" s="146"/>
      <c r="D229" s="146"/>
      <c r="E229" s="146"/>
      <c r="F229" s="147"/>
      <c r="G229" s="122"/>
      <c r="H229" s="123"/>
      <c r="I229" s="99">
        <f t="shared" si="24"/>
        <v>0</v>
      </c>
      <c r="M229" s="145" t="s">
        <v>42</v>
      </c>
      <c r="N229" s="146"/>
      <c r="O229" s="146"/>
      <c r="P229" s="146"/>
      <c r="Q229" s="147"/>
      <c r="R229" s="122"/>
      <c r="S229" s="123"/>
      <c r="T229" s="99">
        <f t="shared" si="25"/>
        <v>0</v>
      </c>
    </row>
    <row r="230" spans="2:23">
      <c r="B230" s="145" t="s">
        <v>41</v>
      </c>
      <c r="C230" s="146"/>
      <c r="D230" s="146"/>
      <c r="E230" s="146"/>
      <c r="F230" s="147"/>
      <c r="G230" s="122"/>
      <c r="H230" s="123"/>
      <c r="I230" s="99">
        <f t="shared" si="24"/>
        <v>0</v>
      </c>
      <c r="M230" s="145" t="s">
        <v>41</v>
      </c>
      <c r="N230" s="146"/>
      <c r="O230" s="146"/>
      <c r="P230" s="146"/>
      <c r="Q230" s="147"/>
      <c r="R230" s="122"/>
      <c r="S230" s="123"/>
      <c r="T230" s="99">
        <f t="shared" si="25"/>
        <v>0</v>
      </c>
    </row>
    <row r="231" spans="2:23">
      <c r="B231" s="145" t="s">
        <v>3</v>
      </c>
      <c r="C231" s="146"/>
      <c r="D231" s="146"/>
      <c r="E231" s="146"/>
      <c r="F231" s="147"/>
      <c r="G231" s="122"/>
      <c r="H231" s="123"/>
      <c r="I231" s="99">
        <f t="shared" si="24"/>
        <v>0</v>
      </c>
      <c r="M231" s="145" t="s">
        <v>3</v>
      </c>
      <c r="N231" s="146"/>
      <c r="O231" s="146"/>
      <c r="P231" s="146"/>
      <c r="Q231" s="147"/>
      <c r="R231" s="122"/>
      <c r="S231" s="123"/>
      <c r="T231" s="99">
        <f t="shared" si="25"/>
        <v>0</v>
      </c>
    </row>
    <row r="232" spans="2:23">
      <c r="B232" s="145" t="s">
        <v>4</v>
      </c>
      <c r="C232" s="146"/>
      <c r="D232" s="146"/>
      <c r="E232" s="146"/>
      <c r="F232" s="147"/>
      <c r="G232" s="122"/>
      <c r="H232" s="123"/>
      <c r="I232" s="99">
        <f t="shared" si="24"/>
        <v>0</v>
      </c>
      <c r="M232" s="145" t="s">
        <v>4</v>
      </c>
      <c r="N232" s="146"/>
      <c r="O232" s="146"/>
      <c r="P232" s="146"/>
      <c r="Q232" s="147"/>
      <c r="R232" s="122"/>
      <c r="S232" s="123"/>
      <c r="T232" s="99">
        <f t="shared" si="25"/>
        <v>0</v>
      </c>
    </row>
    <row r="233" spans="2:23">
      <c r="B233" s="145" t="s">
        <v>67</v>
      </c>
      <c r="C233" s="146"/>
      <c r="D233" s="146"/>
      <c r="E233" s="146"/>
      <c r="F233" s="147"/>
      <c r="G233" s="122"/>
      <c r="H233" s="123"/>
      <c r="I233" s="99">
        <f t="shared" si="24"/>
        <v>0</v>
      </c>
      <c r="M233" s="145" t="s">
        <v>67</v>
      </c>
      <c r="N233" s="146"/>
      <c r="O233" s="146"/>
      <c r="P233" s="146"/>
      <c r="Q233" s="147"/>
      <c r="R233" s="122"/>
      <c r="S233" s="123"/>
      <c r="T233" s="99">
        <f t="shared" si="25"/>
        <v>0</v>
      </c>
    </row>
    <row r="234" spans="2:23">
      <c r="B234" s="145" t="s">
        <v>68</v>
      </c>
      <c r="C234" s="146"/>
      <c r="D234" s="146"/>
      <c r="E234" s="146"/>
      <c r="F234" s="147"/>
      <c r="G234" s="122"/>
      <c r="H234" s="123"/>
      <c r="I234" s="99">
        <f t="shared" si="24"/>
        <v>0</v>
      </c>
      <c r="M234" s="145" t="s">
        <v>68</v>
      </c>
      <c r="N234" s="146"/>
      <c r="O234" s="146"/>
      <c r="P234" s="146"/>
      <c r="Q234" s="147"/>
      <c r="R234" s="122"/>
      <c r="S234" s="123"/>
      <c r="T234" s="99">
        <f t="shared" si="25"/>
        <v>0</v>
      </c>
    </row>
    <row r="235" spans="2:23">
      <c r="B235" s="540" t="s">
        <v>70</v>
      </c>
      <c r="C235" s="541"/>
      <c r="D235" s="541"/>
      <c r="E235" s="541"/>
      <c r="F235" s="542"/>
      <c r="G235" s="122"/>
      <c r="H235" s="123"/>
      <c r="I235" s="99">
        <f t="shared" si="24"/>
        <v>0</v>
      </c>
      <c r="M235" s="540" t="s">
        <v>70</v>
      </c>
      <c r="N235" s="541"/>
      <c r="O235" s="541"/>
      <c r="P235" s="541"/>
      <c r="Q235" s="542"/>
      <c r="R235" s="122"/>
      <c r="S235" s="123"/>
      <c r="T235" s="99">
        <f t="shared" si="25"/>
        <v>0</v>
      </c>
    </row>
    <row r="236" spans="2:23" ht="14.4" thickBot="1">
      <c r="B236" s="540" t="s">
        <v>380</v>
      </c>
      <c r="C236" s="541"/>
      <c r="D236" s="541"/>
      <c r="E236" s="541"/>
      <c r="F236" s="542"/>
      <c r="G236" s="122"/>
      <c r="H236" s="123"/>
      <c r="I236" s="99">
        <f t="shared" si="24"/>
        <v>0</v>
      </c>
      <c r="M236" s="540" t="s">
        <v>380</v>
      </c>
      <c r="N236" s="541"/>
      <c r="O236" s="541"/>
      <c r="P236" s="541"/>
      <c r="Q236" s="542"/>
      <c r="R236" s="122"/>
      <c r="S236" s="123"/>
      <c r="T236" s="99">
        <f t="shared" si="25"/>
        <v>0</v>
      </c>
    </row>
    <row r="237" spans="2:23">
      <c r="B237" s="540" t="s">
        <v>16</v>
      </c>
      <c r="C237" s="541"/>
      <c r="D237" s="541"/>
      <c r="E237" s="541"/>
      <c r="F237" s="542"/>
      <c r="G237" s="122"/>
      <c r="H237" s="123"/>
      <c r="I237" s="99">
        <f t="shared" si="24"/>
        <v>0</v>
      </c>
      <c r="J237" s="499" t="s">
        <v>275</v>
      </c>
      <c r="K237" s="500"/>
      <c r="L237" s="501"/>
      <c r="M237" s="540" t="s">
        <v>16</v>
      </c>
      <c r="N237" s="541"/>
      <c r="O237" s="541"/>
      <c r="P237" s="541"/>
      <c r="Q237" s="542"/>
      <c r="R237" s="122"/>
      <c r="S237" s="123"/>
      <c r="T237" s="99">
        <f t="shared" si="25"/>
        <v>0</v>
      </c>
      <c r="U237" s="499" t="s">
        <v>275</v>
      </c>
      <c r="V237" s="500"/>
      <c r="W237" s="501"/>
    </row>
    <row r="238" spans="2:23" ht="14.4" thickBot="1">
      <c r="B238" s="540" t="s">
        <v>17</v>
      </c>
      <c r="C238" s="541"/>
      <c r="D238" s="541"/>
      <c r="E238" s="541"/>
      <c r="F238" s="542"/>
      <c r="G238" s="122"/>
      <c r="H238" s="123"/>
      <c r="I238" s="99">
        <f t="shared" si="24"/>
        <v>0</v>
      </c>
      <c r="J238" s="502"/>
      <c r="K238" s="503"/>
      <c r="L238" s="504"/>
      <c r="M238" s="540" t="s">
        <v>17</v>
      </c>
      <c r="N238" s="541"/>
      <c r="O238" s="541"/>
      <c r="P238" s="541"/>
      <c r="Q238" s="542"/>
      <c r="R238" s="122"/>
      <c r="S238" s="123"/>
      <c r="T238" s="99">
        <f t="shared" si="25"/>
        <v>0</v>
      </c>
      <c r="U238" s="502"/>
      <c r="V238" s="503"/>
      <c r="W238" s="504"/>
    </row>
    <row r="239" spans="2:23">
      <c r="B239" s="540"/>
      <c r="C239" s="541"/>
      <c r="D239" s="541"/>
      <c r="E239" s="541"/>
      <c r="F239" s="542"/>
      <c r="G239" s="122"/>
      <c r="H239" s="123"/>
      <c r="I239" s="99">
        <f t="shared" si="24"/>
        <v>0</v>
      </c>
      <c r="J239" s="491">
        <f>SUM(I224:I240)</f>
        <v>0</v>
      </c>
      <c r="K239" s="492"/>
      <c r="L239" s="493"/>
      <c r="M239" s="540"/>
      <c r="N239" s="541"/>
      <c r="O239" s="541"/>
      <c r="P239" s="541"/>
      <c r="Q239" s="542"/>
      <c r="R239" s="122"/>
      <c r="S239" s="123"/>
      <c r="T239" s="99">
        <f t="shared" si="25"/>
        <v>0</v>
      </c>
      <c r="U239" s="491">
        <f>SUM(T224:T240)</f>
        <v>0</v>
      </c>
      <c r="V239" s="492"/>
      <c r="W239" s="493"/>
    </row>
    <row r="240" spans="2:23" ht="14.4" thickBot="1">
      <c r="B240" s="543"/>
      <c r="C240" s="544"/>
      <c r="D240" s="544"/>
      <c r="E240" s="544"/>
      <c r="F240" s="545"/>
      <c r="G240" s="124"/>
      <c r="H240" s="125"/>
      <c r="I240" s="100">
        <f t="shared" si="24"/>
        <v>0</v>
      </c>
      <c r="J240" s="494"/>
      <c r="K240" s="495"/>
      <c r="L240" s="496"/>
      <c r="M240" s="543"/>
      <c r="N240" s="544"/>
      <c r="O240" s="544"/>
      <c r="P240" s="544"/>
      <c r="Q240" s="545"/>
      <c r="R240" s="124"/>
      <c r="S240" s="125"/>
      <c r="T240" s="100">
        <f t="shared" si="25"/>
        <v>0</v>
      </c>
      <c r="U240" s="494"/>
      <c r="V240" s="495"/>
      <c r="W240" s="496"/>
    </row>
    <row r="241" spans="2:23" ht="14.4" thickBot="1">
      <c r="B241" s="546" t="s">
        <v>297</v>
      </c>
      <c r="C241" s="547"/>
      <c r="D241" s="547"/>
      <c r="E241" s="547"/>
      <c r="F241" s="547"/>
      <c r="G241" s="547"/>
      <c r="H241" s="547"/>
      <c r="I241" s="548"/>
      <c r="J241" s="132"/>
      <c r="K241" s="132"/>
      <c r="L241" s="132"/>
      <c r="M241" s="546" t="s">
        <v>297</v>
      </c>
      <c r="N241" s="547"/>
      <c r="O241" s="547"/>
      <c r="P241" s="547"/>
      <c r="Q241" s="547"/>
      <c r="R241" s="547"/>
      <c r="S241" s="547"/>
      <c r="T241" s="548"/>
      <c r="U241" s="132"/>
      <c r="V241" s="132"/>
      <c r="W241" s="132"/>
    </row>
    <row r="242" spans="2:23" ht="14.4" thickBot="1">
      <c r="B242" s="546" t="s">
        <v>267</v>
      </c>
      <c r="C242" s="547"/>
      <c r="D242" s="547"/>
      <c r="E242" s="547"/>
      <c r="F242" s="547"/>
      <c r="G242" s="148" t="s">
        <v>266</v>
      </c>
      <c r="H242" s="148" t="s">
        <v>0</v>
      </c>
      <c r="I242" s="105" t="s">
        <v>265</v>
      </c>
      <c r="J242" s="132"/>
      <c r="K242" s="132"/>
      <c r="L242" s="132"/>
      <c r="M242" s="546" t="s">
        <v>267</v>
      </c>
      <c r="N242" s="547"/>
      <c r="O242" s="547"/>
      <c r="P242" s="547"/>
      <c r="Q242" s="547"/>
      <c r="R242" s="148" t="s">
        <v>266</v>
      </c>
      <c r="S242" s="148" t="s">
        <v>0</v>
      </c>
      <c r="T242" s="105" t="s">
        <v>265</v>
      </c>
      <c r="U242" s="132"/>
      <c r="V242" s="132"/>
      <c r="W242" s="132"/>
    </row>
    <row r="243" spans="2:23">
      <c r="B243" s="549" t="s">
        <v>333</v>
      </c>
      <c r="C243" s="550"/>
      <c r="D243" s="550"/>
      <c r="E243" s="550"/>
      <c r="F243" s="551"/>
      <c r="G243" s="116"/>
      <c r="H243" s="117"/>
      <c r="I243" s="98"/>
      <c r="M243" s="549" t="s">
        <v>333</v>
      </c>
      <c r="N243" s="550"/>
      <c r="O243" s="550"/>
      <c r="P243" s="550"/>
      <c r="Q243" s="551"/>
      <c r="R243" s="116"/>
      <c r="S243" s="117"/>
      <c r="T243" s="98"/>
    </row>
    <row r="244" spans="2:23">
      <c r="B244" s="552" t="s">
        <v>291</v>
      </c>
      <c r="C244" s="553"/>
      <c r="D244" s="553"/>
      <c r="E244" s="553"/>
      <c r="F244" s="554"/>
      <c r="G244" s="122"/>
      <c r="H244" s="123"/>
      <c r="I244" s="99">
        <f t="shared" ref="I244:I254" si="26">G244*H244</f>
        <v>0</v>
      </c>
      <c r="M244" s="552" t="s">
        <v>291</v>
      </c>
      <c r="N244" s="553"/>
      <c r="O244" s="553"/>
      <c r="P244" s="553"/>
      <c r="Q244" s="554"/>
      <c r="R244" s="122"/>
      <c r="S244" s="123"/>
      <c r="T244" s="99">
        <f t="shared" ref="T244:T254" si="27">R244*S244</f>
        <v>0</v>
      </c>
    </row>
    <row r="245" spans="2:23">
      <c r="B245" s="552" t="s">
        <v>292</v>
      </c>
      <c r="C245" s="553"/>
      <c r="D245" s="553"/>
      <c r="E245" s="553"/>
      <c r="F245" s="554"/>
      <c r="G245" s="122"/>
      <c r="H245" s="123"/>
      <c r="I245" s="99">
        <f t="shared" si="26"/>
        <v>0</v>
      </c>
      <c r="M245" s="552" t="s">
        <v>292</v>
      </c>
      <c r="N245" s="553"/>
      <c r="O245" s="553"/>
      <c r="P245" s="553"/>
      <c r="Q245" s="554"/>
      <c r="R245" s="122"/>
      <c r="S245" s="123"/>
      <c r="T245" s="99">
        <f t="shared" si="27"/>
        <v>0</v>
      </c>
    </row>
    <row r="246" spans="2:23">
      <c r="B246" s="552" t="s">
        <v>293</v>
      </c>
      <c r="C246" s="553"/>
      <c r="D246" s="553"/>
      <c r="E246" s="553"/>
      <c r="F246" s="554"/>
      <c r="G246" s="122"/>
      <c r="H246" s="123"/>
      <c r="I246" s="99">
        <f t="shared" si="26"/>
        <v>0</v>
      </c>
      <c r="M246" s="552" t="s">
        <v>293</v>
      </c>
      <c r="N246" s="553"/>
      <c r="O246" s="553"/>
      <c r="P246" s="553"/>
      <c r="Q246" s="554"/>
      <c r="R246" s="122"/>
      <c r="S246" s="123"/>
      <c r="T246" s="99">
        <f t="shared" si="27"/>
        <v>0</v>
      </c>
    </row>
    <row r="247" spans="2:23">
      <c r="B247" s="552" t="s">
        <v>193</v>
      </c>
      <c r="C247" s="553"/>
      <c r="D247" s="553"/>
      <c r="E247" s="553"/>
      <c r="F247" s="554"/>
      <c r="G247" s="122"/>
      <c r="H247" s="123"/>
      <c r="I247" s="99">
        <f t="shared" si="26"/>
        <v>0</v>
      </c>
      <c r="M247" s="552" t="s">
        <v>193</v>
      </c>
      <c r="N247" s="553"/>
      <c r="O247" s="553"/>
      <c r="P247" s="553"/>
      <c r="Q247" s="554"/>
      <c r="R247" s="122"/>
      <c r="S247" s="123"/>
      <c r="T247" s="99">
        <f t="shared" si="27"/>
        <v>0</v>
      </c>
    </row>
    <row r="248" spans="2:23">
      <c r="B248" s="552" t="s">
        <v>294</v>
      </c>
      <c r="C248" s="553"/>
      <c r="D248" s="553"/>
      <c r="E248" s="553"/>
      <c r="F248" s="554"/>
      <c r="G248" s="122"/>
      <c r="H248" s="123"/>
      <c r="I248" s="99">
        <f t="shared" si="26"/>
        <v>0</v>
      </c>
      <c r="M248" s="552" t="s">
        <v>294</v>
      </c>
      <c r="N248" s="553"/>
      <c r="O248" s="553"/>
      <c r="P248" s="553"/>
      <c r="Q248" s="554"/>
      <c r="R248" s="122"/>
      <c r="S248" s="123"/>
      <c r="T248" s="99">
        <f t="shared" si="27"/>
        <v>0</v>
      </c>
    </row>
    <row r="249" spans="2:23">
      <c r="B249" s="552"/>
      <c r="C249" s="553"/>
      <c r="D249" s="553"/>
      <c r="E249" s="553"/>
      <c r="F249" s="554"/>
      <c r="G249" s="122"/>
      <c r="H249" s="123"/>
      <c r="I249" s="99">
        <f t="shared" si="26"/>
        <v>0</v>
      </c>
      <c r="M249" s="552"/>
      <c r="N249" s="553"/>
      <c r="O249" s="553"/>
      <c r="P249" s="553"/>
      <c r="Q249" s="554"/>
      <c r="R249" s="122"/>
      <c r="S249" s="123"/>
      <c r="T249" s="99">
        <f t="shared" si="27"/>
        <v>0</v>
      </c>
    </row>
    <row r="250" spans="2:23" ht="14.4" thickBot="1">
      <c r="B250" s="552"/>
      <c r="C250" s="553"/>
      <c r="D250" s="553"/>
      <c r="E250" s="553"/>
      <c r="F250" s="554"/>
      <c r="G250" s="122"/>
      <c r="H250" s="123"/>
      <c r="I250" s="99">
        <f t="shared" si="26"/>
        <v>0</v>
      </c>
      <c r="M250" s="552"/>
      <c r="N250" s="553"/>
      <c r="O250" s="553"/>
      <c r="P250" s="553"/>
      <c r="Q250" s="554"/>
      <c r="R250" s="122"/>
      <c r="S250" s="123"/>
      <c r="T250" s="99">
        <f t="shared" si="27"/>
        <v>0</v>
      </c>
    </row>
    <row r="251" spans="2:23">
      <c r="B251" s="552"/>
      <c r="C251" s="553"/>
      <c r="D251" s="553"/>
      <c r="E251" s="553"/>
      <c r="F251" s="554"/>
      <c r="G251" s="122"/>
      <c r="H251" s="123"/>
      <c r="I251" s="99">
        <f t="shared" si="26"/>
        <v>0</v>
      </c>
      <c r="J251" s="499" t="s">
        <v>275</v>
      </c>
      <c r="K251" s="500"/>
      <c r="L251" s="501"/>
      <c r="M251" s="552"/>
      <c r="N251" s="553"/>
      <c r="O251" s="553"/>
      <c r="P251" s="553"/>
      <c r="Q251" s="554"/>
      <c r="R251" s="122"/>
      <c r="S251" s="123"/>
      <c r="T251" s="99">
        <f t="shared" si="27"/>
        <v>0</v>
      </c>
      <c r="U251" s="499" t="s">
        <v>275</v>
      </c>
      <c r="V251" s="500"/>
      <c r="W251" s="501"/>
    </row>
    <row r="252" spans="2:23" ht="14.4" thickBot="1">
      <c r="B252" s="557" t="s">
        <v>2</v>
      </c>
      <c r="C252" s="558"/>
      <c r="D252" s="558"/>
      <c r="E252" s="558"/>
      <c r="F252" s="559"/>
      <c r="G252" s="149"/>
      <c r="H252" s="150"/>
      <c r="I252" s="100">
        <f t="shared" si="26"/>
        <v>0</v>
      </c>
      <c r="J252" s="502"/>
      <c r="K252" s="503"/>
      <c r="L252" s="504"/>
      <c r="M252" s="557" t="s">
        <v>2</v>
      </c>
      <c r="N252" s="558"/>
      <c r="O252" s="558"/>
      <c r="P252" s="558"/>
      <c r="Q252" s="559"/>
      <c r="R252" s="149"/>
      <c r="S252" s="150"/>
      <c r="T252" s="100">
        <f t="shared" si="27"/>
        <v>0</v>
      </c>
      <c r="U252" s="502"/>
      <c r="V252" s="503"/>
      <c r="W252" s="504"/>
    </row>
    <row r="253" spans="2:23">
      <c r="B253" s="555" t="s">
        <v>22</v>
      </c>
      <c r="C253" s="556"/>
      <c r="D253" s="556"/>
      <c r="E253" s="556"/>
      <c r="F253" s="556"/>
      <c r="G253" s="122"/>
      <c r="H253" s="123"/>
      <c r="I253" s="99">
        <f t="shared" si="26"/>
        <v>0</v>
      </c>
      <c r="J253" s="491">
        <f>SUM(I243:I254)</f>
        <v>0</v>
      </c>
      <c r="K253" s="492"/>
      <c r="L253" s="493"/>
      <c r="M253" s="555" t="s">
        <v>22</v>
      </c>
      <c r="N253" s="556"/>
      <c r="O253" s="556"/>
      <c r="P253" s="556"/>
      <c r="Q253" s="556"/>
      <c r="R253" s="122"/>
      <c r="S253" s="123"/>
      <c r="T253" s="99">
        <f t="shared" si="27"/>
        <v>0</v>
      </c>
      <c r="U253" s="491">
        <f>SUM(T243:T254)</f>
        <v>0</v>
      </c>
      <c r="V253" s="492"/>
      <c r="W253" s="493"/>
    </row>
    <row r="254" spans="2:23" ht="14.4" thickBot="1">
      <c r="B254" s="555" t="s">
        <v>21</v>
      </c>
      <c r="C254" s="556"/>
      <c r="D254" s="556"/>
      <c r="E254" s="556"/>
      <c r="F254" s="556"/>
      <c r="G254" s="122"/>
      <c r="H254" s="123"/>
      <c r="I254" s="99">
        <f t="shared" si="26"/>
        <v>0</v>
      </c>
      <c r="J254" s="494"/>
      <c r="K254" s="495"/>
      <c r="L254" s="496"/>
      <c r="M254" s="555" t="s">
        <v>21</v>
      </c>
      <c r="N254" s="556"/>
      <c r="O254" s="556"/>
      <c r="P254" s="556"/>
      <c r="Q254" s="556"/>
      <c r="R254" s="122"/>
      <c r="S254" s="123"/>
      <c r="T254" s="99">
        <f t="shared" si="27"/>
        <v>0</v>
      </c>
      <c r="U254" s="494"/>
      <c r="V254" s="495"/>
      <c r="W254" s="496"/>
    </row>
    <row r="255" spans="2:23" ht="14.4" thickBot="1">
      <c r="B255" s="560" t="s">
        <v>334</v>
      </c>
      <c r="C255" s="561"/>
      <c r="D255" s="561"/>
      <c r="E255" s="561"/>
      <c r="F255" s="561"/>
      <c r="G255" s="561"/>
      <c r="H255" s="561"/>
      <c r="I255" s="562"/>
      <c r="J255" s="151"/>
      <c r="K255" s="132"/>
      <c r="L255" s="132"/>
      <c r="M255" s="560" t="s">
        <v>334</v>
      </c>
      <c r="N255" s="561"/>
      <c r="O255" s="561"/>
      <c r="P255" s="561"/>
      <c r="Q255" s="561"/>
      <c r="R255" s="561"/>
      <c r="S255" s="561"/>
      <c r="T255" s="562"/>
      <c r="U255" s="151"/>
      <c r="V255" s="132"/>
      <c r="W255" s="132"/>
    </row>
    <row r="256" spans="2:23" ht="14.4" thickBot="1">
      <c r="B256" s="560" t="s">
        <v>267</v>
      </c>
      <c r="C256" s="561"/>
      <c r="D256" s="561"/>
      <c r="E256" s="561"/>
      <c r="F256" s="561"/>
      <c r="G256" s="152" t="s">
        <v>266</v>
      </c>
      <c r="H256" s="152" t="s">
        <v>0</v>
      </c>
      <c r="I256" s="106" t="s">
        <v>265</v>
      </c>
      <c r="J256" s="151"/>
      <c r="K256" s="132"/>
      <c r="L256" s="132"/>
      <c r="M256" s="560" t="s">
        <v>267</v>
      </c>
      <c r="N256" s="561"/>
      <c r="O256" s="561"/>
      <c r="P256" s="561"/>
      <c r="Q256" s="561"/>
      <c r="R256" s="152" t="s">
        <v>266</v>
      </c>
      <c r="S256" s="152" t="s">
        <v>0</v>
      </c>
      <c r="T256" s="106" t="s">
        <v>265</v>
      </c>
      <c r="U256" s="151"/>
      <c r="V256" s="132"/>
      <c r="W256" s="132"/>
    </row>
    <row r="257" spans="2:23">
      <c r="B257" s="563" t="s">
        <v>8</v>
      </c>
      <c r="C257" s="564"/>
      <c r="D257" s="564"/>
      <c r="E257" s="564"/>
      <c r="F257" s="564"/>
      <c r="G257" s="122"/>
      <c r="H257" s="123"/>
      <c r="I257" s="99">
        <f t="shared" ref="I257:I260" si="28">G257*H257</f>
        <v>0</v>
      </c>
      <c r="J257" s="499" t="s">
        <v>275</v>
      </c>
      <c r="K257" s="500"/>
      <c r="L257" s="501"/>
      <c r="M257" s="563" t="s">
        <v>8</v>
      </c>
      <c r="N257" s="564"/>
      <c r="O257" s="564"/>
      <c r="P257" s="564"/>
      <c r="Q257" s="564"/>
      <c r="R257" s="122"/>
      <c r="S257" s="123"/>
      <c r="T257" s="99">
        <f t="shared" ref="T257:T260" si="29">R257*S257</f>
        <v>0</v>
      </c>
      <c r="U257" s="499" t="s">
        <v>275</v>
      </c>
      <c r="V257" s="500"/>
      <c r="W257" s="501"/>
    </row>
    <row r="258" spans="2:23" ht="14.4" thickBot="1">
      <c r="B258" s="563" t="s">
        <v>9</v>
      </c>
      <c r="C258" s="564"/>
      <c r="D258" s="564"/>
      <c r="E258" s="564"/>
      <c r="F258" s="564"/>
      <c r="G258" s="122"/>
      <c r="H258" s="123"/>
      <c r="I258" s="99">
        <f t="shared" si="28"/>
        <v>0</v>
      </c>
      <c r="J258" s="502"/>
      <c r="K258" s="503"/>
      <c r="L258" s="504"/>
      <c r="M258" s="563" t="s">
        <v>9</v>
      </c>
      <c r="N258" s="564"/>
      <c r="O258" s="564"/>
      <c r="P258" s="564"/>
      <c r="Q258" s="564"/>
      <c r="R258" s="122"/>
      <c r="S258" s="123"/>
      <c r="T258" s="99">
        <f t="shared" si="29"/>
        <v>0</v>
      </c>
      <c r="U258" s="502"/>
      <c r="V258" s="503"/>
      <c r="W258" s="504"/>
    </row>
    <row r="259" spans="2:23">
      <c r="B259" s="563" t="s">
        <v>335</v>
      </c>
      <c r="C259" s="564"/>
      <c r="D259" s="564"/>
      <c r="E259" s="564"/>
      <c r="F259" s="564"/>
      <c r="G259" s="122"/>
      <c r="H259" s="123"/>
      <c r="I259" s="99">
        <f t="shared" si="28"/>
        <v>0</v>
      </c>
      <c r="J259" s="491">
        <f>SUM(I257:I260)</f>
        <v>0</v>
      </c>
      <c r="K259" s="492"/>
      <c r="L259" s="493"/>
      <c r="M259" s="563" t="s">
        <v>335</v>
      </c>
      <c r="N259" s="564"/>
      <c r="O259" s="564"/>
      <c r="P259" s="564"/>
      <c r="Q259" s="564"/>
      <c r="R259" s="122"/>
      <c r="S259" s="123"/>
      <c r="T259" s="99">
        <f t="shared" si="29"/>
        <v>0</v>
      </c>
      <c r="U259" s="491">
        <f>SUM(T257:T260)</f>
        <v>0</v>
      </c>
      <c r="V259" s="492"/>
      <c r="W259" s="493"/>
    </row>
    <row r="260" spans="2:23" ht="14.4" thickBot="1">
      <c r="B260" s="583" t="s">
        <v>336</v>
      </c>
      <c r="C260" s="584"/>
      <c r="D260" s="584"/>
      <c r="E260" s="584"/>
      <c r="F260" s="584"/>
      <c r="G260" s="153"/>
      <c r="H260" s="154"/>
      <c r="I260" s="107">
        <f t="shared" si="28"/>
        <v>0</v>
      </c>
      <c r="J260" s="494"/>
      <c r="K260" s="495"/>
      <c r="L260" s="496"/>
      <c r="M260" s="583" t="s">
        <v>336</v>
      </c>
      <c r="N260" s="584"/>
      <c r="O260" s="584"/>
      <c r="P260" s="584"/>
      <c r="Q260" s="584"/>
      <c r="R260" s="153"/>
      <c r="S260" s="154"/>
      <c r="T260" s="107">
        <f t="shared" si="29"/>
        <v>0</v>
      </c>
      <c r="U260" s="494"/>
      <c r="V260" s="495"/>
      <c r="W260" s="496"/>
    </row>
    <row r="261" spans="2:23">
      <c r="B261" s="565" t="s">
        <v>393</v>
      </c>
      <c r="C261" s="566"/>
      <c r="D261" s="566"/>
      <c r="E261" s="566"/>
      <c r="F261" s="566"/>
      <c r="G261" s="566"/>
      <c r="H261" s="566"/>
      <c r="I261" s="567"/>
      <c r="J261" s="574">
        <f>SUM(J259,J253,J239,J220,J206,J192,J178)</f>
        <v>0</v>
      </c>
      <c r="K261" s="575"/>
      <c r="L261" s="576"/>
      <c r="M261" s="565" t="s">
        <v>394</v>
      </c>
      <c r="N261" s="566"/>
      <c r="O261" s="566"/>
      <c r="P261" s="566"/>
      <c r="Q261" s="566"/>
      <c r="R261" s="566"/>
      <c r="S261" s="566"/>
      <c r="T261" s="567"/>
      <c r="U261" s="574">
        <f>SUM(U259,U253,U239,U220,U206,U192,U178)</f>
        <v>0</v>
      </c>
      <c r="V261" s="575"/>
      <c r="W261" s="576"/>
    </row>
    <row r="262" spans="2:23">
      <c r="B262" s="568"/>
      <c r="C262" s="569"/>
      <c r="D262" s="569"/>
      <c r="E262" s="569"/>
      <c r="F262" s="569"/>
      <c r="G262" s="569"/>
      <c r="H262" s="569"/>
      <c r="I262" s="570"/>
      <c r="J262" s="577"/>
      <c r="K262" s="578"/>
      <c r="L262" s="579"/>
      <c r="M262" s="568"/>
      <c r="N262" s="569"/>
      <c r="O262" s="569"/>
      <c r="P262" s="569"/>
      <c r="Q262" s="569"/>
      <c r="R262" s="569"/>
      <c r="S262" s="569"/>
      <c r="T262" s="570"/>
      <c r="U262" s="577"/>
      <c r="V262" s="578"/>
      <c r="W262" s="579"/>
    </row>
    <row r="263" spans="2:23" ht="14.4" thickBot="1">
      <c r="B263" s="571"/>
      <c r="C263" s="572"/>
      <c r="D263" s="572"/>
      <c r="E263" s="572"/>
      <c r="F263" s="572"/>
      <c r="G263" s="572"/>
      <c r="H263" s="572"/>
      <c r="I263" s="573"/>
      <c r="J263" s="580"/>
      <c r="K263" s="581"/>
      <c r="L263" s="582"/>
      <c r="M263" s="571"/>
      <c r="N263" s="572"/>
      <c r="O263" s="572"/>
      <c r="P263" s="572"/>
      <c r="Q263" s="572"/>
      <c r="R263" s="572"/>
      <c r="S263" s="572"/>
      <c r="T263" s="573"/>
      <c r="U263" s="580"/>
      <c r="V263" s="581"/>
      <c r="W263" s="582"/>
    </row>
    <row r="264" spans="2:23" ht="14.4" thickBot="1"/>
    <row r="265" spans="2:23">
      <c r="B265" s="475" t="s">
        <v>408</v>
      </c>
      <c r="C265" s="476"/>
      <c r="D265" s="476"/>
      <c r="E265" s="476"/>
      <c r="F265" s="476"/>
      <c r="G265" s="476"/>
      <c r="H265" s="476"/>
      <c r="I265" s="477"/>
      <c r="M265" s="475"/>
      <c r="N265" s="476"/>
      <c r="O265" s="476"/>
      <c r="P265" s="476"/>
      <c r="Q265" s="476"/>
      <c r="R265" s="476"/>
      <c r="S265" s="476"/>
      <c r="T265" s="477"/>
    </row>
    <row r="266" spans="2:23">
      <c r="B266" s="478"/>
      <c r="C266" s="479"/>
      <c r="D266" s="479"/>
      <c r="E266" s="479"/>
      <c r="F266" s="479"/>
      <c r="G266" s="479"/>
      <c r="H266" s="479"/>
      <c r="I266" s="480"/>
      <c r="M266" s="478"/>
      <c r="N266" s="479"/>
      <c r="O266" s="479"/>
      <c r="P266" s="479"/>
      <c r="Q266" s="479"/>
      <c r="R266" s="479"/>
      <c r="S266" s="479"/>
      <c r="T266" s="480"/>
    </row>
    <row r="267" spans="2:23" ht="14.4" thickBot="1">
      <c r="B267" s="481"/>
      <c r="C267" s="482"/>
      <c r="D267" s="482"/>
      <c r="E267" s="482"/>
      <c r="F267" s="482"/>
      <c r="G267" s="482"/>
      <c r="H267" s="482"/>
      <c r="I267" s="483"/>
      <c r="M267" s="481"/>
      <c r="N267" s="482"/>
      <c r="O267" s="482"/>
      <c r="P267" s="482"/>
      <c r="Q267" s="482"/>
      <c r="R267" s="482"/>
      <c r="S267" s="482"/>
      <c r="T267" s="483"/>
    </row>
    <row r="268" spans="2:23" ht="14.4" thickBot="1">
      <c r="B268" s="467" t="s">
        <v>262</v>
      </c>
      <c r="C268" s="468"/>
      <c r="D268" s="468"/>
      <c r="E268" s="468"/>
      <c r="F268" s="468"/>
      <c r="G268" s="468"/>
      <c r="H268" s="468"/>
      <c r="I268" s="484"/>
      <c r="M268" s="467" t="s">
        <v>262</v>
      </c>
      <c r="N268" s="468"/>
      <c r="O268" s="468"/>
      <c r="P268" s="468"/>
      <c r="Q268" s="468"/>
      <c r="R268" s="468"/>
      <c r="S268" s="468"/>
      <c r="T268" s="484"/>
    </row>
    <row r="269" spans="2:23" ht="14.4" thickBot="1">
      <c r="B269" s="467" t="s">
        <v>267</v>
      </c>
      <c r="C269" s="468"/>
      <c r="D269" s="468"/>
      <c r="E269" s="468"/>
      <c r="F269" s="468"/>
      <c r="G269" s="114" t="s">
        <v>266</v>
      </c>
      <c r="H269" s="114" t="s">
        <v>0</v>
      </c>
      <c r="I269" s="97" t="s">
        <v>265</v>
      </c>
      <c r="M269" s="467" t="s">
        <v>267</v>
      </c>
      <c r="N269" s="468"/>
      <c r="O269" s="468"/>
      <c r="P269" s="468"/>
      <c r="Q269" s="468"/>
      <c r="R269" s="114" t="s">
        <v>266</v>
      </c>
      <c r="S269" s="114" t="s">
        <v>0</v>
      </c>
      <c r="T269" s="97" t="s">
        <v>265</v>
      </c>
    </row>
    <row r="270" spans="2:23">
      <c r="B270" s="469" t="s">
        <v>13</v>
      </c>
      <c r="C270" s="470"/>
      <c r="D270" s="470"/>
      <c r="E270" s="471"/>
      <c r="F270" s="115">
        <v>1</v>
      </c>
      <c r="G270" s="116"/>
      <c r="H270" s="117">
        <f>$I$4</f>
        <v>160000</v>
      </c>
      <c r="I270" s="98">
        <f>F270*G270*H270</f>
        <v>0</v>
      </c>
      <c r="M270" s="469" t="s">
        <v>13</v>
      </c>
      <c r="N270" s="470"/>
      <c r="O270" s="470"/>
      <c r="P270" s="471"/>
      <c r="Q270" s="115">
        <v>1</v>
      </c>
      <c r="R270" s="116"/>
      <c r="S270" s="117">
        <f>$I$4</f>
        <v>160000</v>
      </c>
      <c r="T270" s="98">
        <f>Q270*R270*S270</f>
        <v>0</v>
      </c>
    </row>
    <row r="271" spans="2:23">
      <c r="B271" s="118" t="s">
        <v>261</v>
      </c>
      <c r="C271" s="119"/>
      <c r="D271" s="119"/>
      <c r="E271" s="120"/>
      <c r="F271" s="121">
        <v>1</v>
      </c>
      <c r="G271" s="122"/>
      <c r="H271" s="123">
        <f>$I$5</f>
        <v>165000</v>
      </c>
      <c r="I271" s="99"/>
      <c r="M271" s="118" t="s">
        <v>261</v>
      </c>
      <c r="N271" s="119"/>
      <c r="O271" s="119"/>
      <c r="P271" s="120"/>
      <c r="Q271" s="121">
        <v>1</v>
      </c>
      <c r="R271" s="122"/>
      <c r="S271" s="123">
        <f>$I$5</f>
        <v>165000</v>
      </c>
      <c r="T271" s="99"/>
    </row>
    <row r="272" spans="2:23">
      <c r="B272" s="472" t="s">
        <v>14</v>
      </c>
      <c r="C272" s="473"/>
      <c r="D272" s="473"/>
      <c r="E272" s="474"/>
      <c r="F272" s="121">
        <v>1</v>
      </c>
      <c r="G272" s="122">
        <v>40</v>
      </c>
      <c r="H272" s="123">
        <f>$I$6</f>
        <v>140000</v>
      </c>
      <c r="I272" s="99">
        <f>F272*G272*H272</f>
        <v>5600000</v>
      </c>
      <c r="M272" s="472" t="s">
        <v>14</v>
      </c>
      <c r="N272" s="473"/>
      <c r="O272" s="473"/>
      <c r="P272" s="474"/>
      <c r="Q272" s="121">
        <v>1</v>
      </c>
      <c r="R272" s="122"/>
      <c r="S272" s="123">
        <f>$I$6</f>
        <v>140000</v>
      </c>
      <c r="T272" s="99">
        <f>Q272*R272*S272</f>
        <v>0</v>
      </c>
    </row>
    <row r="273" spans="2:23">
      <c r="B273" s="472" t="s">
        <v>23</v>
      </c>
      <c r="C273" s="473"/>
      <c r="D273" s="473"/>
      <c r="E273" s="474"/>
      <c r="F273" s="121">
        <v>1</v>
      </c>
      <c r="G273" s="122"/>
      <c r="H273" s="123">
        <f>$I$7</f>
        <v>150000</v>
      </c>
      <c r="I273" s="99">
        <f>F273*G273*H273</f>
        <v>0</v>
      </c>
      <c r="M273" s="472" t="s">
        <v>23</v>
      </c>
      <c r="N273" s="473"/>
      <c r="O273" s="473"/>
      <c r="P273" s="474"/>
      <c r="Q273" s="121">
        <v>1</v>
      </c>
      <c r="R273" s="122"/>
      <c r="S273" s="123">
        <f>$I$7</f>
        <v>150000</v>
      </c>
      <c r="T273" s="99">
        <f>Q273*R273*S273</f>
        <v>0</v>
      </c>
    </row>
    <row r="274" spans="2:23">
      <c r="B274" s="472" t="s">
        <v>20</v>
      </c>
      <c r="C274" s="473"/>
      <c r="D274" s="473"/>
      <c r="E274" s="474"/>
      <c r="F274" s="121">
        <v>1</v>
      </c>
      <c r="G274" s="122">
        <v>10</v>
      </c>
      <c r="H274" s="123">
        <v>45000</v>
      </c>
      <c r="I274" s="99">
        <f>F274*G274*H274</f>
        <v>450000</v>
      </c>
      <c r="M274" s="472"/>
      <c r="N274" s="473"/>
      <c r="O274" s="473"/>
      <c r="P274" s="474"/>
      <c r="Q274" s="121"/>
      <c r="R274" s="122"/>
      <c r="S274" s="123"/>
      <c r="T274" s="99">
        <f>Q274*R274*S274</f>
        <v>0</v>
      </c>
    </row>
    <row r="275" spans="2:23">
      <c r="B275" s="485" t="s">
        <v>18</v>
      </c>
      <c r="C275" s="486"/>
      <c r="D275" s="486"/>
      <c r="E275" s="486"/>
      <c r="F275" s="487"/>
      <c r="G275" s="122">
        <v>75</v>
      </c>
      <c r="H275" s="123">
        <f>$I$8</f>
        <v>12800</v>
      </c>
      <c r="I275" s="99">
        <f>G275*H275</f>
        <v>960000</v>
      </c>
      <c r="M275" s="485" t="s">
        <v>18</v>
      </c>
      <c r="N275" s="486"/>
      <c r="O275" s="486"/>
      <c r="P275" s="486"/>
      <c r="Q275" s="487"/>
      <c r="R275" s="122"/>
      <c r="S275" s="123">
        <f>$I$8</f>
        <v>12800</v>
      </c>
      <c r="T275" s="99">
        <f>R275*S275</f>
        <v>0</v>
      </c>
    </row>
    <row r="276" spans="2:23">
      <c r="B276" s="485" t="s">
        <v>19</v>
      </c>
      <c r="C276" s="486"/>
      <c r="D276" s="486"/>
      <c r="E276" s="486"/>
      <c r="F276" s="487"/>
      <c r="G276" s="122">
        <v>85</v>
      </c>
      <c r="H276" s="123">
        <f>$I$9</f>
        <v>11100</v>
      </c>
      <c r="I276" s="99">
        <f>G276*H276</f>
        <v>943500</v>
      </c>
      <c r="M276" s="485" t="s">
        <v>19</v>
      </c>
      <c r="N276" s="486"/>
      <c r="O276" s="486"/>
      <c r="P276" s="486"/>
      <c r="Q276" s="487"/>
      <c r="R276" s="122"/>
      <c r="S276" s="123">
        <f>$I$9</f>
        <v>11100</v>
      </c>
      <c r="T276" s="99">
        <f>R276*S276</f>
        <v>0</v>
      </c>
    </row>
    <row r="277" spans="2:23">
      <c r="B277" s="488" t="s">
        <v>259</v>
      </c>
      <c r="C277" s="489"/>
      <c r="D277" s="489"/>
      <c r="E277" s="489"/>
      <c r="F277" s="490"/>
      <c r="G277" s="122">
        <v>2000</v>
      </c>
      <c r="H277" s="123">
        <f>$I$10</f>
        <v>58</v>
      </c>
      <c r="I277" s="99">
        <f t="shared" ref="I277:I289" si="30">G277*H277</f>
        <v>116000</v>
      </c>
      <c r="M277" s="488" t="s">
        <v>259</v>
      </c>
      <c r="N277" s="489"/>
      <c r="O277" s="489"/>
      <c r="P277" s="489"/>
      <c r="Q277" s="490"/>
      <c r="R277" s="122"/>
      <c r="S277" s="123">
        <f>$I$10</f>
        <v>58</v>
      </c>
      <c r="T277" s="99">
        <f t="shared" ref="T277:T289" si="31">R277*S277</f>
        <v>0</v>
      </c>
    </row>
    <row r="278" spans="2:23">
      <c r="B278" s="488" t="s">
        <v>260</v>
      </c>
      <c r="C278" s="489"/>
      <c r="D278" s="489"/>
      <c r="E278" s="489"/>
      <c r="F278" s="490"/>
      <c r="G278" s="122">
        <v>6000</v>
      </c>
      <c r="H278" s="123">
        <f>$I$11</f>
        <v>35</v>
      </c>
      <c r="I278" s="99">
        <f t="shared" si="30"/>
        <v>210000</v>
      </c>
      <c r="M278" s="488" t="s">
        <v>260</v>
      </c>
      <c r="N278" s="489"/>
      <c r="O278" s="489"/>
      <c r="P278" s="489"/>
      <c r="Q278" s="490"/>
      <c r="R278" s="122"/>
      <c r="S278" s="123">
        <f>$I$11</f>
        <v>35</v>
      </c>
      <c r="T278" s="99">
        <f t="shared" si="31"/>
        <v>0</v>
      </c>
    </row>
    <row r="279" spans="2:23">
      <c r="B279" s="488" t="s">
        <v>299</v>
      </c>
      <c r="C279" s="489"/>
      <c r="D279" s="489"/>
      <c r="E279" s="489"/>
      <c r="F279" s="490"/>
      <c r="G279" s="122">
        <v>250</v>
      </c>
      <c r="H279" s="123">
        <f>$I$12</f>
        <v>1250</v>
      </c>
      <c r="I279" s="99">
        <f t="shared" si="30"/>
        <v>312500</v>
      </c>
      <c r="M279" s="488" t="s">
        <v>299</v>
      </c>
      <c r="N279" s="489"/>
      <c r="O279" s="489"/>
      <c r="P279" s="489"/>
      <c r="Q279" s="490"/>
      <c r="R279" s="122"/>
      <c r="S279" s="123">
        <f>$I$12</f>
        <v>1250</v>
      </c>
      <c r="T279" s="99">
        <f t="shared" si="31"/>
        <v>0</v>
      </c>
    </row>
    <row r="280" spans="2:23">
      <c r="B280" s="488" t="s">
        <v>300</v>
      </c>
      <c r="C280" s="489"/>
      <c r="D280" s="489"/>
      <c r="E280" s="489"/>
      <c r="F280" s="490"/>
      <c r="G280" s="122">
        <v>500</v>
      </c>
      <c r="H280" s="123">
        <f>$I$13</f>
        <v>1250</v>
      </c>
      <c r="I280" s="99">
        <f t="shared" si="30"/>
        <v>625000</v>
      </c>
      <c r="M280" s="488" t="s">
        <v>300</v>
      </c>
      <c r="N280" s="489"/>
      <c r="O280" s="489"/>
      <c r="P280" s="489"/>
      <c r="Q280" s="490"/>
      <c r="R280" s="122"/>
      <c r="S280" s="123">
        <f>$I$13</f>
        <v>1250</v>
      </c>
      <c r="T280" s="99">
        <f t="shared" si="31"/>
        <v>0</v>
      </c>
    </row>
    <row r="281" spans="2:23">
      <c r="B281" s="488" t="s">
        <v>220</v>
      </c>
      <c r="C281" s="489"/>
      <c r="D281" s="489"/>
      <c r="E281" s="489"/>
      <c r="F281" s="490"/>
      <c r="G281" s="122"/>
      <c r="H281" s="123">
        <f>$I$14</f>
        <v>750</v>
      </c>
      <c r="I281" s="99">
        <f t="shared" si="30"/>
        <v>0</v>
      </c>
      <c r="M281" s="488" t="s">
        <v>220</v>
      </c>
      <c r="N281" s="489"/>
      <c r="O281" s="489"/>
      <c r="P281" s="489"/>
      <c r="Q281" s="490"/>
      <c r="R281" s="122"/>
      <c r="S281" s="123">
        <f>$I$14</f>
        <v>750</v>
      </c>
      <c r="T281" s="99">
        <f t="shared" si="31"/>
        <v>0</v>
      </c>
    </row>
    <row r="282" spans="2:23">
      <c r="B282" s="488" t="s">
        <v>268</v>
      </c>
      <c r="C282" s="489"/>
      <c r="D282" s="489"/>
      <c r="E282" s="489"/>
      <c r="F282" s="490"/>
      <c r="G282" s="122">
        <v>250</v>
      </c>
      <c r="H282" s="123">
        <f>$I$15</f>
        <v>175</v>
      </c>
      <c r="I282" s="99">
        <f t="shared" si="30"/>
        <v>43750</v>
      </c>
      <c r="M282" s="488" t="s">
        <v>268</v>
      </c>
      <c r="N282" s="489"/>
      <c r="O282" s="489"/>
      <c r="P282" s="489"/>
      <c r="Q282" s="490"/>
      <c r="R282" s="122"/>
      <c r="S282" s="123">
        <f>$I$15</f>
        <v>175</v>
      </c>
      <c r="T282" s="99">
        <f t="shared" si="31"/>
        <v>0</v>
      </c>
    </row>
    <row r="283" spans="2:23">
      <c r="B283" s="488" t="s">
        <v>221</v>
      </c>
      <c r="C283" s="489"/>
      <c r="D283" s="489"/>
      <c r="E283" s="489"/>
      <c r="F283" s="490"/>
      <c r="G283" s="122">
        <v>450</v>
      </c>
      <c r="H283" s="123">
        <f>$I$16</f>
        <v>175</v>
      </c>
      <c r="I283" s="99">
        <f t="shared" si="30"/>
        <v>78750</v>
      </c>
      <c r="M283" s="488" t="s">
        <v>221</v>
      </c>
      <c r="N283" s="489"/>
      <c r="O283" s="489"/>
      <c r="P283" s="489"/>
      <c r="Q283" s="490"/>
      <c r="R283" s="122"/>
      <c r="S283" s="123">
        <f>$I$16</f>
        <v>175</v>
      </c>
      <c r="T283" s="99">
        <f t="shared" si="31"/>
        <v>0</v>
      </c>
    </row>
    <row r="284" spans="2:23">
      <c r="B284" s="472" t="s">
        <v>222</v>
      </c>
      <c r="C284" s="473"/>
      <c r="D284" s="473"/>
      <c r="E284" s="473"/>
      <c r="F284" s="474"/>
      <c r="G284" s="122">
        <v>2</v>
      </c>
      <c r="H284" s="123">
        <f>$I$17</f>
        <v>90000</v>
      </c>
      <c r="I284" s="99">
        <f t="shared" si="30"/>
        <v>180000</v>
      </c>
      <c r="M284" s="472" t="s">
        <v>222</v>
      </c>
      <c r="N284" s="473"/>
      <c r="O284" s="473"/>
      <c r="P284" s="473"/>
      <c r="Q284" s="474"/>
      <c r="R284" s="122"/>
      <c r="S284" s="123">
        <f>$I$17</f>
        <v>90000</v>
      </c>
      <c r="T284" s="99">
        <f t="shared" si="31"/>
        <v>0</v>
      </c>
    </row>
    <row r="285" spans="2:23" ht="14.4" thickBot="1">
      <c r="B285" s="485" t="s">
        <v>337</v>
      </c>
      <c r="C285" s="486"/>
      <c r="D285" s="486"/>
      <c r="E285" s="486"/>
      <c r="F285" s="487"/>
      <c r="G285" s="122">
        <v>24</v>
      </c>
      <c r="H285" s="123">
        <f>$I$18</f>
        <v>21000</v>
      </c>
      <c r="I285" s="99">
        <f t="shared" si="30"/>
        <v>504000</v>
      </c>
      <c r="M285" s="485" t="s">
        <v>337</v>
      </c>
      <c r="N285" s="486"/>
      <c r="O285" s="486"/>
      <c r="P285" s="486"/>
      <c r="Q285" s="487"/>
      <c r="R285" s="122"/>
      <c r="S285" s="123">
        <f>$I$18</f>
        <v>21000</v>
      </c>
      <c r="T285" s="99">
        <f t="shared" si="31"/>
        <v>0</v>
      </c>
    </row>
    <row r="286" spans="2:23">
      <c r="B286" s="485" t="s">
        <v>269</v>
      </c>
      <c r="C286" s="486"/>
      <c r="D286" s="486"/>
      <c r="E286" s="486"/>
      <c r="F286" s="487"/>
      <c r="G286" s="122"/>
      <c r="H286" s="123">
        <f>$I$19</f>
        <v>40000</v>
      </c>
      <c r="I286" s="99">
        <f t="shared" si="30"/>
        <v>0</v>
      </c>
      <c r="J286" s="499" t="s">
        <v>275</v>
      </c>
      <c r="K286" s="500"/>
      <c r="L286" s="501"/>
      <c r="M286" s="485" t="s">
        <v>269</v>
      </c>
      <c r="N286" s="486"/>
      <c r="O286" s="486"/>
      <c r="P286" s="486"/>
      <c r="Q286" s="487"/>
      <c r="R286" s="122"/>
      <c r="S286" s="123">
        <f>$I$19</f>
        <v>40000</v>
      </c>
      <c r="T286" s="99">
        <f t="shared" si="31"/>
        <v>0</v>
      </c>
      <c r="U286" s="499" t="s">
        <v>275</v>
      </c>
      <c r="V286" s="500"/>
      <c r="W286" s="501"/>
    </row>
    <row r="287" spans="2:23" ht="14.4" thickBot="1">
      <c r="B287" s="485" t="s">
        <v>270</v>
      </c>
      <c r="C287" s="486"/>
      <c r="D287" s="486"/>
      <c r="E287" s="486"/>
      <c r="F287" s="487"/>
      <c r="G287" s="122"/>
      <c r="H287" s="123">
        <f>$I$20</f>
        <v>13000</v>
      </c>
      <c r="I287" s="99">
        <f t="shared" si="30"/>
        <v>0</v>
      </c>
      <c r="J287" s="502"/>
      <c r="K287" s="503"/>
      <c r="L287" s="504"/>
      <c r="M287" s="485" t="s">
        <v>270</v>
      </c>
      <c r="N287" s="486"/>
      <c r="O287" s="486"/>
      <c r="P287" s="486"/>
      <c r="Q287" s="487"/>
      <c r="R287" s="122"/>
      <c r="S287" s="123">
        <f>$I$20</f>
        <v>13000</v>
      </c>
      <c r="T287" s="99">
        <f t="shared" si="31"/>
        <v>0</v>
      </c>
      <c r="U287" s="502"/>
      <c r="V287" s="503"/>
      <c r="W287" s="504"/>
    </row>
    <row r="288" spans="2:23">
      <c r="B288" s="488"/>
      <c r="C288" s="489"/>
      <c r="D288" s="489"/>
      <c r="E288" s="489"/>
      <c r="F288" s="490"/>
      <c r="G288" s="122"/>
      <c r="H288" s="123"/>
      <c r="I288" s="99">
        <f t="shared" si="30"/>
        <v>0</v>
      </c>
      <c r="J288" s="491">
        <f>SUM(I270:I289)</f>
        <v>10023500</v>
      </c>
      <c r="K288" s="492"/>
      <c r="L288" s="493"/>
      <c r="M288" s="488"/>
      <c r="N288" s="489"/>
      <c r="O288" s="489"/>
      <c r="P288" s="489"/>
      <c r="Q288" s="490"/>
      <c r="R288" s="122"/>
      <c r="S288" s="123"/>
      <c r="T288" s="99">
        <f t="shared" si="31"/>
        <v>0</v>
      </c>
      <c r="U288" s="491">
        <f>SUM(T270:T289)</f>
        <v>0</v>
      </c>
      <c r="V288" s="492"/>
      <c r="W288" s="493"/>
    </row>
    <row r="289" spans="2:23" ht="14.4" thickBot="1">
      <c r="B289" s="497"/>
      <c r="C289" s="498"/>
      <c r="D289" s="498"/>
      <c r="E289" s="498"/>
      <c r="F289" s="498"/>
      <c r="G289" s="124"/>
      <c r="H289" s="125"/>
      <c r="I289" s="100">
        <f t="shared" si="30"/>
        <v>0</v>
      </c>
      <c r="J289" s="494"/>
      <c r="K289" s="495"/>
      <c r="L289" s="496"/>
      <c r="M289" s="497"/>
      <c r="N289" s="498"/>
      <c r="O289" s="498"/>
      <c r="P289" s="498"/>
      <c r="Q289" s="498"/>
      <c r="R289" s="124"/>
      <c r="S289" s="125"/>
      <c r="T289" s="100">
        <f t="shared" si="31"/>
        <v>0</v>
      </c>
      <c r="U289" s="494"/>
      <c r="V289" s="495"/>
      <c r="W289" s="496"/>
    </row>
    <row r="290" spans="2:23" ht="14.4" thickBot="1">
      <c r="B290" s="505" t="s">
        <v>271</v>
      </c>
      <c r="C290" s="506"/>
      <c r="D290" s="506"/>
      <c r="E290" s="506"/>
      <c r="F290" s="506"/>
      <c r="G290" s="506"/>
      <c r="H290" s="506"/>
      <c r="I290" s="507"/>
      <c r="M290" s="505" t="s">
        <v>271</v>
      </c>
      <c r="N290" s="506"/>
      <c r="O290" s="506"/>
      <c r="P290" s="506"/>
      <c r="Q290" s="506"/>
      <c r="R290" s="506"/>
      <c r="S290" s="506"/>
      <c r="T290" s="507"/>
    </row>
    <row r="291" spans="2:23" ht="14.4" thickBot="1">
      <c r="B291" s="467" t="s">
        <v>267</v>
      </c>
      <c r="C291" s="468"/>
      <c r="D291" s="468"/>
      <c r="E291" s="468"/>
      <c r="F291" s="468"/>
      <c r="G291" s="114" t="s">
        <v>266</v>
      </c>
      <c r="H291" s="114" t="s">
        <v>0</v>
      </c>
      <c r="I291" s="97" t="s">
        <v>265</v>
      </c>
      <c r="M291" s="467" t="s">
        <v>267</v>
      </c>
      <c r="N291" s="468"/>
      <c r="O291" s="468"/>
      <c r="P291" s="468"/>
      <c r="Q291" s="468"/>
      <c r="R291" s="114" t="s">
        <v>266</v>
      </c>
      <c r="S291" s="114" t="s">
        <v>0</v>
      </c>
      <c r="T291" s="97" t="s">
        <v>265</v>
      </c>
    </row>
    <row r="292" spans="2:23">
      <c r="B292" s="508" t="s">
        <v>272</v>
      </c>
      <c r="C292" s="509"/>
      <c r="D292" s="509"/>
      <c r="E292" s="509"/>
      <c r="F292" s="510"/>
      <c r="G292" s="116">
        <v>8</v>
      </c>
      <c r="H292" s="117">
        <f>$I$23</f>
        <v>220000</v>
      </c>
      <c r="I292" s="98">
        <f t="shared" ref="I292:I297" si="32">G292*H292</f>
        <v>1760000</v>
      </c>
      <c r="M292" s="508" t="s">
        <v>272</v>
      </c>
      <c r="N292" s="509"/>
      <c r="O292" s="509"/>
      <c r="P292" s="509"/>
      <c r="Q292" s="510"/>
      <c r="R292" s="116"/>
      <c r="S292" s="117">
        <f>$I$23</f>
        <v>220000</v>
      </c>
      <c r="T292" s="98">
        <f t="shared" ref="T292:T297" si="33">R292*S292</f>
        <v>0</v>
      </c>
    </row>
    <row r="293" spans="2:23">
      <c r="B293" s="485" t="s">
        <v>273</v>
      </c>
      <c r="C293" s="486"/>
      <c r="D293" s="486"/>
      <c r="E293" s="486"/>
      <c r="F293" s="487"/>
      <c r="G293" s="122">
        <v>1</v>
      </c>
      <c r="H293" s="117">
        <f>$I$26</f>
        <v>90000</v>
      </c>
      <c r="I293" s="99">
        <f t="shared" si="32"/>
        <v>90000</v>
      </c>
      <c r="M293" s="485" t="s">
        <v>273</v>
      </c>
      <c r="N293" s="486"/>
      <c r="O293" s="486"/>
      <c r="P293" s="486"/>
      <c r="Q293" s="487"/>
      <c r="R293" s="122"/>
      <c r="S293" s="117">
        <f>$I$26</f>
        <v>90000</v>
      </c>
      <c r="T293" s="99">
        <f t="shared" si="33"/>
        <v>0</v>
      </c>
    </row>
    <row r="294" spans="2:23">
      <c r="B294" s="485" t="s">
        <v>224</v>
      </c>
      <c r="C294" s="486"/>
      <c r="D294" s="486"/>
      <c r="E294" s="486"/>
      <c r="F294" s="487"/>
      <c r="G294" s="122">
        <v>1</v>
      </c>
      <c r="H294" s="117">
        <f>$I$27</f>
        <v>60000</v>
      </c>
      <c r="I294" s="99">
        <f t="shared" si="32"/>
        <v>60000</v>
      </c>
      <c r="M294" s="485" t="s">
        <v>224</v>
      </c>
      <c r="N294" s="486"/>
      <c r="O294" s="486"/>
      <c r="P294" s="486"/>
      <c r="Q294" s="487"/>
      <c r="R294" s="122"/>
      <c r="S294" s="117">
        <f>$I$27</f>
        <v>60000</v>
      </c>
      <c r="T294" s="99">
        <f t="shared" si="33"/>
        <v>0</v>
      </c>
    </row>
    <row r="295" spans="2:23">
      <c r="B295" s="485" t="s">
        <v>274</v>
      </c>
      <c r="C295" s="486"/>
      <c r="D295" s="486"/>
      <c r="E295" s="486"/>
      <c r="F295" s="487"/>
      <c r="G295" s="122"/>
      <c r="H295" s="117">
        <f>$I$26</f>
        <v>90000</v>
      </c>
      <c r="I295" s="99">
        <f t="shared" si="32"/>
        <v>0</v>
      </c>
      <c r="M295" s="485" t="s">
        <v>274</v>
      </c>
      <c r="N295" s="486"/>
      <c r="O295" s="486"/>
      <c r="P295" s="486"/>
      <c r="Q295" s="487"/>
      <c r="R295" s="122"/>
      <c r="S295" s="117">
        <f>$I$26</f>
        <v>90000</v>
      </c>
      <c r="T295" s="99">
        <f t="shared" si="33"/>
        <v>0</v>
      </c>
    </row>
    <row r="296" spans="2:23">
      <c r="B296" s="485" t="s">
        <v>226</v>
      </c>
      <c r="C296" s="486"/>
      <c r="D296" s="486"/>
      <c r="E296" s="486"/>
      <c r="F296" s="487"/>
      <c r="G296" s="122"/>
      <c r="H296" s="117"/>
      <c r="I296" s="99">
        <f t="shared" si="32"/>
        <v>0</v>
      </c>
      <c r="M296" s="485" t="s">
        <v>226</v>
      </c>
      <c r="N296" s="486"/>
      <c r="O296" s="486"/>
      <c r="P296" s="486"/>
      <c r="Q296" s="487"/>
      <c r="R296" s="122"/>
      <c r="S296" s="117"/>
      <c r="T296" s="99">
        <f t="shared" si="33"/>
        <v>0</v>
      </c>
    </row>
    <row r="297" spans="2:23">
      <c r="B297" s="126" t="s">
        <v>227</v>
      </c>
      <c r="C297" s="127"/>
      <c r="D297" s="127"/>
      <c r="E297" s="127"/>
      <c r="F297" s="128"/>
      <c r="G297" s="122"/>
      <c r="H297" s="117"/>
      <c r="I297" s="99">
        <f t="shared" si="32"/>
        <v>0</v>
      </c>
      <c r="M297" s="126" t="s">
        <v>227</v>
      </c>
      <c r="N297" s="127"/>
      <c r="O297" s="127"/>
      <c r="P297" s="127"/>
      <c r="Q297" s="128"/>
      <c r="R297" s="122"/>
      <c r="S297" s="117"/>
      <c r="T297" s="99">
        <f t="shared" si="33"/>
        <v>0</v>
      </c>
    </row>
    <row r="298" spans="2:23">
      <c r="B298" s="126" t="s">
        <v>225</v>
      </c>
      <c r="C298" s="127"/>
      <c r="D298" s="127"/>
      <c r="E298" s="127"/>
      <c r="F298" s="128"/>
      <c r="G298" s="122"/>
      <c r="H298" s="117"/>
      <c r="I298" s="99"/>
      <c r="M298" s="126" t="s">
        <v>225</v>
      </c>
      <c r="N298" s="127"/>
      <c r="O298" s="127"/>
      <c r="P298" s="127"/>
      <c r="Q298" s="128"/>
      <c r="R298" s="122"/>
      <c r="S298" s="117"/>
      <c r="T298" s="99"/>
    </row>
    <row r="299" spans="2:23" ht="14.4" thickBot="1">
      <c r="B299" s="126"/>
      <c r="C299" s="127"/>
      <c r="D299" s="127"/>
      <c r="E299" s="127"/>
      <c r="F299" s="128"/>
      <c r="G299" s="122"/>
      <c r="H299" s="123"/>
      <c r="I299" s="99">
        <f t="shared" ref="I299:I303" si="34">G299*H299</f>
        <v>0</v>
      </c>
      <c r="M299" s="126"/>
      <c r="N299" s="127"/>
      <c r="O299" s="127"/>
      <c r="P299" s="127"/>
      <c r="Q299" s="128"/>
      <c r="R299" s="122"/>
      <c r="S299" s="123"/>
      <c r="T299" s="99">
        <f t="shared" ref="T299:T303" si="35">R299*S299</f>
        <v>0</v>
      </c>
    </row>
    <row r="300" spans="2:23">
      <c r="B300" s="485"/>
      <c r="C300" s="486"/>
      <c r="D300" s="486"/>
      <c r="E300" s="486"/>
      <c r="F300" s="487"/>
      <c r="G300" s="122"/>
      <c r="H300" s="123"/>
      <c r="I300" s="99">
        <f t="shared" si="34"/>
        <v>0</v>
      </c>
      <c r="J300" s="499" t="s">
        <v>275</v>
      </c>
      <c r="K300" s="500"/>
      <c r="L300" s="501"/>
      <c r="M300" s="485"/>
      <c r="N300" s="486"/>
      <c r="O300" s="486"/>
      <c r="P300" s="486"/>
      <c r="Q300" s="487"/>
      <c r="R300" s="122"/>
      <c r="S300" s="123"/>
      <c r="T300" s="99">
        <f t="shared" si="35"/>
        <v>0</v>
      </c>
      <c r="U300" s="499" t="s">
        <v>275</v>
      </c>
      <c r="V300" s="500"/>
      <c r="W300" s="501"/>
    </row>
    <row r="301" spans="2:23" ht="14.4" thickBot="1">
      <c r="B301" s="485"/>
      <c r="C301" s="486"/>
      <c r="D301" s="486"/>
      <c r="E301" s="486"/>
      <c r="F301" s="487"/>
      <c r="G301" s="122"/>
      <c r="H301" s="123"/>
      <c r="I301" s="99">
        <f t="shared" si="34"/>
        <v>0</v>
      </c>
      <c r="J301" s="502"/>
      <c r="K301" s="503"/>
      <c r="L301" s="504"/>
      <c r="M301" s="485"/>
      <c r="N301" s="486"/>
      <c r="O301" s="486"/>
      <c r="P301" s="486"/>
      <c r="Q301" s="487"/>
      <c r="R301" s="122"/>
      <c r="S301" s="123"/>
      <c r="T301" s="99">
        <f t="shared" si="35"/>
        <v>0</v>
      </c>
      <c r="U301" s="502"/>
      <c r="V301" s="503"/>
      <c r="W301" s="504"/>
    </row>
    <row r="302" spans="2:23">
      <c r="B302" s="485"/>
      <c r="C302" s="486"/>
      <c r="D302" s="486"/>
      <c r="E302" s="486"/>
      <c r="F302" s="487"/>
      <c r="G302" s="122"/>
      <c r="H302" s="123"/>
      <c r="I302" s="99">
        <f t="shared" si="34"/>
        <v>0</v>
      </c>
      <c r="J302" s="491">
        <f>SUM(I292:I303)</f>
        <v>1910000</v>
      </c>
      <c r="K302" s="492"/>
      <c r="L302" s="493"/>
      <c r="M302" s="485"/>
      <c r="N302" s="486"/>
      <c r="O302" s="486"/>
      <c r="P302" s="486"/>
      <c r="Q302" s="487"/>
      <c r="R302" s="122"/>
      <c r="S302" s="123"/>
      <c r="T302" s="99">
        <f t="shared" si="35"/>
        <v>0</v>
      </c>
      <c r="U302" s="491">
        <f>SUM(T292:T303)</f>
        <v>0</v>
      </c>
      <c r="V302" s="492"/>
      <c r="W302" s="493"/>
    </row>
    <row r="303" spans="2:23" ht="14.4" thickBot="1">
      <c r="B303" s="129"/>
      <c r="C303" s="130"/>
      <c r="D303" s="130"/>
      <c r="E303" s="130"/>
      <c r="F303" s="131"/>
      <c r="G303" s="124"/>
      <c r="H303" s="125"/>
      <c r="I303" s="100">
        <f t="shared" si="34"/>
        <v>0</v>
      </c>
      <c r="J303" s="494"/>
      <c r="K303" s="495"/>
      <c r="L303" s="496"/>
      <c r="M303" s="129"/>
      <c r="N303" s="130"/>
      <c r="O303" s="130"/>
      <c r="P303" s="130"/>
      <c r="Q303" s="131"/>
      <c r="R303" s="124"/>
      <c r="S303" s="125"/>
      <c r="T303" s="100">
        <f t="shared" si="35"/>
        <v>0</v>
      </c>
      <c r="U303" s="494"/>
      <c r="V303" s="495"/>
      <c r="W303" s="496"/>
    </row>
    <row r="304" spans="2:23" ht="14.4" thickBot="1">
      <c r="B304" s="511" t="s">
        <v>25</v>
      </c>
      <c r="C304" s="512"/>
      <c r="D304" s="512"/>
      <c r="E304" s="512"/>
      <c r="F304" s="512"/>
      <c r="G304" s="512"/>
      <c r="H304" s="512"/>
      <c r="I304" s="513"/>
      <c r="J304" s="132"/>
      <c r="K304" s="132"/>
      <c r="L304" s="132"/>
      <c r="M304" s="511" t="s">
        <v>25</v>
      </c>
      <c r="N304" s="512"/>
      <c r="O304" s="512"/>
      <c r="P304" s="512"/>
      <c r="Q304" s="512"/>
      <c r="R304" s="512"/>
      <c r="S304" s="512"/>
      <c r="T304" s="513"/>
      <c r="U304" s="132"/>
      <c r="V304" s="132"/>
      <c r="W304" s="132"/>
    </row>
    <row r="305" spans="2:23" ht="14.4" thickBot="1">
      <c r="B305" s="514" t="s">
        <v>267</v>
      </c>
      <c r="C305" s="515"/>
      <c r="D305" s="515"/>
      <c r="E305" s="515"/>
      <c r="F305" s="515"/>
      <c r="G305" s="133" t="s">
        <v>266</v>
      </c>
      <c r="H305" s="134" t="s">
        <v>0</v>
      </c>
      <c r="I305" s="101" t="s">
        <v>265</v>
      </c>
      <c r="J305" s="132"/>
      <c r="K305" s="132"/>
      <c r="L305" s="132"/>
      <c r="M305" s="514" t="s">
        <v>267</v>
      </c>
      <c r="N305" s="515"/>
      <c r="O305" s="515"/>
      <c r="P305" s="515"/>
      <c r="Q305" s="515"/>
      <c r="R305" s="133" t="s">
        <v>266</v>
      </c>
      <c r="S305" s="134" t="s">
        <v>0</v>
      </c>
      <c r="T305" s="101" t="s">
        <v>265</v>
      </c>
      <c r="U305" s="132"/>
      <c r="V305" s="132"/>
      <c r="W305" s="132"/>
    </row>
    <row r="306" spans="2:23">
      <c r="B306" s="516" t="s">
        <v>31</v>
      </c>
      <c r="C306" s="517"/>
      <c r="D306" s="517"/>
      <c r="E306" s="517"/>
      <c r="F306" s="518"/>
      <c r="G306" s="116">
        <v>2</v>
      </c>
      <c r="H306" s="117">
        <f>$R$4</f>
        <v>300000</v>
      </c>
      <c r="I306" s="99">
        <f t="shared" ref="I306:I308" si="36">G306*H306</f>
        <v>600000</v>
      </c>
      <c r="J306" s="132"/>
      <c r="K306" s="132"/>
      <c r="L306" s="132"/>
      <c r="M306" s="516" t="s">
        <v>31</v>
      </c>
      <c r="N306" s="517"/>
      <c r="O306" s="517"/>
      <c r="P306" s="517"/>
      <c r="Q306" s="518"/>
      <c r="R306" s="116"/>
      <c r="S306" s="117">
        <f>$R$4</f>
        <v>300000</v>
      </c>
      <c r="T306" s="99">
        <f t="shared" ref="T306:T308" si="37">R306*S306</f>
        <v>0</v>
      </c>
      <c r="U306" s="132"/>
      <c r="V306" s="132"/>
      <c r="W306" s="132"/>
    </row>
    <row r="307" spans="2:23">
      <c r="B307" s="519" t="s">
        <v>11</v>
      </c>
      <c r="C307" s="520"/>
      <c r="D307" s="520"/>
      <c r="E307" s="520"/>
      <c r="F307" s="521"/>
      <c r="G307" s="122">
        <v>2</v>
      </c>
      <c r="H307" s="117">
        <f>$R$5</f>
        <v>65000</v>
      </c>
      <c r="I307" s="99">
        <f t="shared" si="36"/>
        <v>130000</v>
      </c>
      <c r="J307" s="132"/>
      <c r="K307" s="132"/>
      <c r="L307" s="132"/>
      <c r="M307" s="519" t="s">
        <v>11</v>
      </c>
      <c r="N307" s="520"/>
      <c r="O307" s="520"/>
      <c r="P307" s="520"/>
      <c r="Q307" s="521"/>
      <c r="R307" s="122"/>
      <c r="S307" s="117">
        <f>$R$5</f>
        <v>65000</v>
      </c>
      <c r="T307" s="99">
        <f t="shared" si="37"/>
        <v>0</v>
      </c>
      <c r="U307" s="132"/>
      <c r="V307" s="132"/>
      <c r="W307" s="132"/>
    </row>
    <row r="308" spans="2:23">
      <c r="B308" s="519" t="s">
        <v>32</v>
      </c>
      <c r="C308" s="520"/>
      <c r="D308" s="520"/>
      <c r="E308" s="520"/>
      <c r="F308" s="521"/>
      <c r="G308" s="122"/>
      <c r="H308" s="117">
        <f>$R$6</f>
        <v>250000</v>
      </c>
      <c r="I308" s="99">
        <f t="shared" si="36"/>
        <v>0</v>
      </c>
      <c r="J308" s="132"/>
      <c r="K308" s="132"/>
      <c r="L308" s="132"/>
      <c r="M308" s="519" t="s">
        <v>32</v>
      </c>
      <c r="N308" s="520"/>
      <c r="O308" s="520"/>
      <c r="P308" s="520"/>
      <c r="Q308" s="521"/>
      <c r="R308" s="122"/>
      <c r="S308" s="117">
        <f>$R$6</f>
        <v>250000</v>
      </c>
      <c r="T308" s="99">
        <f t="shared" si="37"/>
        <v>0</v>
      </c>
      <c r="U308" s="132"/>
      <c r="V308" s="132"/>
      <c r="W308" s="132"/>
    </row>
    <row r="309" spans="2:23">
      <c r="B309" s="519" t="s">
        <v>409</v>
      </c>
      <c r="C309" s="520"/>
      <c r="D309" s="520"/>
      <c r="E309" s="520"/>
      <c r="F309" s="521"/>
      <c r="G309" s="122">
        <v>30</v>
      </c>
      <c r="H309" s="117">
        <v>18000</v>
      </c>
      <c r="I309" s="99">
        <f>G309*H309</f>
        <v>540000</v>
      </c>
      <c r="J309" s="132"/>
      <c r="K309" s="132"/>
      <c r="L309" s="132"/>
      <c r="M309" s="135"/>
      <c r="N309" s="136"/>
      <c r="O309" s="136"/>
      <c r="P309" s="136"/>
      <c r="Q309" s="137"/>
      <c r="R309" s="122"/>
      <c r="S309" s="117"/>
      <c r="T309" s="99"/>
      <c r="U309" s="132"/>
      <c r="V309" s="132"/>
      <c r="W309" s="132"/>
    </row>
    <row r="310" spans="2:23">
      <c r="B310" s="519" t="s">
        <v>327</v>
      </c>
      <c r="C310" s="520"/>
      <c r="D310" s="520"/>
      <c r="E310" s="520"/>
      <c r="F310" s="521"/>
      <c r="G310" s="122">
        <v>100</v>
      </c>
      <c r="H310" s="117">
        <f>$R$7</f>
        <v>30000</v>
      </c>
      <c r="I310" s="99">
        <f>G310*H310</f>
        <v>3000000</v>
      </c>
      <c r="M310" s="519" t="s">
        <v>327</v>
      </c>
      <c r="N310" s="520"/>
      <c r="O310" s="520"/>
      <c r="P310" s="520"/>
      <c r="Q310" s="521"/>
      <c r="R310" s="122"/>
      <c r="S310" s="117">
        <f>$R$7</f>
        <v>30000</v>
      </c>
      <c r="T310" s="99">
        <f>R310*S310</f>
        <v>0</v>
      </c>
    </row>
    <row r="311" spans="2:23">
      <c r="B311" s="519" t="s">
        <v>100</v>
      </c>
      <c r="C311" s="520"/>
      <c r="D311" s="520"/>
      <c r="E311" s="520"/>
      <c r="F311" s="521"/>
      <c r="G311" s="122"/>
      <c r="H311" s="117">
        <f>$R$8</f>
        <v>30000</v>
      </c>
      <c r="I311" s="99">
        <f t="shared" ref="I311:I318" si="38">G311*H311</f>
        <v>0</v>
      </c>
      <c r="M311" s="519" t="s">
        <v>100</v>
      </c>
      <c r="N311" s="520"/>
      <c r="O311" s="520"/>
      <c r="P311" s="520"/>
      <c r="Q311" s="521"/>
      <c r="R311" s="122"/>
      <c r="S311" s="117">
        <f>$R$8</f>
        <v>30000</v>
      </c>
      <c r="T311" s="99">
        <f t="shared" ref="T311:T318" si="39">R311*S311</f>
        <v>0</v>
      </c>
    </row>
    <row r="312" spans="2:23">
      <c r="B312" s="519" t="s">
        <v>328</v>
      </c>
      <c r="C312" s="520"/>
      <c r="D312" s="520"/>
      <c r="E312" s="520"/>
      <c r="F312" s="521"/>
      <c r="G312" s="122"/>
      <c r="H312" s="117">
        <f>$R$9</f>
        <v>50000</v>
      </c>
      <c r="I312" s="99">
        <f t="shared" si="38"/>
        <v>0</v>
      </c>
      <c r="M312" s="519" t="s">
        <v>328</v>
      </c>
      <c r="N312" s="520"/>
      <c r="O312" s="520"/>
      <c r="P312" s="520"/>
      <c r="Q312" s="521"/>
      <c r="R312" s="122"/>
      <c r="S312" s="117">
        <f>$R$9</f>
        <v>50000</v>
      </c>
      <c r="T312" s="99">
        <f t="shared" si="39"/>
        <v>0</v>
      </c>
    </row>
    <row r="313" spans="2:23">
      <c r="B313" s="519" t="s">
        <v>325</v>
      </c>
      <c r="C313" s="520"/>
      <c r="D313" s="520"/>
      <c r="E313" s="520"/>
      <c r="F313" s="521"/>
      <c r="G313" s="122"/>
      <c r="H313" s="117">
        <f>$R$10</f>
        <v>15000</v>
      </c>
      <c r="I313" s="99">
        <f t="shared" si="38"/>
        <v>0</v>
      </c>
      <c r="M313" s="519" t="s">
        <v>325</v>
      </c>
      <c r="N313" s="520"/>
      <c r="O313" s="520"/>
      <c r="P313" s="520"/>
      <c r="Q313" s="521"/>
      <c r="R313" s="122"/>
      <c r="S313" s="117">
        <f>$R$10</f>
        <v>15000</v>
      </c>
      <c r="T313" s="99">
        <f t="shared" si="39"/>
        <v>0</v>
      </c>
    </row>
    <row r="314" spans="2:23" ht="14.4" thickBot="1">
      <c r="B314" s="519" t="s">
        <v>326</v>
      </c>
      <c r="C314" s="520"/>
      <c r="D314" s="520"/>
      <c r="E314" s="520"/>
      <c r="F314" s="521"/>
      <c r="G314" s="122">
        <v>100</v>
      </c>
      <c r="H314" s="117">
        <f>$R$11</f>
        <v>15000</v>
      </c>
      <c r="I314" s="99">
        <f t="shared" si="38"/>
        <v>1500000</v>
      </c>
      <c r="M314" s="519" t="s">
        <v>326</v>
      </c>
      <c r="N314" s="520"/>
      <c r="O314" s="520"/>
      <c r="P314" s="520"/>
      <c r="Q314" s="521"/>
      <c r="R314" s="122"/>
      <c r="S314" s="117">
        <f>$R$11</f>
        <v>15000</v>
      </c>
      <c r="T314" s="99">
        <f t="shared" si="39"/>
        <v>0</v>
      </c>
    </row>
    <row r="315" spans="2:23">
      <c r="B315" s="135" t="s">
        <v>276</v>
      </c>
      <c r="C315" s="136"/>
      <c r="D315" s="136"/>
      <c r="E315" s="136"/>
      <c r="F315" s="137"/>
      <c r="G315" s="122">
        <v>6</v>
      </c>
      <c r="H315" s="117">
        <f>$R$12</f>
        <v>75000</v>
      </c>
      <c r="I315" s="99">
        <f t="shared" si="38"/>
        <v>450000</v>
      </c>
      <c r="J315" s="499" t="s">
        <v>275</v>
      </c>
      <c r="K315" s="500"/>
      <c r="L315" s="501"/>
      <c r="M315" s="135" t="s">
        <v>276</v>
      </c>
      <c r="N315" s="136"/>
      <c r="O315" s="136"/>
      <c r="P315" s="136"/>
      <c r="Q315" s="137"/>
      <c r="R315" s="122"/>
      <c r="S315" s="117">
        <f>$R$12</f>
        <v>75000</v>
      </c>
      <c r="T315" s="99">
        <f t="shared" si="39"/>
        <v>0</v>
      </c>
      <c r="U315" s="499" t="s">
        <v>275</v>
      </c>
      <c r="V315" s="500"/>
      <c r="W315" s="501"/>
    </row>
    <row r="316" spans="2:23" ht="14.4" thickBot="1">
      <c r="B316" s="135" t="s">
        <v>277</v>
      </c>
      <c r="C316" s="136"/>
      <c r="D316" s="136"/>
      <c r="E316" s="136"/>
      <c r="F316" s="137"/>
      <c r="G316" s="122">
        <v>2</v>
      </c>
      <c r="H316" s="117">
        <f>$R$13</f>
        <v>75000</v>
      </c>
      <c r="I316" s="99">
        <f t="shared" si="38"/>
        <v>150000</v>
      </c>
      <c r="J316" s="502"/>
      <c r="K316" s="503"/>
      <c r="L316" s="504"/>
      <c r="M316" s="135" t="s">
        <v>277</v>
      </c>
      <c r="N316" s="136"/>
      <c r="O316" s="136"/>
      <c r="P316" s="136"/>
      <c r="Q316" s="137"/>
      <c r="R316" s="122"/>
      <c r="S316" s="117">
        <f>$R$13</f>
        <v>75000</v>
      </c>
      <c r="T316" s="99">
        <f t="shared" si="39"/>
        <v>0</v>
      </c>
      <c r="U316" s="502"/>
      <c r="V316" s="503"/>
      <c r="W316" s="504"/>
    </row>
    <row r="317" spans="2:23">
      <c r="B317" s="519" t="s">
        <v>75</v>
      </c>
      <c r="C317" s="520"/>
      <c r="D317" s="520"/>
      <c r="E317" s="520"/>
      <c r="F317" s="521"/>
      <c r="G317" s="122">
        <v>30</v>
      </c>
      <c r="H317" s="117">
        <f>$R$14</f>
        <v>30000</v>
      </c>
      <c r="I317" s="99">
        <f t="shared" si="38"/>
        <v>900000</v>
      </c>
      <c r="J317" s="491">
        <f>SUM(I306:I318)</f>
        <v>7366000</v>
      </c>
      <c r="K317" s="492"/>
      <c r="L317" s="493"/>
      <c r="M317" s="519" t="s">
        <v>347</v>
      </c>
      <c r="N317" s="520"/>
      <c r="O317" s="520"/>
      <c r="P317" s="520"/>
      <c r="Q317" s="521"/>
      <c r="R317" s="122"/>
      <c r="S317" s="117">
        <f>$R$14</f>
        <v>30000</v>
      </c>
      <c r="T317" s="99">
        <f t="shared" si="39"/>
        <v>0</v>
      </c>
      <c r="U317" s="491">
        <f>SUM(T306:T318)</f>
        <v>0</v>
      </c>
      <c r="V317" s="492"/>
      <c r="W317" s="493"/>
    </row>
    <row r="318" spans="2:23" ht="14.4" thickBot="1">
      <c r="B318" s="519" t="s">
        <v>12</v>
      </c>
      <c r="C318" s="520"/>
      <c r="D318" s="520"/>
      <c r="E318" s="520"/>
      <c r="F318" s="521"/>
      <c r="G318" s="124">
        <v>8</v>
      </c>
      <c r="H318" s="117">
        <f>$R$15</f>
        <v>12000</v>
      </c>
      <c r="I318" s="99">
        <f t="shared" si="38"/>
        <v>96000</v>
      </c>
      <c r="J318" s="494"/>
      <c r="K318" s="495"/>
      <c r="L318" s="496"/>
      <c r="M318" s="519" t="s">
        <v>12</v>
      </c>
      <c r="N318" s="520"/>
      <c r="O318" s="520"/>
      <c r="P318" s="520"/>
      <c r="Q318" s="521"/>
      <c r="R318" s="124"/>
      <c r="S318" s="117">
        <f>$R$15</f>
        <v>12000</v>
      </c>
      <c r="T318" s="99">
        <f t="shared" si="39"/>
        <v>0</v>
      </c>
      <c r="U318" s="494"/>
      <c r="V318" s="495"/>
      <c r="W318" s="496"/>
    </row>
    <row r="319" spans="2:23" ht="14.4" thickBot="1">
      <c r="B319" s="522" t="s">
        <v>27</v>
      </c>
      <c r="C319" s="523"/>
      <c r="D319" s="523"/>
      <c r="E319" s="523"/>
      <c r="F319" s="523"/>
      <c r="G319" s="523"/>
      <c r="H319" s="523"/>
      <c r="I319" s="524"/>
      <c r="M319" s="522" t="s">
        <v>27</v>
      </c>
      <c r="N319" s="523"/>
      <c r="O319" s="523"/>
      <c r="P319" s="523"/>
      <c r="Q319" s="523"/>
      <c r="R319" s="523"/>
      <c r="S319" s="523"/>
      <c r="T319" s="524"/>
    </row>
    <row r="320" spans="2:23" ht="14.4" thickBot="1">
      <c r="B320" s="522" t="s">
        <v>267</v>
      </c>
      <c r="C320" s="523"/>
      <c r="D320" s="523"/>
      <c r="E320" s="523"/>
      <c r="F320" s="523"/>
      <c r="G320" s="138" t="s">
        <v>266</v>
      </c>
      <c r="H320" s="138" t="s">
        <v>0</v>
      </c>
      <c r="I320" s="102" t="s">
        <v>265</v>
      </c>
      <c r="M320" s="522" t="s">
        <v>267</v>
      </c>
      <c r="N320" s="523"/>
      <c r="O320" s="523"/>
      <c r="P320" s="523"/>
      <c r="Q320" s="523"/>
      <c r="R320" s="138" t="s">
        <v>266</v>
      </c>
      <c r="S320" s="138" t="s">
        <v>0</v>
      </c>
      <c r="T320" s="102" t="s">
        <v>265</v>
      </c>
    </row>
    <row r="321" spans="2:23">
      <c r="B321" s="525" t="s">
        <v>278</v>
      </c>
      <c r="C321" s="526"/>
      <c r="D321" s="526"/>
      <c r="E321" s="526"/>
      <c r="F321" s="527"/>
      <c r="G321" s="116"/>
      <c r="H321" s="117">
        <v>1500000</v>
      </c>
      <c r="I321" s="99">
        <f t="shared" ref="I321:I332" si="40">G321*H321</f>
        <v>0</v>
      </c>
      <c r="M321" s="525" t="s">
        <v>278</v>
      </c>
      <c r="N321" s="526"/>
      <c r="O321" s="526"/>
      <c r="P321" s="526"/>
      <c r="Q321" s="527"/>
      <c r="R321" s="116"/>
      <c r="S321" s="117"/>
      <c r="T321" s="99">
        <f t="shared" ref="T321:T332" si="41">R321*S321</f>
        <v>0</v>
      </c>
    </row>
    <row r="322" spans="2:23">
      <c r="B322" s="525" t="s">
        <v>279</v>
      </c>
      <c r="C322" s="526"/>
      <c r="D322" s="526"/>
      <c r="E322" s="526"/>
      <c r="F322" s="527"/>
      <c r="G322" s="122"/>
      <c r="H322" s="123"/>
      <c r="I322" s="99">
        <f t="shared" si="40"/>
        <v>0</v>
      </c>
      <c r="M322" s="525" t="s">
        <v>279</v>
      </c>
      <c r="N322" s="526"/>
      <c r="O322" s="526"/>
      <c r="P322" s="526"/>
      <c r="Q322" s="527"/>
      <c r="R322" s="122"/>
      <c r="S322" s="123"/>
      <c r="T322" s="99">
        <f t="shared" si="41"/>
        <v>0</v>
      </c>
    </row>
    <row r="323" spans="2:23">
      <c r="B323" s="528" t="s">
        <v>280</v>
      </c>
      <c r="C323" s="529"/>
      <c r="D323" s="529"/>
      <c r="E323" s="529"/>
      <c r="F323" s="530"/>
      <c r="G323" s="122"/>
      <c r="H323" s="123">
        <v>1000000</v>
      </c>
      <c r="I323" s="99">
        <f t="shared" si="40"/>
        <v>0</v>
      </c>
      <c r="M323" s="528" t="s">
        <v>280</v>
      </c>
      <c r="N323" s="529"/>
      <c r="O323" s="529"/>
      <c r="P323" s="529"/>
      <c r="Q323" s="530"/>
      <c r="R323" s="122"/>
      <c r="S323" s="123"/>
      <c r="T323" s="99">
        <f t="shared" si="41"/>
        <v>0</v>
      </c>
    </row>
    <row r="324" spans="2:23">
      <c r="B324" s="528" t="s">
        <v>94</v>
      </c>
      <c r="C324" s="529"/>
      <c r="D324" s="529"/>
      <c r="E324" s="529"/>
      <c r="F324" s="530"/>
      <c r="G324" s="122">
        <v>2</v>
      </c>
      <c r="H324" s="123">
        <v>350000</v>
      </c>
      <c r="I324" s="99">
        <f t="shared" si="40"/>
        <v>700000</v>
      </c>
      <c r="M324" s="528" t="s">
        <v>94</v>
      </c>
      <c r="N324" s="529"/>
      <c r="O324" s="529"/>
      <c r="P324" s="529"/>
      <c r="Q324" s="530"/>
      <c r="R324" s="122"/>
      <c r="S324" s="123"/>
      <c r="T324" s="99">
        <f t="shared" si="41"/>
        <v>0</v>
      </c>
    </row>
    <row r="325" spans="2:23">
      <c r="B325" s="139" t="s">
        <v>281</v>
      </c>
      <c r="C325" s="140"/>
      <c r="D325" s="140"/>
      <c r="E325" s="140"/>
      <c r="F325" s="141"/>
      <c r="G325" s="122"/>
      <c r="H325" s="123"/>
      <c r="I325" s="99">
        <f t="shared" si="40"/>
        <v>0</v>
      </c>
      <c r="M325" s="139" t="s">
        <v>281</v>
      </c>
      <c r="N325" s="140"/>
      <c r="O325" s="140"/>
      <c r="P325" s="140"/>
      <c r="Q325" s="141"/>
      <c r="R325" s="122"/>
      <c r="S325" s="123"/>
      <c r="T325" s="99">
        <f t="shared" si="41"/>
        <v>0</v>
      </c>
    </row>
    <row r="326" spans="2:23">
      <c r="B326" s="528" t="s">
        <v>284</v>
      </c>
      <c r="C326" s="529"/>
      <c r="D326" s="529"/>
      <c r="E326" s="529"/>
      <c r="F326" s="530"/>
      <c r="G326" s="122">
        <v>5</v>
      </c>
      <c r="H326" s="123">
        <v>600000</v>
      </c>
      <c r="I326" s="99">
        <f t="shared" si="40"/>
        <v>3000000</v>
      </c>
      <c r="M326" s="528" t="s">
        <v>284</v>
      </c>
      <c r="N326" s="529"/>
      <c r="O326" s="529"/>
      <c r="P326" s="529"/>
      <c r="Q326" s="530"/>
      <c r="R326" s="122"/>
      <c r="S326" s="123"/>
      <c r="T326" s="99">
        <f t="shared" si="41"/>
        <v>0</v>
      </c>
    </row>
    <row r="327" spans="2:23">
      <c r="B327" s="528" t="s">
        <v>285</v>
      </c>
      <c r="C327" s="529"/>
      <c r="D327" s="529"/>
      <c r="E327" s="529"/>
      <c r="F327" s="530"/>
      <c r="G327" s="122"/>
      <c r="H327" s="123"/>
      <c r="I327" s="99">
        <f t="shared" si="40"/>
        <v>0</v>
      </c>
      <c r="M327" s="528" t="s">
        <v>285</v>
      </c>
      <c r="N327" s="529"/>
      <c r="O327" s="529"/>
      <c r="P327" s="529"/>
      <c r="Q327" s="530"/>
      <c r="R327" s="122"/>
      <c r="S327" s="123"/>
      <c r="T327" s="99">
        <f t="shared" si="41"/>
        <v>0</v>
      </c>
    </row>
    <row r="328" spans="2:23" ht="14.4" thickBot="1">
      <c r="B328" s="139" t="s">
        <v>288</v>
      </c>
      <c r="C328" s="140"/>
      <c r="D328" s="140"/>
      <c r="E328" s="140"/>
      <c r="F328" s="141"/>
      <c r="G328" s="122"/>
      <c r="H328" s="123"/>
      <c r="I328" s="99">
        <f t="shared" si="40"/>
        <v>0</v>
      </c>
      <c r="M328" s="139" t="s">
        <v>288</v>
      </c>
      <c r="N328" s="140"/>
      <c r="O328" s="140"/>
      <c r="P328" s="140"/>
      <c r="Q328" s="141"/>
      <c r="R328" s="122"/>
      <c r="S328" s="123"/>
      <c r="T328" s="99">
        <f t="shared" si="41"/>
        <v>0</v>
      </c>
    </row>
    <row r="329" spans="2:23">
      <c r="B329" s="528" t="s">
        <v>289</v>
      </c>
      <c r="C329" s="529"/>
      <c r="D329" s="529"/>
      <c r="E329" s="529"/>
      <c r="F329" s="530"/>
      <c r="G329" s="122"/>
      <c r="H329" s="123">
        <v>600000</v>
      </c>
      <c r="I329" s="99">
        <f t="shared" si="40"/>
        <v>0</v>
      </c>
      <c r="J329" s="499" t="s">
        <v>275</v>
      </c>
      <c r="K329" s="500"/>
      <c r="L329" s="501"/>
      <c r="M329" s="528" t="s">
        <v>289</v>
      </c>
      <c r="N329" s="529"/>
      <c r="O329" s="529"/>
      <c r="P329" s="529"/>
      <c r="Q329" s="530"/>
      <c r="R329" s="122"/>
      <c r="S329" s="123"/>
      <c r="T329" s="99">
        <f t="shared" si="41"/>
        <v>0</v>
      </c>
      <c r="U329" s="499" t="s">
        <v>275</v>
      </c>
      <c r="V329" s="500"/>
      <c r="W329" s="501"/>
    </row>
    <row r="330" spans="2:23" ht="14.4" thickBot="1">
      <c r="B330" s="528" t="s">
        <v>290</v>
      </c>
      <c r="C330" s="529"/>
      <c r="D330" s="529"/>
      <c r="E330" s="529"/>
      <c r="F330" s="530"/>
      <c r="G330" s="122">
        <v>2</v>
      </c>
      <c r="H330" s="123">
        <v>250000</v>
      </c>
      <c r="I330" s="99">
        <f t="shared" si="40"/>
        <v>500000</v>
      </c>
      <c r="J330" s="502"/>
      <c r="K330" s="503"/>
      <c r="L330" s="504"/>
      <c r="M330" s="528" t="s">
        <v>290</v>
      </c>
      <c r="N330" s="529"/>
      <c r="O330" s="529"/>
      <c r="P330" s="529"/>
      <c r="Q330" s="530"/>
      <c r="R330" s="122"/>
      <c r="S330" s="123"/>
      <c r="T330" s="99">
        <f t="shared" si="41"/>
        <v>0</v>
      </c>
      <c r="U330" s="502"/>
      <c r="V330" s="503"/>
      <c r="W330" s="504"/>
    </row>
    <row r="331" spans="2:23">
      <c r="B331" s="528"/>
      <c r="C331" s="529"/>
      <c r="D331" s="529"/>
      <c r="E331" s="529"/>
      <c r="F331" s="530"/>
      <c r="G331" s="122"/>
      <c r="H331" s="123"/>
      <c r="I331" s="99">
        <f t="shared" si="40"/>
        <v>0</v>
      </c>
      <c r="J331" s="491">
        <f>SUM(I321:I332)</f>
        <v>4200000</v>
      </c>
      <c r="K331" s="492"/>
      <c r="L331" s="493"/>
      <c r="M331" s="528"/>
      <c r="N331" s="529"/>
      <c r="O331" s="529"/>
      <c r="P331" s="529"/>
      <c r="Q331" s="530"/>
      <c r="R331" s="122"/>
      <c r="S331" s="123"/>
      <c r="T331" s="99">
        <f t="shared" si="41"/>
        <v>0</v>
      </c>
      <c r="U331" s="491">
        <f>SUM(T321:T332)</f>
        <v>0</v>
      </c>
      <c r="V331" s="492"/>
      <c r="W331" s="493"/>
    </row>
    <row r="332" spans="2:23" ht="14.4" thickBot="1">
      <c r="B332" s="537"/>
      <c r="C332" s="538"/>
      <c r="D332" s="538"/>
      <c r="E332" s="538"/>
      <c r="F332" s="539"/>
      <c r="G332" s="124"/>
      <c r="H332" s="125"/>
      <c r="I332" s="100">
        <f t="shared" si="40"/>
        <v>0</v>
      </c>
      <c r="J332" s="494"/>
      <c r="K332" s="495"/>
      <c r="L332" s="496"/>
      <c r="M332" s="537"/>
      <c r="N332" s="538"/>
      <c r="O332" s="538"/>
      <c r="P332" s="538"/>
      <c r="Q332" s="539"/>
      <c r="R332" s="124"/>
      <c r="S332" s="125"/>
      <c r="T332" s="100">
        <f t="shared" si="41"/>
        <v>0</v>
      </c>
      <c r="U332" s="494"/>
      <c r="V332" s="495"/>
      <c r="W332" s="496"/>
    </row>
    <row r="333" spans="2:23" ht="14.4" thickBot="1">
      <c r="B333" s="531" t="s">
        <v>26</v>
      </c>
      <c r="C333" s="532"/>
      <c r="D333" s="532"/>
      <c r="E333" s="532"/>
      <c r="F333" s="532"/>
      <c r="G333" s="532"/>
      <c r="H333" s="532"/>
      <c r="I333" s="533"/>
      <c r="J333" s="132"/>
      <c r="K333" s="132"/>
      <c r="L333" s="132"/>
      <c r="M333" s="531" t="s">
        <v>26</v>
      </c>
      <c r="N333" s="532"/>
      <c r="O333" s="532"/>
      <c r="P333" s="532"/>
      <c r="Q333" s="532"/>
      <c r="R333" s="532"/>
      <c r="S333" s="532"/>
      <c r="T333" s="533"/>
      <c r="U333" s="132"/>
      <c r="V333" s="132"/>
      <c r="W333" s="132"/>
    </row>
    <row r="334" spans="2:23" ht="14.4" thickBot="1">
      <c r="B334" s="531" t="s">
        <v>267</v>
      </c>
      <c r="C334" s="532"/>
      <c r="D334" s="532"/>
      <c r="E334" s="532"/>
      <c r="F334" s="532"/>
      <c r="G334" s="142" t="s">
        <v>266</v>
      </c>
      <c r="H334" s="142" t="s">
        <v>0</v>
      </c>
      <c r="I334" s="103" t="s">
        <v>265</v>
      </c>
      <c r="J334" s="132"/>
      <c r="K334" s="132"/>
      <c r="L334" s="132"/>
      <c r="M334" s="531" t="s">
        <v>267</v>
      </c>
      <c r="N334" s="532"/>
      <c r="O334" s="532"/>
      <c r="P334" s="532"/>
      <c r="Q334" s="532"/>
      <c r="R334" s="142" t="s">
        <v>266</v>
      </c>
      <c r="S334" s="142" t="s">
        <v>0</v>
      </c>
      <c r="T334" s="103" t="s">
        <v>265</v>
      </c>
      <c r="U334" s="132"/>
      <c r="V334" s="132"/>
      <c r="W334" s="132"/>
    </row>
    <row r="335" spans="2:23">
      <c r="B335" s="534" t="s">
        <v>296</v>
      </c>
      <c r="C335" s="535"/>
      <c r="D335" s="535"/>
      <c r="E335" s="535"/>
      <c r="F335" s="536"/>
      <c r="G335" s="143">
        <v>2</v>
      </c>
      <c r="H335" s="144">
        <v>50000</v>
      </c>
      <c r="I335" s="104">
        <f t="shared" ref="I335:I351" si="42">G335*H335</f>
        <v>100000</v>
      </c>
      <c r="M335" s="534" t="s">
        <v>296</v>
      </c>
      <c r="N335" s="535"/>
      <c r="O335" s="535"/>
      <c r="P335" s="535"/>
      <c r="Q335" s="536"/>
      <c r="R335" s="143"/>
      <c r="S335" s="144"/>
      <c r="T335" s="104">
        <f t="shared" ref="T335:T351" si="43">R335*S335</f>
        <v>0</v>
      </c>
    </row>
    <row r="336" spans="2:23">
      <c r="B336" s="540" t="s">
        <v>295</v>
      </c>
      <c r="C336" s="541"/>
      <c r="D336" s="541"/>
      <c r="E336" s="541"/>
      <c r="F336" s="542"/>
      <c r="G336" s="122">
        <v>2</v>
      </c>
      <c r="H336" s="123">
        <v>15000</v>
      </c>
      <c r="I336" s="99">
        <f t="shared" si="42"/>
        <v>30000</v>
      </c>
      <c r="M336" s="540" t="s">
        <v>295</v>
      </c>
      <c r="N336" s="541"/>
      <c r="O336" s="541"/>
      <c r="P336" s="541"/>
      <c r="Q336" s="542"/>
      <c r="R336" s="122"/>
      <c r="S336" s="123"/>
      <c r="T336" s="99">
        <f t="shared" si="43"/>
        <v>0</v>
      </c>
    </row>
    <row r="337" spans="2:23">
      <c r="B337" s="540" t="s">
        <v>330</v>
      </c>
      <c r="C337" s="541"/>
      <c r="D337" s="541"/>
      <c r="E337" s="541"/>
      <c r="F337" s="542"/>
      <c r="G337" s="122">
        <v>2</v>
      </c>
      <c r="H337" s="123">
        <v>15000</v>
      </c>
      <c r="I337" s="99">
        <f t="shared" si="42"/>
        <v>30000</v>
      </c>
      <c r="M337" s="540" t="s">
        <v>330</v>
      </c>
      <c r="N337" s="541"/>
      <c r="O337" s="541"/>
      <c r="P337" s="541"/>
      <c r="Q337" s="542"/>
      <c r="R337" s="122"/>
      <c r="S337" s="123"/>
      <c r="T337" s="99">
        <f t="shared" si="43"/>
        <v>0</v>
      </c>
    </row>
    <row r="338" spans="2:23">
      <c r="B338" s="540" t="s">
        <v>329</v>
      </c>
      <c r="C338" s="541"/>
      <c r="D338" s="541"/>
      <c r="E338" s="541"/>
      <c r="F338" s="542"/>
      <c r="G338" s="122">
        <v>4</v>
      </c>
      <c r="H338" s="123">
        <v>12000</v>
      </c>
      <c r="I338" s="99">
        <f t="shared" si="42"/>
        <v>48000</v>
      </c>
      <c r="M338" s="540" t="s">
        <v>329</v>
      </c>
      <c r="N338" s="541"/>
      <c r="O338" s="541"/>
      <c r="P338" s="541"/>
      <c r="Q338" s="542"/>
      <c r="R338" s="122"/>
      <c r="S338" s="123"/>
      <c r="T338" s="99">
        <f t="shared" si="43"/>
        <v>0</v>
      </c>
    </row>
    <row r="339" spans="2:23">
      <c r="B339" s="540" t="s">
        <v>331</v>
      </c>
      <c r="C339" s="541"/>
      <c r="D339" s="541"/>
      <c r="E339" s="541"/>
      <c r="F339" s="542"/>
      <c r="G339" s="122"/>
      <c r="H339" s="123">
        <v>28000</v>
      </c>
      <c r="I339" s="99">
        <f t="shared" si="42"/>
        <v>0</v>
      </c>
      <c r="M339" s="540" t="s">
        <v>331</v>
      </c>
      <c r="N339" s="541"/>
      <c r="O339" s="541"/>
      <c r="P339" s="541"/>
      <c r="Q339" s="542"/>
      <c r="R339" s="122"/>
      <c r="S339" s="123"/>
      <c r="T339" s="99">
        <f t="shared" si="43"/>
        <v>0</v>
      </c>
    </row>
    <row r="340" spans="2:23">
      <c r="B340" s="145" t="s">
        <v>42</v>
      </c>
      <c r="C340" s="146"/>
      <c r="D340" s="146"/>
      <c r="E340" s="146"/>
      <c r="F340" s="147"/>
      <c r="G340" s="122">
        <v>1</v>
      </c>
      <c r="H340" s="123">
        <v>200000</v>
      </c>
      <c r="I340" s="99">
        <f t="shared" si="42"/>
        <v>200000</v>
      </c>
      <c r="M340" s="145" t="s">
        <v>42</v>
      </c>
      <c r="N340" s="146"/>
      <c r="O340" s="146"/>
      <c r="P340" s="146"/>
      <c r="Q340" s="147"/>
      <c r="R340" s="122"/>
      <c r="S340" s="123"/>
      <c r="T340" s="99">
        <f t="shared" si="43"/>
        <v>0</v>
      </c>
    </row>
    <row r="341" spans="2:23">
      <c r="B341" s="145" t="s">
        <v>41</v>
      </c>
      <c r="C341" s="146"/>
      <c r="D341" s="146"/>
      <c r="E341" s="146"/>
      <c r="F341" s="147"/>
      <c r="G341" s="122">
        <v>1</v>
      </c>
      <c r="H341" s="123">
        <v>150000</v>
      </c>
      <c r="I341" s="99">
        <f t="shared" si="42"/>
        <v>150000</v>
      </c>
      <c r="M341" s="145" t="s">
        <v>41</v>
      </c>
      <c r="N341" s="146"/>
      <c r="O341" s="146"/>
      <c r="P341" s="146"/>
      <c r="Q341" s="147"/>
      <c r="R341" s="122"/>
      <c r="S341" s="123"/>
      <c r="T341" s="99">
        <f t="shared" si="43"/>
        <v>0</v>
      </c>
    </row>
    <row r="342" spans="2:23">
      <c r="B342" s="145" t="s">
        <v>3</v>
      </c>
      <c r="C342" s="146"/>
      <c r="D342" s="146"/>
      <c r="E342" s="146"/>
      <c r="F342" s="147"/>
      <c r="G342" s="122">
        <v>3</v>
      </c>
      <c r="H342" s="123">
        <v>100000</v>
      </c>
      <c r="I342" s="99">
        <f t="shared" si="42"/>
        <v>300000</v>
      </c>
      <c r="M342" s="145" t="s">
        <v>3</v>
      </c>
      <c r="N342" s="146"/>
      <c r="O342" s="146"/>
      <c r="P342" s="146"/>
      <c r="Q342" s="147"/>
      <c r="R342" s="122"/>
      <c r="S342" s="123"/>
      <c r="T342" s="99">
        <f t="shared" si="43"/>
        <v>0</v>
      </c>
    </row>
    <row r="343" spans="2:23">
      <c r="B343" s="145" t="s">
        <v>4</v>
      </c>
      <c r="C343" s="146"/>
      <c r="D343" s="146"/>
      <c r="E343" s="146"/>
      <c r="F343" s="147"/>
      <c r="G343" s="122">
        <v>3</v>
      </c>
      <c r="H343" s="123">
        <v>75000</v>
      </c>
      <c r="I343" s="99">
        <f t="shared" si="42"/>
        <v>225000</v>
      </c>
      <c r="M343" s="145" t="s">
        <v>4</v>
      </c>
      <c r="N343" s="146"/>
      <c r="O343" s="146"/>
      <c r="P343" s="146"/>
      <c r="Q343" s="147"/>
      <c r="R343" s="122"/>
      <c r="S343" s="123"/>
      <c r="T343" s="99">
        <f t="shared" si="43"/>
        <v>0</v>
      </c>
    </row>
    <row r="344" spans="2:23">
      <c r="B344" s="145" t="s">
        <v>67</v>
      </c>
      <c r="C344" s="146"/>
      <c r="D344" s="146"/>
      <c r="E344" s="146"/>
      <c r="F344" s="147"/>
      <c r="G344" s="122">
        <v>20</v>
      </c>
      <c r="H344" s="123">
        <v>500</v>
      </c>
      <c r="I344" s="99">
        <f t="shared" si="42"/>
        <v>10000</v>
      </c>
      <c r="M344" s="145" t="s">
        <v>67</v>
      </c>
      <c r="N344" s="146"/>
      <c r="O344" s="146"/>
      <c r="P344" s="146"/>
      <c r="Q344" s="147"/>
      <c r="R344" s="122"/>
      <c r="S344" s="123"/>
      <c r="T344" s="99">
        <f t="shared" si="43"/>
        <v>0</v>
      </c>
    </row>
    <row r="345" spans="2:23">
      <c r="B345" s="145" t="s">
        <v>68</v>
      </c>
      <c r="C345" s="146"/>
      <c r="D345" s="146"/>
      <c r="E345" s="146"/>
      <c r="F345" s="147"/>
      <c r="G345" s="122"/>
      <c r="H345" s="123">
        <v>500</v>
      </c>
      <c r="I345" s="99">
        <f t="shared" si="42"/>
        <v>0</v>
      </c>
      <c r="M345" s="145" t="s">
        <v>68</v>
      </c>
      <c r="N345" s="146"/>
      <c r="O345" s="146"/>
      <c r="P345" s="146"/>
      <c r="Q345" s="147"/>
      <c r="R345" s="122"/>
      <c r="S345" s="123"/>
      <c r="T345" s="99">
        <f t="shared" si="43"/>
        <v>0</v>
      </c>
    </row>
    <row r="346" spans="2:23">
      <c r="B346" s="540" t="s">
        <v>70</v>
      </c>
      <c r="C346" s="541"/>
      <c r="D346" s="541"/>
      <c r="E346" s="541"/>
      <c r="F346" s="542"/>
      <c r="G346" s="122">
        <v>5</v>
      </c>
      <c r="H346" s="123">
        <v>6000</v>
      </c>
      <c r="I346" s="99">
        <f t="shared" si="42"/>
        <v>30000</v>
      </c>
      <c r="M346" s="540" t="s">
        <v>70</v>
      </c>
      <c r="N346" s="541"/>
      <c r="O346" s="541"/>
      <c r="P346" s="541"/>
      <c r="Q346" s="542"/>
      <c r="R346" s="122"/>
      <c r="S346" s="123"/>
      <c r="T346" s="99">
        <f t="shared" si="43"/>
        <v>0</v>
      </c>
    </row>
    <row r="347" spans="2:23" ht="14.4" thickBot="1">
      <c r="B347" s="540" t="s">
        <v>380</v>
      </c>
      <c r="C347" s="541"/>
      <c r="D347" s="541"/>
      <c r="E347" s="541"/>
      <c r="F347" s="542"/>
      <c r="G347" s="122">
        <v>20</v>
      </c>
      <c r="H347" s="123">
        <v>15000</v>
      </c>
      <c r="I347" s="99">
        <f t="shared" si="42"/>
        <v>300000</v>
      </c>
      <c r="M347" s="540" t="s">
        <v>380</v>
      </c>
      <c r="N347" s="541"/>
      <c r="O347" s="541"/>
      <c r="P347" s="541"/>
      <c r="Q347" s="542"/>
      <c r="R347" s="122"/>
      <c r="S347" s="123"/>
      <c r="T347" s="99">
        <f t="shared" si="43"/>
        <v>0</v>
      </c>
    </row>
    <row r="348" spans="2:23">
      <c r="B348" s="540" t="s">
        <v>16</v>
      </c>
      <c r="C348" s="541"/>
      <c r="D348" s="541"/>
      <c r="E348" s="541"/>
      <c r="F348" s="542"/>
      <c r="G348" s="122">
        <v>1</v>
      </c>
      <c r="H348" s="123">
        <v>150000</v>
      </c>
      <c r="I348" s="99">
        <f t="shared" si="42"/>
        <v>150000</v>
      </c>
      <c r="J348" s="499" t="s">
        <v>275</v>
      </c>
      <c r="K348" s="500"/>
      <c r="L348" s="501"/>
      <c r="M348" s="540" t="s">
        <v>16</v>
      </c>
      <c r="N348" s="541"/>
      <c r="O348" s="541"/>
      <c r="P348" s="541"/>
      <c r="Q348" s="542"/>
      <c r="R348" s="122"/>
      <c r="S348" s="123"/>
      <c r="T348" s="99">
        <f t="shared" si="43"/>
        <v>0</v>
      </c>
      <c r="U348" s="499" t="s">
        <v>275</v>
      </c>
      <c r="V348" s="500"/>
      <c r="W348" s="501"/>
    </row>
    <row r="349" spans="2:23" ht="14.4" thickBot="1">
      <c r="B349" s="540" t="s">
        <v>17</v>
      </c>
      <c r="C349" s="541"/>
      <c r="D349" s="541"/>
      <c r="E349" s="541"/>
      <c r="F349" s="542"/>
      <c r="G349" s="122">
        <v>1</v>
      </c>
      <c r="H349" s="123">
        <v>150000</v>
      </c>
      <c r="I349" s="99">
        <f t="shared" si="42"/>
        <v>150000</v>
      </c>
      <c r="J349" s="502"/>
      <c r="K349" s="503"/>
      <c r="L349" s="504"/>
      <c r="M349" s="540" t="s">
        <v>17</v>
      </c>
      <c r="N349" s="541"/>
      <c r="O349" s="541"/>
      <c r="P349" s="541"/>
      <c r="Q349" s="542"/>
      <c r="R349" s="122"/>
      <c r="S349" s="123"/>
      <c r="T349" s="99">
        <f t="shared" si="43"/>
        <v>0</v>
      </c>
      <c r="U349" s="502"/>
      <c r="V349" s="503"/>
      <c r="W349" s="504"/>
    </row>
    <row r="350" spans="2:23">
      <c r="B350" s="540"/>
      <c r="C350" s="541"/>
      <c r="D350" s="541"/>
      <c r="E350" s="541"/>
      <c r="F350" s="542"/>
      <c r="G350" s="122">
        <v>1</v>
      </c>
      <c r="H350" s="123">
        <v>150000</v>
      </c>
      <c r="I350" s="99">
        <f t="shared" si="42"/>
        <v>150000</v>
      </c>
      <c r="J350" s="491">
        <f>SUM(I335:I351)</f>
        <v>1873000</v>
      </c>
      <c r="K350" s="492"/>
      <c r="L350" s="493"/>
      <c r="M350" s="540"/>
      <c r="N350" s="541"/>
      <c r="O350" s="541"/>
      <c r="P350" s="541"/>
      <c r="Q350" s="542"/>
      <c r="R350" s="122"/>
      <c r="S350" s="123"/>
      <c r="T350" s="99">
        <f t="shared" si="43"/>
        <v>0</v>
      </c>
      <c r="U350" s="491">
        <f>SUM(T335:T351)</f>
        <v>0</v>
      </c>
      <c r="V350" s="492"/>
      <c r="W350" s="493"/>
    </row>
    <row r="351" spans="2:23" ht="14.4" thickBot="1">
      <c r="B351" s="543"/>
      <c r="C351" s="544"/>
      <c r="D351" s="544"/>
      <c r="E351" s="544"/>
      <c r="F351" s="545"/>
      <c r="G351" s="124"/>
      <c r="H351" s="125"/>
      <c r="I351" s="100">
        <f t="shared" si="42"/>
        <v>0</v>
      </c>
      <c r="J351" s="494"/>
      <c r="K351" s="495"/>
      <c r="L351" s="496"/>
      <c r="M351" s="543"/>
      <c r="N351" s="544"/>
      <c r="O351" s="544"/>
      <c r="P351" s="544"/>
      <c r="Q351" s="545"/>
      <c r="R351" s="124"/>
      <c r="S351" s="125"/>
      <c r="T351" s="100">
        <f t="shared" si="43"/>
        <v>0</v>
      </c>
      <c r="U351" s="494"/>
      <c r="V351" s="495"/>
      <c r="W351" s="496"/>
    </row>
    <row r="352" spans="2:23" ht="14.4" thickBot="1">
      <c r="B352" s="546" t="s">
        <v>297</v>
      </c>
      <c r="C352" s="547"/>
      <c r="D352" s="547"/>
      <c r="E352" s="547"/>
      <c r="F352" s="547"/>
      <c r="G352" s="547"/>
      <c r="H352" s="547"/>
      <c r="I352" s="548"/>
      <c r="J352" s="132"/>
      <c r="K352" s="132"/>
      <c r="L352" s="132"/>
      <c r="M352" s="546" t="s">
        <v>297</v>
      </c>
      <c r="N352" s="547"/>
      <c r="O352" s="547"/>
      <c r="P352" s="547"/>
      <c r="Q352" s="547"/>
      <c r="R352" s="547"/>
      <c r="S352" s="547"/>
      <c r="T352" s="548"/>
      <c r="U352" s="132"/>
      <c r="V352" s="132"/>
      <c r="W352" s="132"/>
    </row>
    <row r="353" spans="2:23" ht="14.4" thickBot="1">
      <c r="B353" s="546" t="s">
        <v>267</v>
      </c>
      <c r="C353" s="547"/>
      <c r="D353" s="547"/>
      <c r="E353" s="547"/>
      <c r="F353" s="547"/>
      <c r="G353" s="148" t="s">
        <v>266</v>
      </c>
      <c r="H353" s="148" t="s">
        <v>0</v>
      </c>
      <c r="I353" s="105" t="s">
        <v>265</v>
      </c>
      <c r="J353" s="132"/>
      <c r="K353" s="132"/>
      <c r="L353" s="132"/>
      <c r="M353" s="546" t="s">
        <v>267</v>
      </c>
      <c r="N353" s="547"/>
      <c r="O353" s="547"/>
      <c r="P353" s="547"/>
      <c r="Q353" s="547"/>
      <c r="R353" s="148" t="s">
        <v>266</v>
      </c>
      <c r="S353" s="148" t="s">
        <v>0</v>
      </c>
      <c r="T353" s="105" t="s">
        <v>265</v>
      </c>
      <c r="U353" s="132"/>
      <c r="V353" s="132"/>
      <c r="W353" s="132"/>
    </row>
    <row r="354" spans="2:23">
      <c r="B354" s="549" t="s">
        <v>333</v>
      </c>
      <c r="C354" s="550"/>
      <c r="D354" s="550"/>
      <c r="E354" s="550"/>
      <c r="F354" s="551"/>
      <c r="G354" s="116">
        <v>1</v>
      </c>
      <c r="H354" s="117">
        <v>500000</v>
      </c>
      <c r="I354" s="98"/>
      <c r="M354" s="549" t="s">
        <v>333</v>
      </c>
      <c r="N354" s="550"/>
      <c r="O354" s="550"/>
      <c r="P354" s="550"/>
      <c r="Q354" s="551"/>
      <c r="R354" s="116"/>
      <c r="S354" s="117"/>
      <c r="T354" s="98"/>
    </row>
    <row r="355" spans="2:23">
      <c r="B355" s="552" t="s">
        <v>291</v>
      </c>
      <c r="C355" s="553"/>
      <c r="D355" s="553"/>
      <c r="E355" s="553"/>
      <c r="F355" s="554"/>
      <c r="G355" s="122">
        <v>1</v>
      </c>
      <c r="H355" s="123">
        <v>300000</v>
      </c>
      <c r="I355" s="99">
        <f t="shared" ref="I355:I365" si="44">G355*H355</f>
        <v>300000</v>
      </c>
      <c r="M355" s="552" t="s">
        <v>291</v>
      </c>
      <c r="N355" s="553"/>
      <c r="O355" s="553"/>
      <c r="P355" s="553"/>
      <c r="Q355" s="554"/>
      <c r="R355" s="122"/>
      <c r="S355" s="123"/>
      <c r="T355" s="99">
        <f t="shared" ref="T355:T365" si="45">R355*S355</f>
        <v>0</v>
      </c>
    </row>
    <row r="356" spans="2:23">
      <c r="B356" s="552" t="s">
        <v>292</v>
      </c>
      <c r="C356" s="553"/>
      <c r="D356" s="553"/>
      <c r="E356" s="553"/>
      <c r="F356" s="554"/>
      <c r="G356" s="122">
        <v>2</v>
      </c>
      <c r="H356" s="123">
        <v>200000</v>
      </c>
      <c r="I356" s="99">
        <f t="shared" si="44"/>
        <v>400000</v>
      </c>
      <c r="M356" s="552" t="s">
        <v>292</v>
      </c>
      <c r="N356" s="553"/>
      <c r="O356" s="553"/>
      <c r="P356" s="553"/>
      <c r="Q356" s="554"/>
      <c r="R356" s="122"/>
      <c r="S356" s="123"/>
      <c r="T356" s="99">
        <f t="shared" si="45"/>
        <v>0</v>
      </c>
    </row>
    <row r="357" spans="2:23">
      <c r="B357" s="552" t="s">
        <v>293</v>
      </c>
      <c r="C357" s="553"/>
      <c r="D357" s="553"/>
      <c r="E357" s="553"/>
      <c r="F357" s="554"/>
      <c r="G357" s="122"/>
      <c r="H357" s="123">
        <v>500000</v>
      </c>
      <c r="I357" s="99">
        <f t="shared" si="44"/>
        <v>0</v>
      </c>
      <c r="M357" s="552" t="s">
        <v>293</v>
      </c>
      <c r="N357" s="553"/>
      <c r="O357" s="553"/>
      <c r="P357" s="553"/>
      <c r="Q357" s="554"/>
      <c r="R357" s="122"/>
      <c r="S357" s="123"/>
      <c r="T357" s="99">
        <f t="shared" si="45"/>
        <v>0</v>
      </c>
    </row>
    <row r="358" spans="2:23">
      <c r="B358" s="552" t="s">
        <v>193</v>
      </c>
      <c r="C358" s="553"/>
      <c r="D358" s="553"/>
      <c r="E358" s="553"/>
      <c r="F358" s="554"/>
      <c r="G358" s="122">
        <v>2</v>
      </c>
      <c r="H358" s="123">
        <v>650000</v>
      </c>
      <c r="I358" s="99">
        <f t="shared" si="44"/>
        <v>1300000</v>
      </c>
      <c r="M358" s="552" t="s">
        <v>193</v>
      </c>
      <c r="N358" s="553"/>
      <c r="O358" s="553"/>
      <c r="P358" s="553"/>
      <c r="Q358" s="554"/>
      <c r="R358" s="122"/>
      <c r="S358" s="123"/>
      <c r="T358" s="99">
        <f t="shared" si="45"/>
        <v>0</v>
      </c>
    </row>
    <row r="359" spans="2:23">
      <c r="B359" s="552" t="s">
        <v>294</v>
      </c>
      <c r="C359" s="553"/>
      <c r="D359" s="553"/>
      <c r="E359" s="553"/>
      <c r="F359" s="554"/>
      <c r="G359" s="122"/>
      <c r="H359" s="123">
        <v>300000</v>
      </c>
      <c r="I359" s="99">
        <f t="shared" si="44"/>
        <v>0</v>
      </c>
      <c r="M359" s="552" t="s">
        <v>294</v>
      </c>
      <c r="N359" s="553"/>
      <c r="O359" s="553"/>
      <c r="P359" s="553"/>
      <c r="Q359" s="554"/>
      <c r="R359" s="122"/>
      <c r="S359" s="123"/>
      <c r="T359" s="99">
        <f t="shared" si="45"/>
        <v>0</v>
      </c>
    </row>
    <row r="360" spans="2:23">
      <c r="B360" s="552"/>
      <c r="C360" s="553"/>
      <c r="D360" s="553"/>
      <c r="E360" s="553"/>
      <c r="F360" s="554"/>
      <c r="G360" s="122"/>
      <c r="H360" s="123"/>
      <c r="I360" s="99">
        <f t="shared" si="44"/>
        <v>0</v>
      </c>
      <c r="M360" s="552"/>
      <c r="N360" s="553"/>
      <c r="O360" s="553"/>
      <c r="P360" s="553"/>
      <c r="Q360" s="554"/>
      <c r="R360" s="122"/>
      <c r="S360" s="123"/>
      <c r="T360" s="99">
        <f t="shared" si="45"/>
        <v>0</v>
      </c>
    </row>
    <row r="361" spans="2:23" ht="14.4" thickBot="1">
      <c r="B361" s="552"/>
      <c r="C361" s="553"/>
      <c r="D361" s="553"/>
      <c r="E361" s="553"/>
      <c r="F361" s="554"/>
      <c r="G361" s="122"/>
      <c r="H361" s="123"/>
      <c r="I361" s="99">
        <f t="shared" si="44"/>
        <v>0</v>
      </c>
      <c r="M361" s="552"/>
      <c r="N361" s="553"/>
      <c r="O361" s="553"/>
      <c r="P361" s="553"/>
      <c r="Q361" s="554"/>
      <c r="R361" s="122"/>
      <c r="S361" s="123"/>
      <c r="T361" s="99">
        <f t="shared" si="45"/>
        <v>0</v>
      </c>
    </row>
    <row r="362" spans="2:23">
      <c r="B362" s="552"/>
      <c r="C362" s="553"/>
      <c r="D362" s="553"/>
      <c r="E362" s="553"/>
      <c r="F362" s="554"/>
      <c r="G362" s="122"/>
      <c r="H362" s="123"/>
      <c r="I362" s="99">
        <f t="shared" si="44"/>
        <v>0</v>
      </c>
      <c r="J362" s="499" t="s">
        <v>275</v>
      </c>
      <c r="K362" s="500"/>
      <c r="L362" s="501"/>
      <c r="M362" s="552"/>
      <c r="N362" s="553"/>
      <c r="O362" s="553"/>
      <c r="P362" s="553"/>
      <c r="Q362" s="554"/>
      <c r="R362" s="122"/>
      <c r="S362" s="123"/>
      <c r="T362" s="99">
        <f t="shared" si="45"/>
        <v>0</v>
      </c>
      <c r="U362" s="499" t="s">
        <v>275</v>
      </c>
      <c r="V362" s="500"/>
      <c r="W362" s="501"/>
    </row>
    <row r="363" spans="2:23" ht="14.4" thickBot="1">
      <c r="B363" s="557" t="s">
        <v>2</v>
      </c>
      <c r="C363" s="558"/>
      <c r="D363" s="558"/>
      <c r="E363" s="558"/>
      <c r="F363" s="559"/>
      <c r="G363" s="149">
        <v>2</v>
      </c>
      <c r="H363" s="150">
        <v>950000</v>
      </c>
      <c r="I363" s="100">
        <f t="shared" si="44"/>
        <v>1900000</v>
      </c>
      <c r="J363" s="502"/>
      <c r="K363" s="503"/>
      <c r="L363" s="504"/>
      <c r="M363" s="557" t="s">
        <v>2</v>
      </c>
      <c r="N363" s="558"/>
      <c r="O363" s="558"/>
      <c r="P363" s="558"/>
      <c r="Q363" s="559"/>
      <c r="R363" s="149"/>
      <c r="S363" s="150"/>
      <c r="T363" s="100">
        <f t="shared" si="45"/>
        <v>0</v>
      </c>
      <c r="U363" s="502"/>
      <c r="V363" s="503"/>
      <c r="W363" s="504"/>
    </row>
    <row r="364" spans="2:23">
      <c r="B364" s="555" t="s">
        <v>22</v>
      </c>
      <c r="C364" s="556"/>
      <c r="D364" s="556"/>
      <c r="E364" s="556"/>
      <c r="F364" s="556"/>
      <c r="G364" s="122"/>
      <c r="H364" s="123">
        <v>650000</v>
      </c>
      <c r="I364" s="99">
        <f t="shared" si="44"/>
        <v>0</v>
      </c>
      <c r="J364" s="491">
        <f>SUM(I354:I365)</f>
        <v>4200000</v>
      </c>
      <c r="K364" s="492"/>
      <c r="L364" s="493"/>
      <c r="M364" s="555" t="s">
        <v>22</v>
      </c>
      <c r="N364" s="556"/>
      <c r="O364" s="556"/>
      <c r="P364" s="556"/>
      <c r="Q364" s="556"/>
      <c r="R364" s="122"/>
      <c r="S364" s="123"/>
      <c r="T364" s="99">
        <f t="shared" si="45"/>
        <v>0</v>
      </c>
      <c r="U364" s="491">
        <f>SUM(T354:T365)</f>
        <v>0</v>
      </c>
      <c r="V364" s="492"/>
      <c r="W364" s="493"/>
    </row>
    <row r="365" spans="2:23" ht="14.4" thickBot="1">
      <c r="B365" s="555" t="s">
        <v>21</v>
      </c>
      <c r="C365" s="556"/>
      <c r="D365" s="556"/>
      <c r="E365" s="556"/>
      <c r="F365" s="556"/>
      <c r="G365" s="122">
        <v>1</v>
      </c>
      <c r="H365" s="123">
        <v>300000</v>
      </c>
      <c r="I365" s="99">
        <f t="shared" si="44"/>
        <v>300000</v>
      </c>
      <c r="J365" s="494"/>
      <c r="K365" s="495"/>
      <c r="L365" s="496"/>
      <c r="M365" s="555" t="s">
        <v>21</v>
      </c>
      <c r="N365" s="556"/>
      <c r="O365" s="556"/>
      <c r="P365" s="556"/>
      <c r="Q365" s="556"/>
      <c r="R365" s="122"/>
      <c r="S365" s="123"/>
      <c r="T365" s="99">
        <f t="shared" si="45"/>
        <v>0</v>
      </c>
      <c r="U365" s="494"/>
      <c r="V365" s="495"/>
      <c r="W365" s="496"/>
    </row>
    <row r="366" spans="2:23" ht="14.4" thickBot="1">
      <c r="B366" s="560" t="s">
        <v>334</v>
      </c>
      <c r="C366" s="561"/>
      <c r="D366" s="561"/>
      <c r="E366" s="561"/>
      <c r="F366" s="561"/>
      <c r="G366" s="561"/>
      <c r="H366" s="561"/>
      <c r="I366" s="562"/>
      <c r="J366" s="151"/>
      <c r="K366" s="132"/>
      <c r="L366" s="132"/>
      <c r="M366" s="560" t="s">
        <v>334</v>
      </c>
      <c r="N366" s="561"/>
      <c r="O366" s="561"/>
      <c r="P366" s="561"/>
      <c r="Q366" s="561"/>
      <c r="R366" s="561"/>
      <c r="S366" s="561"/>
      <c r="T366" s="562"/>
      <c r="U366" s="151"/>
      <c r="V366" s="132"/>
      <c r="W366" s="132"/>
    </row>
    <row r="367" spans="2:23" ht="14.4" thickBot="1">
      <c r="B367" s="560" t="s">
        <v>267</v>
      </c>
      <c r="C367" s="561"/>
      <c r="D367" s="561"/>
      <c r="E367" s="561"/>
      <c r="F367" s="561"/>
      <c r="G367" s="152" t="s">
        <v>266</v>
      </c>
      <c r="H367" s="152" t="s">
        <v>0</v>
      </c>
      <c r="I367" s="106" t="s">
        <v>265</v>
      </c>
      <c r="J367" s="151"/>
      <c r="K367" s="132"/>
      <c r="L367" s="132"/>
      <c r="M367" s="560" t="s">
        <v>267</v>
      </c>
      <c r="N367" s="561"/>
      <c r="O367" s="561"/>
      <c r="P367" s="561"/>
      <c r="Q367" s="561"/>
      <c r="R367" s="152" t="s">
        <v>266</v>
      </c>
      <c r="S367" s="152" t="s">
        <v>0</v>
      </c>
      <c r="T367" s="106" t="s">
        <v>265</v>
      </c>
      <c r="U367" s="151"/>
      <c r="V367" s="132"/>
      <c r="W367" s="132"/>
    </row>
    <row r="368" spans="2:23">
      <c r="B368" s="563" t="s">
        <v>8</v>
      </c>
      <c r="C368" s="564"/>
      <c r="D368" s="564"/>
      <c r="E368" s="564"/>
      <c r="F368" s="564"/>
      <c r="G368" s="122">
        <v>24</v>
      </c>
      <c r="H368" s="123">
        <v>120000</v>
      </c>
      <c r="I368" s="99">
        <f t="shared" ref="I368:I371" si="46">G368*H368</f>
        <v>2880000</v>
      </c>
      <c r="J368" s="499" t="s">
        <v>275</v>
      </c>
      <c r="K368" s="500"/>
      <c r="L368" s="501"/>
      <c r="M368" s="563" t="s">
        <v>8</v>
      </c>
      <c r="N368" s="564"/>
      <c r="O368" s="564"/>
      <c r="P368" s="564"/>
      <c r="Q368" s="564"/>
      <c r="R368" s="122"/>
      <c r="S368" s="123"/>
      <c r="T368" s="99">
        <f t="shared" ref="T368:T371" si="47">R368*S368</f>
        <v>0</v>
      </c>
      <c r="U368" s="499" t="s">
        <v>275</v>
      </c>
      <c r="V368" s="500"/>
      <c r="W368" s="501"/>
    </row>
    <row r="369" spans="2:23" ht="14.4" thickBot="1">
      <c r="B369" s="563" t="s">
        <v>9</v>
      </c>
      <c r="C369" s="564"/>
      <c r="D369" s="564"/>
      <c r="E369" s="564"/>
      <c r="F369" s="564"/>
      <c r="G369" s="122">
        <v>1</v>
      </c>
      <c r="H369" s="123">
        <v>600000</v>
      </c>
      <c r="I369" s="99">
        <f t="shared" si="46"/>
        <v>600000</v>
      </c>
      <c r="J369" s="502"/>
      <c r="K369" s="503"/>
      <c r="L369" s="504"/>
      <c r="M369" s="563" t="s">
        <v>9</v>
      </c>
      <c r="N369" s="564"/>
      <c r="O369" s="564"/>
      <c r="P369" s="564"/>
      <c r="Q369" s="564"/>
      <c r="R369" s="122"/>
      <c r="S369" s="123"/>
      <c r="T369" s="99">
        <f t="shared" si="47"/>
        <v>0</v>
      </c>
      <c r="U369" s="502"/>
      <c r="V369" s="503"/>
      <c r="W369" s="504"/>
    </row>
    <row r="370" spans="2:23">
      <c r="B370" s="563" t="s">
        <v>335</v>
      </c>
      <c r="C370" s="564"/>
      <c r="D370" s="564"/>
      <c r="E370" s="564"/>
      <c r="F370" s="564"/>
      <c r="G370" s="122">
        <v>1</v>
      </c>
      <c r="H370" s="123">
        <v>100000</v>
      </c>
      <c r="I370" s="99">
        <f t="shared" si="46"/>
        <v>100000</v>
      </c>
      <c r="J370" s="491">
        <f>SUM(I368:I371)</f>
        <v>4180000</v>
      </c>
      <c r="K370" s="492"/>
      <c r="L370" s="493"/>
      <c r="M370" s="563" t="s">
        <v>335</v>
      </c>
      <c r="N370" s="564"/>
      <c r="O370" s="564"/>
      <c r="P370" s="564"/>
      <c r="Q370" s="564"/>
      <c r="R370" s="122"/>
      <c r="S370" s="123"/>
      <c r="T370" s="99">
        <f t="shared" si="47"/>
        <v>0</v>
      </c>
      <c r="U370" s="491">
        <f>SUM(T368:T371)</f>
        <v>0</v>
      </c>
      <c r="V370" s="492"/>
      <c r="W370" s="493"/>
    </row>
    <row r="371" spans="2:23" ht="14.4" thickBot="1">
      <c r="B371" s="583" t="s">
        <v>336</v>
      </c>
      <c r="C371" s="584"/>
      <c r="D371" s="584"/>
      <c r="E371" s="584"/>
      <c r="F371" s="584"/>
      <c r="G371" s="153">
        <v>2</v>
      </c>
      <c r="H371" s="154">
        <v>300000</v>
      </c>
      <c r="I371" s="107">
        <f t="shared" si="46"/>
        <v>600000</v>
      </c>
      <c r="J371" s="494"/>
      <c r="K371" s="495"/>
      <c r="L371" s="496"/>
      <c r="M371" s="583" t="s">
        <v>336</v>
      </c>
      <c r="N371" s="584"/>
      <c r="O371" s="584"/>
      <c r="P371" s="584"/>
      <c r="Q371" s="584"/>
      <c r="R371" s="153"/>
      <c r="S371" s="154"/>
      <c r="T371" s="107">
        <f t="shared" si="47"/>
        <v>0</v>
      </c>
      <c r="U371" s="494"/>
      <c r="V371" s="495"/>
      <c r="W371" s="496"/>
    </row>
    <row r="372" spans="2:23">
      <c r="B372" s="565" t="s">
        <v>298</v>
      </c>
      <c r="C372" s="566"/>
      <c r="D372" s="566"/>
      <c r="E372" s="566"/>
      <c r="F372" s="566"/>
      <c r="G372" s="566"/>
      <c r="H372" s="566"/>
      <c r="I372" s="567"/>
      <c r="J372" s="574">
        <f>SUM(J370,J364,J350,J331,J317,J302,J288)</f>
        <v>33752500</v>
      </c>
      <c r="K372" s="575"/>
      <c r="L372" s="576"/>
      <c r="M372" s="565" t="s">
        <v>298</v>
      </c>
      <c r="N372" s="566"/>
      <c r="O372" s="566"/>
      <c r="P372" s="566"/>
      <c r="Q372" s="566"/>
      <c r="R372" s="566"/>
      <c r="S372" s="566"/>
      <c r="T372" s="567"/>
      <c r="U372" s="574">
        <f>SUM(U370,U364,U350,U331,U317,U302,U288)</f>
        <v>0</v>
      </c>
      <c r="V372" s="575"/>
      <c r="W372" s="576"/>
    </row>
    <row r="373" spans="2:23">
      <c r="B373" s="568"/>
      <c r="C373" s="569"/>
      <c r="D373" s="569"/>
      <c r="E373" s="569"/>
      <c r="F373" s="569"/>
      <c r="G373" s="569"/>
      <c r="H373" s="569"/>
      <c r="I373" s="570"/>
      <c r="J373" s="577"/>
      <c r="K373" s="578"/>
      <c r="L373" s="579"/>
      <c r="M373" s="568"/>
      <c r="N373" s="569"/>
      <c r="O373" s="569"/>
      <c r="P373" s="569"/>
      <c r="Q373" s="569"/>
      <c r="R373" s="569"/>
      <c r="S373" s="569"/>
      <c r="T373" s="570"/>
      <c r="U373" s="577"/>
      <c r="V373" s="578"/>
      <c r="W373" s="579"/>
    </row>
    <row r="374" spans="2:23" ht="14.4" thickBot="1">
      <c r="B374" s="571"/>
      <c r="C374" s="572"/>
      <c r="D374" s="572"/>
      <c r="E374" s="572"/>
      <c r="F374" s="572"/>
      <c r="G374" s="572"/>
      <c r="H374" s="572"/>
      <c r="I374" s="573"/>
      <c r="J374" s="580"/>
      <c r="K374" s="581"/>
      <c r="L374" s="582"/>
      <c r="M374" s="571"/>
      <c r="N374" s="572"/>
      <c r="O374" s="572"/>
      <c r="P374" s="572"/>
      <c r="Q374" s="572"/>
      <c r="R374" s="572"/>
      <c r="S374" s="572"/>
      <c r="T374" s="573"/>
      <c r="U374" s="580"/>
      <c r="V374" s="581"/>
      <c r="W374" s="582"/>
    </row>
    <row r="375" spans="2:23">
      <c r="B375" s="475" t="s">
        <v>395</v>
      </c>
      <c r="C375" s="476"/>
      <c r="D375" s="476"/>
      <c r="E375" s="476"/>
      <c r="F375" s="476"/>
      <c r="G375" s="476"/>
      <c r="H375" s="476"/>
      <c r="I375" s="477"/>
      <c r="M375" s="475"/>
      <c r="N375" s="476"/>
      <c r="O375" s="476"/>
      <c r="P375" s="476"/>
      <c r="Q375" s="476"/>
      <c r="R375" s="476"/>
      <c r="S375" s="476"/>
      <c r="T375" s="477"/>
    </row>
    <row r="376" spans="2:23">
      <c r="B376" s="478"/>
      <c r="C376" s="479"/>
      <c r="D376" s="479"/>
      <c r="E376" s="479"/>
      <c r="F376" s="479"/>
      <c r="G376" s="479"/>
      <c r="H376" s="479"/>
      <c r="I376" s="480"/>
      <c r="M376" s="478"/>
      <c r="N376" s="479"/>
      <c r="O376" s="479"/>
      <c r="P376" s="479"/>
      <c r="Q376" s="479"/>
      <c r="R376" s="479"/>
      <c r="S376" s="479"/>
      <c r="T376" s="480"/>
    </row>
    <row r="377" spans="2:23" ht="14.4" thickBot="1">
      <c r="B377" s="481"/>
      <c r="C377" s="482"/>
      <c r="D377" s="482"/>
      <c r="E377" s="482"/>
      <c r="F377" s="482"/>
      <c r="G377" s="482"/>
      <c r="H377" s="482"/>
      <c r="I377" s="483"/>
      <c r="M377" s="481"/>
      <c r="N377" s="482"/>
      <c r="O377" s="482"/>
      <c r="P377" s="482"/>
      <c r="Q377" s="482"/>
      <c r="R377" s="482"/>
      <c r="S377" s="482"/>
      <c r="T377" s="483"/>
    </row>
    <row r="378" spans="2:23" ht="14.4" thickBot="1">
      <c r="B378" s="467" t="s">
        <v>262</v>
      </c>
      <c r="C378" s="468"/>
      <c r="D378" s="468"/>
      <c r="E378" s="468"/>
      <c r="F378" s="468"/>
      <c r="G378" s="468"/>
      <c r="H378" s="468"/>
      <c r="I378" s="484"/>
      <c r="M378" s="467" t="s">
        <v>262</v>
      </c>
      <c r="N378" s="468"/>
      <c r="O378" s="468"/>
      <c r="P378" s="468"/>
      <c r="Q378" s="468"/>
      <c r="R378" s="468"/>
      <c r="S378" s="468"/>
      <c r="T378" s="484"/>
    </row>
    <row r="379" spans="2:23" ht="14.4" thickBot="1">
      <c r="B379" s="467" t="s">
        <v>267</v>
      </c>
      <c r="C379" s="468"/>
      <c r="D379" s="468"/>
      <c r="E379" s="468"/>
      <c r="F379" s="468"/>
      <c r="G379" s="114" t="s">
        <v>266</v>
      </c>
      <c r="H379" s="114" t="s">
        <v>0</v>
      </c>
      <c r="I379" s="97" t="s">
        <v>265</v>
      </c>
      <c r="M379" s="467" t="s">
        <v>267</v>
      </c>
      <c r="N379" s="468"/>
      <c r="O379" s="468"/>
      <c r="P379" s="468"/>
      <c r="Q379" s="468"/>
      <c r="R379" s="114" t="s">
        <v>266</v>
      </c>
      <c r="S379" s="114" t="s">
        <v>0</v>
      </c>
      <c r="T379" s="97" t="s">
        <v>265</v>
      </c>
    </row>
    <row r="380" spans="2:23">
      <c r="B380" s="469" t="s">
        <v>13</v>
      </c>
      <c r="C380" s="470"/>
      <c r="D380" s="470"/>
      <c r="E380" s="471"/>
      <c r="F380" s="115">
        <v>1</v>
      </c>
      <c r="G380" s="116"/>
      <c r="H380" s="117">
        <f>$I$4</f>
        <v>160000</v>
      </c>
      <c r="I380" s="98">
        <f>F380*G380*H380</f>
        <v>0</v>
      </c>
      <c r="M380" s="469" t="s">
        <v>13</v>
      </c>
      <c r="N380" s="470"/>
      <c r="O380" s="470"/>
      <c r="P380" s="471"/>
      <c r="Q380" s="115">
        <v>1</v>
      </c>
      <c r="R380" s="116"/>
      <c r="S380" s="117">
        <f>$I$4</f>
        <v>160000</v>
      </c>
      <c r="T380" s="98">
        <f>Q380*R380*S380</f>
        <v>0</v>
      </c>
    </row>
    <row r="381" spans="2:23">
      <c r="B381" s="118" t="s">
        <v>261</v>
      </c>
      <c r="C381" s="119"/>
      <c r="D381" s="119"/>
      <c r="E381" s="120"/>
      <c r="F381" s="121">
        <v>1</v>
      </c>
      <c r="G381" s="122"/>
      <c r="H381" s="123">
        <f>$I$5</f>
        <v>165000</v>
      </c>
      <c r="I381" s="99"/>
      <c r="M381" s="118" t="s">
        <v>261</v>
      </c>
      <c r="N381" s="119"/>
      <c r="O381" s="119"/>
      <c r="P381" s="120"/>
      <c r="Q381" s="121">
        <v>1</v>
      </c>
      <c r="R381" s="122"/>
      <c r="S381" s="123">
        <f>$I$5</f>
        <v>165000</v>
      </c>
      <c r="T381" s="99"/>
    </row>
    <row r="382" spans="2:23">
      <c r="B382" s="472" t="s">
        <v>14</v>
      </c>
      <c r="C382" s="473"/>
      <c r="D382" s="473"/>
      <c r="E382" s="474"/>
      <c r="F382" s="121">
        <v>1</v>
      </c>
      <c r="G382" s="122">
        <v>7</v>
      </c>
      <c r="H382" s="123">
        <f>$I$6</f>
        <v>140000</v>
      </c>
      <c r="I382" s="99">
        <f>F382*G382*H382</f>
        <v>980000</v>
      </c>
      <c r="M382" s="472" t="s">
        <v>356</v>
      </c>
      <c r="N382" s="473"/>
      <c r="O382" s="473"/>
      <c r="P382" s="474"/>
      <c r="Q382" s="121">
        <v>1</v>
      </c>
      <c r="R382" s="122"/>
      <c r="S382" s="123">
        <f>$I$6</f>
        <v>140000</v>
      </c>
      <c r="T382" s="99">
        <f>Q382*R382*S382</f>
        <v>0</v>
      </c>
    </row>
    <row r="383" spans="2:23">
      <c r="B383" s="472" t="s">
        <v>23</v>
      </c>
      <c r="C383" s="473"/>
      <c r="D383" s="473"/>
      <c r="E383" s="474"/>
      <c r="F383" s="121">
        <v>1</v>
      </c>
      <c r="G383" s="122"/>
      <c r="H383" s="123">
        <f>$I$7</f>
        <v>150000</v>
      </c>
      <c r="I383" s="99">
        <f>F383*G383*H383</f>
        <v>0</v>
      </c>
      <c r="M383" s="472" t="s">
        <v>357</v>
      </c>
      <c r="N383" s="473"/>
      <c r="O383" s="473"/>
      <c r="P383" s="474"/>
      <c r="Q383" s="121">
        <v>1</v>
      </c>
      <c r="R383" s="122"/>
      <c r="S383" s="123">
        <f>$I$7</f>
        <v>150000</v>
      </c>
      <c r="T383" s="99">
        <f>Q383*R383*S383</f>
        <v>0</v>
      </c>
    </row>
    <row r="384" spans="2:23">
      <c r="B384" s="472" t="s">
        <v>20</v>
      </c>
      <c r="C384" s="473"/>
      <c r="D384" s="473"/>
      <c r="E384" s="474"/>
      <c r="F384" s="121">
        <v>1</v>
      </c>
      <c r="G384" s="122">
        <v>2</v>
      </c>
      <c r="H384" s="123">
        <v>45000</v>
      </c>
      <c r="I384" s="99">
        <f>F384*G384*H384</f>
        <v>90000</v>
      </c>
      <c r="M384" s="472"/>
      <c r="N384" s="473"/>
      <c r="O384" s="473"/>
      <c r="P384" s="474"/>
      <c r="Q384" s="121"/>
      <c r="R384" s="122"/>
      <c r="S384" s="123"/>
      <c r="T384" s="99">
        <f>Q384*R384*S384</f>
        <v>0</v>
      </c>
    </row>
    <row r="385" spans="2:23">
      <c r="B385" s="485" t="s">
        <v>18</v>
      </c>
      <c r="C385" s="486"/>
      <c r="D385" s="486"/>
      <c r="E385" s="486"/>
      <c r="F385" s="487"/>
      <c r="G385" s="122">
        <v>10</v>
      </c>
      <c r="H385" s="123">
        <f>$I$8</f>
        <v>12800</v>
      </c>
      <c r="I385" s="99">
        <f>G385*H385</f>
        <v>128000</v>
      </c>
      <c r="M385" s="485" t="s">
        <v>358</v>
      </c>
      <c r="N385" s="486"/>
      <c r="O385" s="486"/>
      <c r="P385" s="486"/>
      <c r="Q385" s="487"/>
      <c r="R385" s="122"/>
      <c r="S385" s="123">
        <f>$I$8</f>
        <v>12800</v>
      </c>
      <c r="T385" s="99">
        <f>R385*S385</f>
        <v>0</v>
      </c>
    </row>
    <row r="386" spans="2:23">
      <c r="B386" s="485" t="s">
        <v>19</v>
      </c>
      <c r="C386" s="486"/>
      <c r="D386" s="486"/>
      <c r="E386" s="486"/>
      <c r="F386" s="487"/>
      <c r="G386" s="122">
        <v>20</v>
      </c>
      <c r="H386" s="123">
        <f>$I$9</f>
        <v>11100</v>
      </c>
      <c r="I386" s="99">
        <f>G386*H386</f>
        <v>222000</v>
      </c>
      <c r="M386" s="485" t="s">
        <v>264</v>
      </c>
      <c r="N386" s="486"/>
      <c r="O386" s="486"/>
      <c r="P386" s="486"/>
      <c r="Q386" s="487"/>
      <c r="R386" s="122"/>
      <c r="S386" s="123">
        <f>$I$9</f>
        <v>11100</v>
      </c>
      <c r="T386" s="99">
        <f>R386*S386</f>
        <v>0</v>
      </c>
    </row>
    <row r="387" spans="2:23">
      <c r="B387" s="488" t="s">
        <v>259</v>
      </c>
      <c r="C387" s="489"/>
      <c r="D387" s="489"/>
      <c r="E387" s="489"/>
      <c r="F387" s="490"/>
      <c r="G387" s="122"/>
      <c r="H387" s="123">
        <f>$I$10</f>
        <v>58</v>
      </c>
      <c r="I387" s="99">
        <f t="shared" ref="I387:I399" si="48">G387*H387</f>
        <v>0</v>
      </c>
      <c r="M387" s="488" t="s">
        <v>359</v>
      </c>
      <c r="N387" s="489"/>
      <c r="O387" s="489"/>
      <c r="P387" s="489"/>
      <c r="Q387" s="490"/>
      <c r="R387" s="122"/>
      <c r="S387" s="123">
        <f>$I$10</f>
        <v>58</v>
      </c>
      <c r="T387" s="99">
        <f t="shared" ref="T387:T399" si="49">R387*S387</f>
        <v>0</v>
      </c>
    </row>
    <row r="388" spans="2:23">
      <c r="B388" s="488" t="s">
        <v>260</v>
      </c>
      <c r="C388" s="489"/>
      <c r="D388" s="489"/>
      <c r="E388" s="489"/>
      <c r="F388" s="490"/>
      <c r="G388" s="122">
        <v>1000</v>
      </c>
      <c r="H388" s="123">
        <f>$I$11</f>
        <v>35</v>
      </c>
      <c r="I388" s="99">
        <f t="shared" si="48"/>
        <v>35000</v>
      </c>
      <c r="M388" s="488" t="s">
        <v>360</v>
      </c>
      <c r="N388" s="489"/>
      <c r="O388" s="489"/>
      <c r="P388" s="489"/>
      <c r="Q388" s="490"/>
      <c r="R388" s="122"/>
      <c r="S388" s="123">
        <f>$I$11</f>
        <v>35</v>
      </c>
      <c r="T388" s="99">
        <f t="shared" si="49"/>
        <v>0</v>
      </c>
    </row>
    <row r="389" spans="2:23">
      <c r="B389" s="488" t="s">
        <v>299</v>
      </c>
      <c r="C389" s="489"/>
      <c r="D389" s="489"/>
      <c r="E389" s="489"/>
      <c r="F389" s="490"/>
      <c r="G389" s="122">
        <v>100</v>
      </c>
      <c r="H389" s="123">
        <f>$I$12</f>
        <v>1250</v>
      </c>
      <c r="I389" s="99">
        <f t="shared" si="48"/>
        <v>125000</v>
      </c>
      <c r="M389" s="488" t="s">
        <v>361</v>
      </c>
      <c r="N389" s="489"/>
      <c r="O389" s="489"/>
      <c r="P389" s="489"/>
      <c r="Q389" s="490"/>
      <c r="R389" s="122"/>
      <c r="S389" s="123">
        <f>$I$12</f>
        <v>1250</v>
      </c>
      <c r="T389" s="99">
        <f t="shared" si="49"/>
        <v>0</v>
      </c>
    </row>
    <row r="390" spans="2:23">
      <c r="B390" s="488" t="s">
        <v>300</v>
      </c>
      <c r="C390" s="489"/>
      <c r="D390" s="489"/>
      <c r="E390" s="489"/>
      <c r="F390" s="490"/>
      <c r="G390" s="122"/>
      <c r="H390" s="123">
        <f>$I$13</f>
        <v>1250</v>
      </c>
      <c r="I390" s="99">
        <f t="shared" si="48"/>
        <v>0</v>
      </c>
      <c r="M390" s="488" t="s">
        <v>362</v>
      </c>
      <c r="N390" s="489"/>
      <c r="O390" s="489"/>
      <c r="P390" s="489"/>
      <c r="Q390" s="490"/>
      <c r="R390" s="122"/>
      <c r="S390" s="123">
        <f>$I$13</f>
        <v>1250</v>
      </c>
      <c r="T390" s="99">
        <f t="shared" si="49"/>
        <v>0</v>
      </c>
    </row>
    <row r="391" spans="2:23">
      <c r="B391" s="488" t="s">
        <v>220</v>
      </c>
      <c r="C391" s="489"/>
      <c r="D391" s="489"/>
      <c r="E391" s="489"/>
      <c r="F391" s="490"/>
      <c r="G391" s="122"/>
      <c r="H391" s="123">
        <f>$I$14</f>
        <v>750</v>
      </c>
      <c r="I391" s="99">
        <f t="shared" si="48"/>
        <v>0</v>
      </c>
      <c r="M391" s="488" t="s">
        <v>363</v>
      </c>
      <c r="N391" s="489"/>
      <c r="O391" s="489"/>
      <c r="P391" s="489"/>
      <c r="Q391" s="490"/>
      <c r="R391" s="122"/>
      <c r="S391" s="123">
        <f>$I$14</f>
        <v>750</v>
      </c>
      <c r="T391" s="99">
        <f t="shared" si="49"/>
        <v>0</v>
      </c>
    </row>
    <row r="392" spans="2:23">
      <c r="B392" s="488" t="s">
        <v>268</v>
      </c>
      <c r="C392" s="489"/>
      <c r="D392" s="489"/>
      <c r="E392" s="489"/>
      <c r="F392" s="490"/>
      <c r="G392" s="122">
        <v>100</v>
      </c>
      <c r="H392" s="123">
        <f>$I$15</f>
        <v>175</v>
      </c>
      <c r="I392" s="99">
        <f t="shared" si="48"/>
        <v>17500</v>
      </c>
      <c r="M392" s="488" t="s">
        <v>364</v>
      </c>
      <c r="N392" s="489"/>
      <c r="O392" s="489"/>
      <c r="P392" s="489"/>
      <c r="Q392" s="490"/>
      <c r="R392" s="122"/>
      <c r="S392" s="123">
        <f>$I$15</f>
        <v>175</v>
      </c>
      <c r="T392" s="99">
        <f t="shared" si="49"/>
        <v>0</v>
      </c>
    </row>
    <row r="393" spans="2:23">
      <c r="B393" s="488" t="s">
        <v>221</v>
      </c>
      <c r="C393" s="489"/>
      <c r="D393" s="489"/>
      <c r="E393" s="489"/>
      <c r="F393" s="490"/>
      <c r="G393" s="122"/>
      <c r="H393" s="123">
        <f>$I$16</f>
        <v>175</v>
      </c>
      <c r="I393" s="99">
        <f t="shared" si="48"/>
        <v>0</v>
      </c>
      <c r="M393" s="488" t="s">
        <v>365</v>
      </c>
      <c r="N393" s="489"/>
      <c r="O393" s="489"/>
      <c r="P393" s="489"/>
      <c r="Q393" s="490"/>
      <c r="R393" s="122"/>
      <c r="S393" s="123">
        <f>$I$16</f>
        <v>175</v>
      </c>
      <c r="T393" s="99">
        <f t="shared" si="49"/>
        <v>0</v>
      </c>
    </row>
    <row r="394" spans="2:23">
      <c r="B394" s="472" t="s">
        <v>222</v>
      </c>
      <c r="C394" s="473"/>
      <c r="D394" s="473"/>
      <c r="E394" s="473"/>
      <c r="F394" s="474"/>
      <c r="G394" s="122">
        <v>1</v>
      </c>
      <c r="H394" s="123">
        <f>$I$17</f>
        <v>90000</v>
      </c>
      <c r="I394" s="99">
        <f t="shared" si="48"/>
        <v>90000</v>
      </c>
      <c r="M394" s="472" t="s">
        <v>222</v>
      </c>
      <c r="N394" s="473"/>
      <c r="O394" s="473"/>
      <c r="P394" s="473"/>
      <c r="Q394" s="474"/>
      <c r="R394" s="122"/>
      <c r="S394" s="123">
        <f>$I$17</f>
        <v>90000</v>
      </c>
      <c r="T394" s="99">
        <f t="shared" si="49"/>
        <v>0</v>
      </c>
    </row>
    <row r="395" spans="2:23" ht="14.4" thickBot="1">
      <c r="B395" s="485" t="s">
        <v>337</v>
      </c>
      <c r="C395" s="486"/>
      <c r="D395" s="486"/>
      <c r="E395" s="486"/>
      <c r="F395" s="487"/>
      <c r="G395" s="122">
        <v>5</v>
      </c>
      <c r="H395" s="123">
        <f>$I$18</f>
        <v>21000</v>
      </c>
      <c r="I395" s="99">
        <f t="shared" si="48"/>
        <v>105000</v>
      </c>
      <c r="M395" s="485" t="s">
        <v>337</v>
      </c>
      <c r="N395" s="486"/>
      <c r="O395" s="486"/>
      <c r="P395" s="486"/>
      <c r="Q395" s="487"/>
      <c r="R395" s="122"/>
      <c r="S395" s="123">
        <f>$I$18</f>
        <v>21000</v>
      </c>
      <c r="T395" s="99">
        <f t="shared" si="49"/>
        <v>0</v>
      </c>
    </row>
    <row r="396" spans="2:23">
      <c r="B396" s="485" t="s">
        <v>269</v>
      </c>
      <c r="C396" s="486"/>
      <c r="D396" s="486"/>
      <c r="E396" s="486"/>
      <c r="F396" s="487"/>
      <c r="G396" s="122"/>
      <c r="H396" s="123">
        <f>$I$19</f>
        <v>40000</v>
      </c>
      <c r="I396" s="99">
        <f t="shared" si="48"/>
        <v>0</v>
      </c>
      <c r="J396" s="499" t="s">
        <v>275</v>
      </c>
      <c r="K396" s="500"/>
      <c r="L396" s="501"/>
      <c r="M396" s="485" t="s">
        <v>269</v>
      </c>
      <c r="N396" s="486"/>
      <c r="O396" s="486"/>
      <c r="P396" s="486"/>
      <c r="Q396" s="487"/>
      <c r="R396" s="122"/>
      <c r="S396" s="123">
        <f>$I$19</f>
        <v>40000</v>
      </c>
      <c r="T396" s="99">
        <f t="shared" si="49"/>
        <v>0</v>
      </c>
      <c r="U396" s="499" t="s">
        <v>275</v>
      </c>
      <c r="V396" s="500"/>
      <c r="W396" s="501"/>
    </row>
    <row r="397" spans="2:23" ht="14.4" thickBot="1">
      <c r="B397" s="485" t="s">
        <v>270</v>
      </c>
      <c r="C397" s="486"/>
      <c r="D397" s="486"/>
      <c r="E397" s="486"/>
      <c r="F397" s="487"/>
      <c r="G397" s="122"/>
      <c r="H397" s="123">
        <f>$I$20</f>
        <v>13000</v>
      </c>
      <c r="I397" s="99">
        <f t="shared" si="48"/>
        <v>0</v>
      </c>
      <c r="J397" s="502"/>
      <c r="K397" s="503"/>
      <c r="L397" s="504"/>
      <c r="M397" s="485" t="s">
        <v>270</v>
      </c>
      <c r="N397" s="486"/>
      <c r="O397" s="486"/>
      <c r="P397" s="486"/>
      <c r="Q397" s="487"/>
      <c r="R397" s="122"/>
      <c r="S397" s="123">
        <f>$I$20</f>
        <v>13000</v>
      </c>
      <c r="T397" s="99">
        <f t="shared" si="49"/>
        <v>0</v>
      </c>
      <c r="U397" s="502"/>
      <c r="V397" s="503"/>
      <c r="W397" s="504"/>
    </row>
    <row r="398" spans="2:23">
      <c r="B398" s="488"/>
      <c r="C398" s="489"/>
      <c r="D398" s="489"/>
      <c r="E398" s="489"/>
      <c r="F398" s="490"/>
      <c r="G398" s="122"/>
      <c r="H398" s="123"/>
      <c r="I398" s="99">
        <f t="shared" si="48"/>
        <v>0</v>
      </c>
      <c r="J398" s="491">
        <f>SUM(I380:I399)</f>
        <v>1792500</v>
      </c>
      <c r="K398" s="492"/>
      <c r="L398" s="493"/>
      <c r="M398" s="488"/>
      <c r="N398" s="489"/>
      <c r="O398" s="489"/>
      <c r="P398" s="489"/>
      <c r="Q398" s="490"/>
      <c r="R398" s="122"/>
      <c r="S398" s="123"/>
      <c r="T398" s="99">
        <f t="shared" si="49"/>
        <v>0</v>
      </c>
      <c r="U398" s="491">
        <f>SUM(T380:T399)</f>
        <v>0</v>
      </c>
      <c r="V398" s="492"/>
      <c r="W398" s="493"/>
    </row>
    <row r="399" spans="2:23" ht="14.4" thickBot="1">
      <c r="B399" s="497"/>
      <c r="C399" s="498"/>
      <c r="D399" s="498"/>
      <c r="E399" s="498"/>
      <c r="F399" s="498"/>
      <c r="G399" s="124"/>
      <c r="H399" s="125"/>
      <c r="I399" s="100">
        <f t="shared" si="48"/>
        <v>0</v>
      </c>
      <c r="J399" s="494"/>
      <c r="K399" s="495"/>
      <c r="L399" s="496"/>
      <c r="M399" s="497"/>
      <c r="N399" s="498"/>
      <c r="O399" s="498"/>
      <c r="P399" s="498"/>
      <c r="Q399" s="498"/>
      <c r="R399" s="124"/>
      <c r="S399" s="125"/>
      <c r="T399" s="100">
        <f t="shared" si="49"/>
        <v>0</v>
      </c>
      <c r="U399" s="494"/>
      <c r="V399" s="495"/>
      <c r="W399" s="496"/>
    </row>
    <row r="400" spans="2:23" ht="14.4" thickBot="1">
      <c r="B400" s="505" t="s">
        <v>271</v>
      </c>
      <c r="C400" s="506"/>
      <c r="D400" s="506"/>
      <c r="E400" s="506"/>
      <c r="F400" s="506"/>
      <c r="G400" s="506"/>
      <c r="H400" s="506"/>
      <c r="I400" s="507"/>
      <c r="M400" s="505" t="s">
        <v>271</v>
      </c>
      <c r="N400" s="506"/>
      <c r="O400" s="506"/>
      <c r="P400" s="506"/>
      <c r="Q400" s="506"/>
      <c r="R400" s="506"/>
      <c r="S400" s="506"/>
      <c r="T400" s="507"/>
    </row>
    <row r="401" spans="2:23" ht="14.4" thickBot="1">
      <c r="B401" s="467" t="s">
        <v>267</v>
      </c>
      <c r="C401" s="468"/>
      <c r="D401" s="468"/>
      <c r="E401" s="468"/>
      <c r="F401" s="468"/>
      <c r="G401" s="114" t="s">
        <v>266</v>
      </c>
      <c r="H401" s="114" t="s">
        <v>0</v>
      </c>
      <c r="I401" s="97" t="s">
        <v>265</v>
      </c>
      <c r="M401" s="467" t="s">
        <v>267</v>
      </c>
      <c r="N401" s="468"/>
      <c r="O401" s="468"/>
      <c r="P401" s="468"/>
      <c r="Q401" s="468"/>
      <c r="R401" s="114" t="s">
        <v>266</v>
      </c>
      <c r="S401" s="114" t="s">
        <v>0</v>
      </c>
      <c r="T401" s="97" t="s">
        <v>265</v>
      </c>
    </row>
    <row r="402" spans="2:23">
      <c r="B402" s="508" t="s">
        <v>272</v>
      </c>
      <c r="C402" s="509"/>
      <c r="D402" s="509"/>
      <c r="E402" s="509"/>
      <c r="F402" s="510"/>
      <c r="G402" s="116">
        <v>2</v>
      </c>
      <c r="H402" s="117">
        <f>$I$23</f>
        <v>220000</v>
      </c>
      <c r="I402" s="98">
        <f t="shared" ref="I402:I407" si="50">G402*H402</f>
        <v>440000</v>
      </c>
      <c r="M402" s="508" t="s">
        <v>272</v>
      </c>
      <c r="N402" s="509"/>
      <c r="O402" s="509"/>
      <c r="P402" s="509"/>
      <c r="Q402" s="510"/>
      <c r="R402" s="116"/>
      <c r="S402" s="117">
        <f>$I$23</f>
        <v>220000</v>
      </c>
      <c r="T402" s="98">
        <f t="shared" ref="T402:T407" si="51">R402*S402</f>
        <v>0</v>
      </c>
    </row>
    <row r="403" spans="2:23">
      <c r="B403" s="485" t="s">
        <v>273</v>
      </c>
      <c r="C403" s="486"/>
      <c r="D403" s="486"/>
      <c r="E403" s="486"/>
      <c r="F403" s="487"/>
      <c r="G403" s="122"/>
      <c r="H403" s="117">
        <f>$I$26</f>
        <v>90000</v>
      </c>
      <c r="I403" s="99">
        <f t="shared" si="50"/>
        <v>0</v>
      </c>
      <c r="M403" s="485" t="s">
        <v>273</v>
      </c>
      <c r="N403" s="486"/>
      <c r="O403" s="486"/>
      <c r="P403" s="486"/>
      <c r="Q403" s="487"/>
      <c r="R403" s="122"/>
      <c r="S403" s="117">
        <f>$I$26</f>
        <v>90000</v>
      </c>
      <c r="T403" s="99">
        <f t="shared" si="51"/>
        <v>0</v>
      </c>
    </row>
    <row r="404" spans="2:23">
      <c r="B404" s="485" t="s">
        <v>224</v>
      </c>
      <c r="C404" s="486"/>
      <c r="D404" s="486"/>
      <c r="E404" s="486"/>
      <c r="F404" s="487"/>
      <c r="G404" s="122"/>
      <c r="H404" s="117">
        <f>$I$27</f>
        <v>60000</v>
      </c>
      <c r="I404" s="99">
        <f t="shared" si="50"/>
        <v>0</v>
      </c>
      <c r="M404" s="485" t="s">
        <v>224</v>
      </c>
      <c r="N404" s="486"/>
      <c r="O404" s="486"/>
      <c r="P404" s="486"/>
      <c r="Q404" s="487"/>
      <c r="R404" s="122"/>
      <c r="S404" s="117">
        <f>$I$27</f>
        <v>60000</v>
      </c>
      <c r="T404" s="99">
        <f t="shared" si="51"/>
        <v>0</v>
      </c>
    </row>
    <row r="405" spans="2:23">
      <c r="B405" s="485" t="s">
        <v>274</v>
      </c>
      <c r="C405" s="486"/>
      <c r="D405" s="486"/>
      <c r="E405" s="486"/>
      <c r="F405" s="487"/>
      <c r="G405" s="122"/>
      <c r="H405" s="117">
        <f>$I$26</f>
        <v>90000</v>
      </c>
      <c r="I405" s="99">
        <f t="shared" si="50"/>
        <v>0</v>
      </c>
      <c r="M405" s="485" t="s">
        <v>274</v>
      </c>
      <c r="N405" s="486"/>
      <c r="O405" s="486"/>
      <c r="P405" s="486"/>
      <c r="Q405" s="487"/>
      <c r="R405" s="122"/>
      <c r="S405" s="117">
        <f>$I$26</f>
        <v>90000</v>
      </c>
      <c r="T405" s="99">
        <f t="shared" si="51"/>
        <v>0</v>
      </c>
    </row>
    <row r="406" spans="2:23">
      <c r="B406" s="485" t="s">
        <v>226</v>
      </c>
      <c r="C406" s="486"/>
      <c r="D406" s="486"/>
      <c r="E406" s="486"/>
      <c r="F406" s="487"/>
      <c r="G406" s="122"/>
      <c r="H406" s="117"/>
      <c r="I406" s="99">
        <f t="shared" si="50"/>
        <v>0</v>
      </c>
      <c r="M406" s="485" t="s">
        <v>226</v>
      </c>
      <c r="N406" s="486"/>
      <c r="O406" s="486"/>
      <c r="P406" s="486"/>
      <c r="Q406" s="487"/>
      <c r="R406" s="122"/>
      <c r="S406" s="117"/>
      <c r="T406" s="99">
        <f t="shared" si="51"/>
        <v>0</v>
      </c>
    </row>
    <row r="407" spans="2:23">
      <c r="B407" s="126" t="s">
        <v>227</v>
      </c>
      <c r="C407" s="127"/>
      <c r="D407" s="127"/>
      <c r="E407" s="127"/>
      <c r="F407" s="128"/>
      <c r="G407" s="122"/>
      <c r="H407" s="117"/>
      <c r="I407" s="99">
        <f t="shared" si="50"/>
        <v>0</v>
      </c>
      <c r="M407" s="126" t="s">
        <v>227</v>
      </c>
      <c r="N407" s="127"/>
      <c r="O407" s="127"/>
      <c r="P407" s="127"/>
      <c r="Q407" s="128"/>
      <c r="R407" s="122"/>
      <c r="S407" s="117"/>
      <c r="T407" s="99">
        <f t="shared" si="51"/>
        <v>0</v>
      </c>
    </row>
    <row r="408" spans="2:23">
      <c r="B408" s="126" t="s">
        <v>225</v>
      </c>
      <c r="C408" s="127"/>
      <c r="D408" s="127"/>
      <c r="E408" s="127"/>
      <c r="F408" s="128"/>
      <c r="G408" s="122"/>
      <c r="H408" s="117"/>
      <c r="I408" s="99"/>
      <c r="M408" s="126" t="s">
        <v>225</v>
      </c>
      <c r="N408" s="127"/>
      <c r="O408" s="127"/>
      <c r="P408" s="127"/>
      <c r="Q408" s="128"/>
      <c r="R408" s="122"/>
      <c r="S408" s="117"/>
      <c r="T408" s="99"/>
    </row>
    <row r="409" spans="2:23" ht="14.4" thickBot="1">
      <c r="B409" s="126"/>
      <c r="C409" s="127"/>
      <c r="D409" s="127"/>
      <c r="E409" s="127"/>
      <c r="F409" s="128"/>
      <c r="G409" s="122"/>
      <c r="H409" s="123"/>
      <c r="I409" s="99">
        <f t="shared" ref="I409:I413" si="52">G409*H409</f>
        <v>0</v>
      </c>
      <c r="M409" s="126"/>
      <c r="N409" s="127"/>
      <c r="O409" s="127"/>
      <c r="P409" s="127"/>
      <c r="Q409" s="128"/>
      <c r="R409" s="122"/>
      <c r="S409" s="123"/>
      <c r="T409" s="99">
        <f t="shared" ref="T409:T413" si="53">R409*S409</f>
        <v>0</v>
      </c>
    </row>
    <row r="410" spans="2:23">
      <c r="B410" s="485"/>
      <c r="C410" s="486"/>
      <c r="D410" s="486"/>
      <c r="E410" s="486"/>
      <c r="F410" s="487"/>
      <c r="G410" s="122"/>
      <c r="H410" s="123"/>
      <c r="I410" s="99">
        <f t="shared" si="52"/>
        <v>0</v>
      </c>
      <c r="J410" s="499" t="s">
        <v>275</v>
      </c>
      <c r="K410" s="500"/>
      <c r="L410" s="501"/>
      <c r="M410" s="485"/>
      <c r="N410" s="486"/>
      <c r="O410" s="486"/>
      <c r="P410" s="486"/>
      <c r="Q410" s="487"/>
      <c r="R410" s="122"/>
      <c r="S410" s="123"/>
      <c r="T410" s="99">
        <f t="shared" si="53"/>
        <v>0</v>
      </c>
      <c r="U410" s="499" t="s">
        <v>275</v>
      </c>
      <c r="V410" s="500"/>
      <c r="W410" s="501"/>
    </row>
    <row r="411" spans="2:23" ht="14.4" thickBot="1">
      <c r="B411" s="485"/>
      <c r="C411" s="486"/>
      <c r="D411" s="486"/>
      <c r="E411" s="486"/>
      <c r="F411" s="487"/>
      <c r="G411" s="122"/>
      <c r="H411" s="123"/>
      <c r="I411" s="99">
        <f t="shared" si="52"/>
        <v>0</v>
      </c>
      <c r="J411" s="502"/>
      <c r="K411" s="503"/>
      <c r="L411" s="504"/>
      <c r="M411" s="485"/>
      <c r="N411" s="486"/>
      <c r="O411" s="486"/>
      <c r="P411" s="486"/>
      <c r="Q411" s="487"/>
      <c r="R411" s="122"/>
      <c r="S411" s="123"/>
      <c r="T411" s="99">
        <f t="shared" si="53"/>
        <v>0</v>
      </c>
      <c r="U411" s="502"/>
      <c r="V411" s="503"/>
      <c r="W411" s="504"/>
    </row>
    <row r="412" spans="2:23">
      <c r="B412" s="485"/>
      <c r="C412" s="486"/>
      <c r="D412" s="486"/>
      <c r="E412" s="486"/>
      <c r="F412" s="487"/>
      <c r="G412" s="122"/>
      <c r="H412" s="123"/>
      <c r="I412" s="99">
        <f t="shared" si="52"/>
        <v>0</v>
      </c>
      <c r="J412" s="491">
        <f>SUM(I402:I413)</f>
        <v>440000</v>
      </c>
      <c r="K412" s="492"/>
      <c r="L412" s="493"/>
      <c r="M412" s="485"/>
      <c r="N412" s="486"/>
      <c r="O412" s="486"/>
      <c r="P412" s="486"/>
      <c r="Q412" s="487"/>
      <c r="R412" s="122"/>
      <c r="S412" s="123"/>
      <c r="T412" s="99">
        <f t="shared" si="53"/>
        <v>0</v>
      </c>
      <c r="U412" s="491">
        <f>SUM(T402:T413)</f>
        <v>0</v>
      </c>
      <c r="V412" s="492"/>
      <c r="W412" s="493"/>
    </row>
    <row r="413" spans="2:23" ht="14.4" thickBot="1">
      <c r="B413" s="129"/>
      <c r="C413" s="130"/>
      <c r="D413" s="130"/>
      <c r="E413" s="130"/>
      <c r="F413" s="131"/>
      <c r="G413" s="124"/>
      <c r="H413" s="125"/>
      <c r="I413" s="100">
        <f t="shared" si="52"/>
        <v>0</v>
      </c>
      <c r="J413" s="494"/>
      <c r="K413" s="495"/>
      <c r="L413" s="496"/>
      <c r="M413" s="129"/>
      <c r="N413" s="130"/>
      <c r="O413" s="130"/>
      <c r="P413" s="130"/>
      <c r="Q413" s="131"/>
      <c r="R413" s="124"/>
      <c r="S413" s="125"/>
      <c r="T413" s="100">
        <f t="shared" si="53"/>
        <v>0</v>
      </c>
      <c r="U413" s="494"/>
      <c r="V413" s="495"/>
      <c r="W413" s="496"/>
    </row>
    <row r="414" spans="2:23" ht="14.4" thickBot="1">
      <c r="B414" s="511" t="s">
        <v>25</v>
      </c>
      <c r="C414" s="512"/>
      <c r="D414" s="512"/>
      <c r="E414" s="512"/>
      <c r="F414" s="512"/>
      <c r="G414" s="512"/>
      <c r="H414" s="512"/>
      <c r="I414" s="513"/>
      <c r="J414" s="132"/>
      <c r="K414" s="132"/>
      <c r="L414" s="132"/>
      <c r="M414" s="511" t="s">
        <v>25</v>
      </c>
      <c r="N414" s="512"/>
      <c r="O414" s="512"/>
      <c r="P414" s="512"/>
      <c r="Q414" s="512"/>
      <c r="R414" s="512"/>
      <c r="S414" s="512"/>
      <c r="T414" s="513"/>
      <c r="U414" s="132"/>
      <c r="V414" s="132"/>
      <c r="W414" s="132"/>
    </row>
    <row r="415" spans="2:23" ht="14.4" thickBot="1">
      <c r="B415" s="514" t="s">
        <v>267</v>
      </c>
      <c r="C415" s="515"/>
      <c r="D415" s="515"/>
      <c r="E415" s="515"/>
      <c r="F415" s="515"/>
      <c r="G415" s="133" t="s">
        <v>266</v>
      </c>
      <c r="H415" s="134" t="s">
        <v>0</v>
      </c>
      <c r="I415" s="101" t="s">
        <v>265</v>
      </c>
      <c r="J415" s="132"/>
      <c r="K415" s="132"/>
      <c r="L415" s="132"/>
      <c r="M415" s="514" t="s">
        <v>267</v>
      </c>
      <c r="N415" s="515"/>
      <c r="O415" s="515"/>
      <c r="P415" s="515"/>
      <c r="Q415" s="515"/>
      <c r="R415" s="133" t="s">
        <v>266</v>
      </c>
      <c r="S415" s="134" t="s">
        <v>0</v>
      </c>
      <c r="T415" s="101" t="s">
        <v>265</v>
      </c>
      <c r="U415" s="132"/>
      <c r="V415" s="132"/>
      <c r="W415" s="132"/>
    </row>
    <row r="416" spans="2:23">
      <c r="B416" s="516" t="s">
        <v>31</v>
      </c>
      <c r="C416" s="517"/>
      <c r="D416" s="517"/>
      <c r="E416" s="517"/>
      <c r="F416" s="518"/>
      <c r="G416" s="116">
        <v>0.5</v>
      </c>
      <c r="H416" s="117">
        <f>$R$4</f>
        <v>300000</v>
      </c>
      <c r="I416" s="99">
        <f t="shared" ref="I416:I418" si="54">G416*H416</f>
        <v>150000</v>
      </c>
      <c r="J416" s="132"/>
      <c r="K416" s="132"/>
      <c r="L416" s="132"/>
      <c r="M416" s="516" t="s">
        <v>31</v>
      </c>
      <c r="N416" s="517"/>
      <c r="O416" s="517"/>
      <c r="P416" s="517"/>
      <c r="Q416" s="518"/>
      <c r="R416" s="116"/>
      <c r="S416" s="117">
        <f>$R$4</f>
        <v>300000</v>
      </c>
      <c r="T416" s="99">
        <f t="shared" ref="T416:T418" si="55">R416*S416</f>
        <v>0</v>
      </c>
      <c r="U416" s="132"/>
      <c r="V416" s="132"/>
      <c r="W416" s="132"/>
    </row>
    <row r="417" spans="2:23">
      <c r="B417" s="519" t="s">
        <v>11</v>
      </c>
      <c r="C417" s="520"/>
      <c r="D417" s="520"/>
      <c r="E417" s="520"/>
      <c r="F417" s="521"/>
      <c r="G417" s="122">
        <v>0.5</v>
      </c>
      <c r="H417" s="117">
        <f>$R$5</f>
        <v>65000</v>
      </c>
      <c r="I417" s="99">
        <f t="shared" si="54"/>
        <v>32500</v>
      </c>
      <c r="J417" s="132"/>
      <c r="K417" s="132"/>
      <c r="L417" s="132"/>
      <c r="M417" s="519" t="s">
        <v>11</v>
      </c>
      <c r="N417" s="520"/>
      <c r="O417" s="520"/>
      <c r="P417" s="520"/>
      <c r="Q417" s="521"/>
      <c r="R417" s="122"/>
      <c r="S417" s="117">
        <f>$R$5</f>
        <v>65000</v>
      </c>
      <c r="T417" s="99">
        <f t="shared" si="55"/>
        <v>0</v>
      </c>
      <c r="U417" s="132"/>
      <c r="V417" s="132"/>
      <c r="W417" s="132"/>
    </row>
    <row r="418" spans="2:23">
      <c r="B418" s="519" t="s">
        <v>32</v>
      </c>
      <c r="C418" s="520"/>
      <c r="D418" s="520"/>
      <c r="E418" s="520"/>
      <c r="F418" s="521"/>
      <c r="G418" s="122"/>
      <c r="H418" s="117">
        <f>$R$6</f>
        <v>250000</v>
      </c>
      <c r="I418" s="99">
        <f t="shared" si="54"/>
        <v>0</v>
      </c>
      <c r="J418" s="132"/>
      <c r="K418" s="132"/>
      <c r="L418" s="132"/>
      <c r="M418" s="519" t="s">
        <v>32</v>
      </c>
      <c r="N418" s="520"/>
      <c r="O418" s="520"/>
      <c r="P418" s="520"/>
      <c r="Q418" s="521"/>
      <c r="R418" s="122"/>
      <c r="S418" s="117">
        <f>$R$6</f>
        <v>250000</v>
      </c>
      <c r="T418" s="99">
        <f t="shared" si="55"/>
        <v>0</v>
      </c>
      <c r="U418" s="132"/>
      <c r="V418" s="132"/>
      <c r="W418" s="132"/>
    </row>
    <row r="419" spans="2:23">
      <c r="B419" s="519" t="s">
        <v>327</v>
      </c>
      <c r="C419" s="520"/>
      <c r="D419" s="520"/>
      <c r="E419" s="520"/>
      <c r="F419" s="521"/>
      <c r="G419" s="122">
        <v>30</v>
      </c>
      <c r="H419" s="117">
        <f>$R$7</f>
        <v>30000</v>
      </c>
      <c r="I419" s="99">
        <f>G419*H419</f>
        <v>900000</v>
      </c>
      <c r="M419" s="519" t="s">
        <v>327</v>
      </c>
      <c r="N419" s="520"/>
      <c r="O419" s="520"/>
      <c r="P419" s="520"/>
      <c r="Q419" s="521"/>
      <c r="R419" s="122"/>
      <c r="S419" s="117">
        <f>$R$7</f>
        <v>30000</v>
      </c>
      <c r="T419" s="99">
        <f>R419*S419</f>
        <v>0</v>
      </c>
    </row>
    <row r="420" spans="2:23">
      <c r="B420" s="519" t="s">
        <v>100</v>
      </c>
      <c r="C420" s="520"/>
      <c r="D420" s="520"/>
      <c r="E420" s="520"/>
      <c r="F420" s="521"/>
      <c r="G420" s="122"/>
      <c r="H420" s="117">
        <f>$R$8</f>
        <v>30000</v>
      </c>
      <c r="I420" s="99">
        <f t="shared" ref="I420:I427" si="56">G420*H420</f>
        <v>0</v>
      </c>
      <c r="M420" s="519" t="s">
        <v>100</v>
      </c>
      <c r="N420" s="520"/>
      <c r="O420" s="520"/>
      <c r="P420" s="520"/>
      <c r="Q420" s="521"/>
      <c r="R420" s="122"/>
      <c r="S420" s="117">
        <f>$R$8</f>
        <v>30000</v>
      </c>
      <c r="T420" s="99">
        <f t="shared" ref="T420:T427" si="57">R420*S420</f>
        <v>0</v>
      </c>
    </row>
    <row r="421" spans="2:23">
      <c r="B421" s="519" t="s">
        <v>328</v>
      </c>
      <c r="C421" s="520"/>
      <c r="D421" s="520"/>
      <c r="E421" s="520"/>
      <c r="F421" s="521"/>
      <c r="G421" s="122"/>
      <c r="H421" s="117">
        <f>$R$9</f>
        <v>50000</v>
      </c>
      <c r="I421" s="99">
        <f t="shared" si="56"/>
        <v>0</v>
      </c>
      <c r="M421" s="519" t="s">
        <v>328</v>
      </c>
      <c r="N421" s="520"/>
      <c r="O421" s="520"/>
      <c r="P421" s="520"/>
      <c r="Q421" s="521"/>
      <c r="R421" s="122"/>
      <c r="S421" s="117">
        <f>$R$9</f>
        <v>50000</v>
      </c>
      <c r="T421" s="99">
        <f t="shared" si="57"/>
        <v>0</v>
      </c>
    </row>
    <row r="422" spans="2:23">
      <c r="B422" s="519" t="s">
        <v>325</v>
      </c>
      <c r="C422" s="520"/>
      <c r="D422" s="520"/>
      <c r="E422" s="520"/>
      <c r="F422" s="521"/>
      <c r="G422" s="122"/>
      <c r="H422" s="117">
        <f>$R$10</f>
        <v>15000</v>
      </c>
      <c r="I422" s="99">
        <f t="shared" si="56"/>
        <v>0</v>
      </c>
      <c r="M422" s="519" t="s">
        <v>325</v>
      </c>
      <c r="N422" s="520"/>
      <c r="O422" s="520"/>
      <c r="P422" s="520"/>
      <c r="Q422" s="521"/>
      <c r="R422" s="122"/>
      <c r="S422" s="117">
        <f>$R$10</f>
        <v>15000</v>
      </c>
      <c r="T422" s="99">
        <f t="shared" si="57"/>
        <v>0</v>
      </c>
    </row>
    <row r="423" spans="2:23" ht="14.4" thickBot="1">
      <c r="B423" s="519" t="s">
        <v>326</v>
      </c>
      <c r="C423" s="520"/>
      <c r="D423" s="520"/>
      <c r="E423" s="520"/>
      <c r="F423" s="521"/>
      <c r="G423" s="122"/>
      <c r="H423" s="117">
        <f>$R$11</f>
        <v>15000</v>
      </c>
      <c r="I423" s="99">
        <f t="shared" si="56"/>
        <v>0</v>
      </c>
      <c r="M423" s="519" t="s">
        <v>326</v>
      </c>
      <c r="N423" s="520"/>
      <c r="O423" s="520"/>
      <c r="P423" s="520"/>
      <c r="Q423" s="521"/>
      <c r="R423" s="122"/>
      <c r="S423" s="117">
        <f>$R$11</f>
        <v>15000</v>
      </c>
      <c r="T423" s="99">
        <f t="shared" si="57"/>
        <v>0</v>
      </c>
    </row>
    <row r="424" spans="2:23">
      <c r="B424" s="135" t="s">
        <v>276</v>
      </c>
      <c r="C424" s="136"/>
      <c r="D424" s="136"/>
      <c r="E424" s="136"/>
      <c r="F424" s="137"/>
      <c r="G424" s="122">
        <v>8</v>
      </c>
      <c r="H424" s="117">
        <f>$R$12</f>
        <v>75000</v>
      </c>
      <c r="I424" s="99">
        <f t="shared" si="56"/>
        <v>600000</v>
      </c>
      <c r="J424" s="499" t="s">
        <v>275</v>
      </c>
      <c r="K424" s="500"/>
      <c r="L424" s="501"/>
      <c r="M424" s="135" t="s">
        <v>276</v>
      </c>
      <c r="N424" s="136"/>
      <c r="O424" s="136"/>
      <c r="P424" s="136"/>
      <c r="Q424" s="137"/>
      <c r="R424" s="122"/>
      <c r="S424" s="117">
        <f>$R$12</f>
        <v>75000</v>
      </c>
      <c r="T424" s="99">
        <f t="shared" si="57"/>
        <v>0</v>
      </c>
      <c r="U424" s="499" t="s">
        <v>275</v>
      </c>
      <c r="V424" s="500"/>
      <c r="W424" s="501"/>
    </row>
    <row r="425" spans="2:23" ht="14.4" thickBot="1">
      <c r="B425" s="135" t="s">
        <v>277</v>
      </c>
      <c r="C425" s="136"/>
      <c r="D425" s="136"/>
      <c r="E425" s="136"/>
      <c r="F425" s="137"/>
      <c r="G425" s="122"/>
      <c r="H425" s="117">
        <f>$R$13</f>
        <v>75000</v>
      </c>
      <c r="I425" s="99">
        <f t="shared" si="56"/>
        <v>0</v>
      </c>
      <c r="J425" s="502"/>
      <c r="K425" s="503"/>
      <c r="L425" s="504"/>
      <c r="M425" s="135" t="s">
        <v>277</v>
      </c>
      <c r="N425" s="136"/>
      <c r="O425" s="136"/>
      <c r="P425" s="136"/>
      <c r="Q425" s="137"/>
      <c r="R425" s="122"/>
      <c r="S425" s="117">
        <f>$R$13</f>
        <v>75000</v>
      </c>
      <c r="T425" s="99">
        <f t="shared" si="57"/>
        <v>0</v>
      </c>
      <c r="U425" s="502"/>
      <c r="V425" s="503"/>
      <c r="W425" s="504"/>
    </row>
    <row r="426" spans="2:23">
      <c r="B426" s="519" t="s">
        <v>347</v>
      </c>
      <c r="C426" s="520"/>
      <c r="D426" s="520"/>
      <c r="E426" s="520"/>
      <c r="F426" s="521"/>
      <c r="G426" s="122">
        <v>6</v>
      </c>
      <c r="H426" s="117">
        <f>$R$14</f>
        <v>30000</v>
      </c>
      <c r="I426" s="99">
        <f t="shared" si="56"/>
        <v>180000</v>
      </c>
      <c r="J426" s="491">
        <f>SUM(I416:I427)</f>
        <v>1910500</v>
      </c>
      <c r="K426" s="492"/>
      <c r="L426" s="493"/>
      <c r="M426" s="519" t="s">
        <v>366</v>
      </c>
      <c r="N426" s="520"/>
      <c r="O426" s="520"/>
      <c r="P426" s="520"/>
      <c r="Q426" s="521"/>
      <c r="R426" s="122"/>
      <c r="S426" s="117">
        <f>$R$14</f>
        <v>30000</v>
      </c>
      <c r="T426" s="99">
        <f t="shared" si="57"/>
        <v>0</v>
      </c>
      <c r="U426" s="491">
        <f>SUM(T416:T427)</f>
        <v>0</v>
      </c>
      <c r="V426" s="492"/>
      <c r="W426" s="493"/>
    </row>
    <row r="427" spans="2:23" ht="14.4" thickBot="1">
      <c r="B427" s="519" t="s">
        <v>12</v>
      </c>
      <c r="C427" s="520"/>
      <c r="D427" s="520"/>
      <c r="E427" s="520"/>
      <c r="F427" s="521"/>
      <c r="G427" s="124">
        <v>4</v>
      </c>
      <c r="H427" s="117">
        <f>$R$15</f>
        <v>12000</v>
      </c>
      <c r="I427" s="99">
        <f t="shared" si="56"/>
        <v>48000</v>
      </c>
      <c r="J427" s="494"/>
      <c r="K427" s="495"/>
      <c r="L427" s="496"/>
      <c r="M427" s="519" t="s">
        <v>12</v>
      </c>
      <c r="N427" s="520"/>
      <c r="O427" s="520"/>
      <c r="P427" s="520"/>
      <c r="Q427" s="521"/>
      <c r="R427" s="124"/>
      <c r="S427" s="117">
        <f>$R$15</f>
        <v>12000</v>
      </c>
      <c r="T427" s="99">
        <f t="shared" si="57"/>
        <v>0</v>
      </c>
      <c r="U427" s="494"/>
      <c r="V427" s="495"/>
      <c r="W427" s="496"/>
    </row>
    <row r="428" spans="2:23" ht="14.4" thickBot="1">
      <c r="B428" s="522" t="s">
        <v>27</v>
      </c>
      <c r="C428" s="523"/>
      <c r="D428" s="523"/>
      <c r="E428" s="523"/>
      <c r="F428" s="523"/>
      <c r="G428" s="523"/>
      <c r="H428" s="523"/>
      <c r="I428" s="524"/>
      <c r="M428" s="522" t="s">
        <v>27</v>
      </c>
      <c r="N428" s="523"/>
      <c r="O428" s="523"/>
      <c r="P428" s="523"/>
      <c r="Q428" s="523"/>
      <c r="R428" s="523"/>
      <c r="S428" s="523"/>
      <c r="T428" s="524"/>
    </row>
    <row r="429" spans="2:23" ht="14.4" thickBot="1">
      <c r="B429" s="522" t="s">
        <v>267</v>
      </c>
      <c r="C429" s="523"/>
      <c r="D429" s="523"/>
      <c r="E429" s="523"/>
      <c r="F429" s="523"/>
      <c r="G429" s="138" t="s">
        <v>266</v>
      </c>
      <c r="H429" s="138" t="s">
        <v>0</v>
      </c>
      <c r="I429" s="102" t="s">
        <v>265</v>
      </c>
      <c r="M429" s="522" t="s">
        <v>267</v>
      </c>
      <c r="N429" s="523"/>
      <c r="O429" s="523"/>
      <c r="P429" s="523"/>
      <c r="Q429" s="523"/>
      <c r="R429" s="138" t="s">
        <v>266</v>
      </c>
      <c r="S429" s="138" t="s">
        <v>0</v>
      </c>
      <c r="T429" s="102" t="s">
        <v>265</v>
      </c>
    </row>
    <row r="430" spans="2:23">
      <c r="B430" s="525" t="s">
        <v>399</v>
      </c>
      <c r="C430" s="526"/>
      <c r="D430" s="526"/>
      <c r="E430" s="526"/>
      <c r="F430" s="527"/>
      <c r="G430" s="116">
        <v>1</v>
      </c>
      <c r="H430" s="117">
        <v>350000</v>
      </c>
      <c r="I430" s="99">
        <f t="shared" ref="I430:I441" si="58">G430*H430</f>
        <v>350000</v>
      </c>
      <c r="M430" s="525" t="s">
        <v>278</v>
      </c>
      <c r="N430" s="526"/>
      <c r="O430" s="526"/>
      <c r="P430" s="526"/>
      <c r="Q430" s="527"/>
      <c r="R430" s="116"/>
      <c r="S430" s="117"/>
      <c r="T430" s="99">
        <f t="shared" ref="T430:T441" si="59">R430*S430</f>
        <v>0</v>
      </c>
    </row>
    <row r="431" spans="2:23">
      <c r="B431" s="525" t="s">
        <v>400</v>
      </c>
      <c r="C431" s="526"/>
      <c r="D431" s="526"/>
      <c r="E431" s="526"/>
      <c r="F431" s="527"/>
      <c r="G431" s="122"/>
      <c r="H431" s="123"/>
      <c r="I431" s="99">
        <f t="shared" si="58"/>
        <v>0</v>
      </c>
      <c r="M431" s="525" t="s">
        <v>279</v>
      </c>
      <c r="N431" s="526"/>
      <c r="O431" s="526"/>
      <c r="P431" s="526"/>
      <c r="Q431" s="527"/>
      <c r="R431" s="122"/>
      <c r="S431" s="123"/>
      <c r="T431" s="99">
        <f t="shared" si="59"/>
        <v>0</v>
      </c>
    </row>
    <row r="432" spans="2:23">
      <c r="B432" s="528" t="s">
        <v>401</v>
      </c>
      <c r="C432" s="529"/>
      <c r="D432" s="529"/>
      <c r="E432" s="529"/>
      <c r="F432" s="530"/>
      <c r="G432" s="122"/>
      <c r="H432" s="123"/>
      <c r="I432" s="99">
        <f t="shared" si="58"/>
        <v>0</v>
      </c>
      <c r="M432" s="528" t="s">
        <v>280</v>
      </c>
      <c r="N432" s="529"/>
      <c r="O432" s="529"/>
      <c r="P432" s="529"/>
      <c r="Q432" s="530"/>
      <c r="R432" s="122"/>
      <c r="S432" s="123"/>
      <c r="T432" s="99">
        <f t="shared" si="59"/>
        <v>0</v>
      </c>
    </row>
    <row r="433" spans="2:23">
      <c r="B433" s="528" t="s">
        <v>402</v>
      </c>
      <c r="C433" s="529"/>
      <c r="D433" s="529"/>
      <c r="E433" s="529"/>
      <c r="F433" s="530"/>
      <c r="G433" s="122"/>
      <c r="H433" s="123"/>
      <c r="I433" s="99">
        <f t="shared" si="58"/>
        <v>0</v>
      </c>
      <c r="M433" s="528" t="s">
        <v>94</v>
      </c>
      <c r="N433" s="529"/>
      <c r="O433" s="529"/>
      <c r="P433" s="529"/>
      <c r="Q433" s="530"/>
      <c r="R433" s="122"/>
      <c r="S433" s="123"/>
      <c r="T433" s="99">
        <f t="shared" si="59"/>
        <v>0</v>
      </c>
    </row>
    <row r="434" spans="2:23">
      <c r="B434" s="528" t="s">
        <v>403</v>
      </c>
      <c r="C434" s="529"/>
      <c r="D434" s="529"/>
      <c r="E434" s="529"/>
      <c r="F434" s="530"/>
      <c r="G434" s="122">
        <v>3</v>
      </c>
      <c r="H434" s="123">
        <v>275000</v>
      </c>
      <c r="I434" s="99">
        <f t="shared" si="58"/>
        <v>825000</v>
      </c>
      <c r="M434" s="139" t="s">
        <v>281</v>
      </c>
      <c r="N434" s="140"/>
      <c r="O434" s="140"/>
      <c r="P434" s="140"/>
      <c r="Q434" s="141"/>
      <c r="R434" s="122"/>
      <c r="S434" s="123"/>
      <c r="T434" s="99">
        <f t="shared" si="59"/>
        <v>0</v>
      </c>
    </row>
    <row r="435" spans="2:23">
      <c r="B435" s="528"/>
      <c r="C435" s="529"/>
      <c r="D435" s="529"/>
      <c r="E435" s="529"/>
      <c r="F435" s="530"/>
      <c r="G435" s="122"/>
      <c r="H435" s="123"/>
      <c r="I435" s="99">
        <f t="shared" si="58"/>
        <v>0</v>
      </c>
      <c r="M435" s="528" t="s">
        <v>284</v>
      </c>
      <c r="N435" s="529"/>
      <c r="O435" s="529"/>
      <c r="P435" s="529"/>
      <c r="Q435" s="530"/>
      <c r="R435" s="122"/>
      <c r="S435" s="123"/>
      <c r="T435" s="99">
        <f t="shared" si="59"/>
        <v>0</v>
      </c>
    </row>
    <row r="436" spans="2:23">
      <c r="B436" s="528"/>
      <c r="C436" s="529"/>
      <c r="D436" s="529"/>
      <c r="E436" s="529"/>
      <c r="F436" s="530"/>
      <c r="G436" s="122"/>
      <c r="H436" s="123"/>
      <c r="I436" s="99">
        <f t="shared" si="58"/>
        <v>0</v>
      </c>
      <c r="M436" s="528" t="s">
        <v>285</v>
      </c>
      <c r="N436" s="529"/>
      <c r="O436" s="529"/>
      <c r="P436" s="529"/>
      <c r="Q436" s="530"/>
      <c r="R436" s="122"/>
      <c r="S436" s="123"/>
      <c r="T436" s="99">
        <f t="shared" si="59"/>
        <v>0</v>
      </c>
    </row>
    <row r="437" spans="2:23" ht="14.4" thickBot="1">
      <c r="B437" s="139"/>
      <c r="C437" s="140"/>
      <c r="D437" s="140"/>
      <c r="E437" s="140"/>
      <c r="F437" s="141"/>
      <c r="G437" s="122"/>
      <c r="H437" s="123"/>
      <c r="I437" s="99">
        <f t="shared" si="58"/>
        <v>0</v>
      </c>
      <c r="M437" s="139" t="s">
        <v>288</v>
      </c>
      <c r="N437" s="140"/>
      <c r="O437" s="140"/>
      <c r="P437" s="140"/>
      <c r="Q437" s="141"/>
      <c r="R437" s="122"/>
      <c r="S437" s="123"/>
      <c r="T437" s="99">
        <f t="shared" si="59"/>
        <v>0</v>
      </c>
    </row>
    <row r="438" spans="2:23">
      <c r="B438" s="528"/>
      <c r="C438" s="529"/>
      <c r="D438" s="529"/>
      <c r="E438" s="529"/>
      <c r="F438" s="530"/>
      <c r="G438" s="122"/>
      <c r="H438" s="123"/>
      <c r="I438" s="99">
        <f t="shared" si="58"/>
        <v>0</v>
      </c>
      <c r="J438" s="499" t="s">
        <v>275</v>
      </c>
      <c r="K438" s="500"/>
      <c r="L438" s="501"/>
      <c r="M438" s="528" t="s">
        <v>289</v>
      </c>
      <c r="N438" s="529"/>
      <c r="O438" s="529"/>
      <c r="P438" s="529"/>
      <c r="Q438" s="530"/>
      <c r="R438" s="122"/>
      <c r="S438" s="123"/>
      <c r="T438" s="99">
        <f t="shared" si="59"/>
        <v>0</v>
      </c>
      <c r="U438" s="499" t="s">
        <v>275</v>
      </c>
      <c r="V438" s="500"/>
      <c r="W438" s="501"/>
    </row>
    <row r="439" spans="2:23" ht="14.4" thickBot="1">
      <c r="B439" s="528"/>
      <c r="C439" s="529"/>
      <c r="D439" s="529"/>
      <c r="E439" s="529"/>
      <c r="F439" s="530"/>
      <c r="G439" s="122"/>
      <c r="H439" s="123"/>
      <c r="I439" s="99">
        <f t="shared" si="58"/>
        <v>0</v>
      </c>
      <c r="J439" s="502"/>
      <c r="K439" s="503"/>
      <c r="L439" s="504"/>
      <c r="M439" s="528" t="s">
        <v>290</v>
      </c>
      <c r="N439" s="529"/>
      <c r="O439" s="529"/>
      <c r="P439" s="529"/>
      <c r="Q439" s="530"/>
      <c r="R439" s="122"/>
      <c r="S439" s="123"/>
      <c r="T439" s="99">
        <f t="shared" si="59"/>
        <v>0</v>
      </c>
      <c r="U439" s="502"/>
      <c r="V439" s="503"/>
      <c r="W439" s="504"/>
    </row>
    <row r="440" spans="2:23">
      <c r="B440" s="528"/>
      <c r="C440" s="529"/>
      <c r="D440" s="529"/>
      <c r="E440" s="529"/>
      <c r="F440" s="530"/>
      <c r="G440" s="122"/>
      <c r="H440" s="123"/>
      <c r="I440" s="99">
        <f t="shared" si="58"/>
        <v>0</v>
      </c>
      <c r="J440" s="491">
        <f>SUM(I430:I441)</f>
        <v>1175000</v>
      </c>
      <c r="K440" s="492"/>
      <c r="L440" s="493"/>
      <c r="M440" s="528"/>
      <c r="N440" s="529"/>
      <c r="O440" s="529"/>
      <c r="P440" s="529"/>
      <c r="Q440" s="530"/>
      <c r="R440" s="122"/>
      <c r="S440" s="123"/>
      <c r="T440" s="99">
        <f t="shared" si="59"/>
        <v>0</v>
      </c>
      <c r="U440" s="491">
        <f>SUM(T430:T441)</f>
        <v>0</v>
      </c>
      <c r="V440" s="492"/>
      <c r="W440" s="493"/>
    </row>
    <row r="441" spans="2:23" ht="14.4" thickBot="1">
      <c r="B441" s="537"/>
      <c r="C441" s="538"/>
      <c r="D441" s="538"/>
      <c r="E441" s="538"/>
      <c r="F441" s="539"/>
      <c r="G441" s="124"/>
      <c r="H441" s="125"/>
      <c r="I441" s="100">
        <f t="shared" si="58"/>
        <v>0</v>
      </c>
      <c r="J441" s="494"/>
      <c r="K441" s="495"/>
      <c r="L441" s="496"/>
      <c r="M441" s="537"/>
      <c r="N441" s="538"/>
      <c r="O441" s="538"/>
      <c r="P441" s="538"/>
      <c r="Q441" s="539"/>
      <c r="R441" s="124"/>
      <c r="S441" s="125"/>
      <c r="T441" s="100">
        <f t="shared" si="59"/>
        <v>0</v>
      </c>
      <c r="U441" s="494"/>
      <c r="V441" s="495"/>
      <c r="W441" s="496"/>
    </row>
    <row r="442" spans="2:23" ht="14.4" thickBot="1">
      <c r="B442" s="531" t="s">
        <v>26</v>
      </c>
      <c r="C442" s="532"/>
      <c r="D442" s="532"/>
      <c r="E442" s="532"/>
      <c r="F442" s="532"/>
      <c r="G442" s="532"/>
      <c r="H442" s="532"/>
      <c r="I442" s="533"/>
      <c r="J442" s="132"/>
      <c r="K442" s="132"/>
      <c r="L442" s="132"/>
      <c r="M442" s="531" t="s">
        <v>26</v>
      </c>
      <c r="N442" s="532"/>
      <c r="O442" s="532"/>
      <c r="P442" s="532"/>
      <c r="Q442" s="532"/>
      <c r="R442" s="532"/>
      <c r="S442" s="532"/>
      <c r="T442" s="533"/>
      <c r="U442" s="132"/>
      <c r="V442" s="132"/>
      <c r="W442" s="132"/>
    </row>
    <row r="443" spans="2:23" ht="14.4" thickBot="1">
      <c r="B443" s="531" t="s">
        <v>267</v>
      </c>
      <c r="C443" s="532"/>
      <c r="D443" s="532"/>
      <c r="E443" s="532"/>
      <c r="F443" s="532"/>
      <c r="G443" s="142" t="s">
        <v>266</v>
      </c>
      <c r="H443" s="142" t="s">
        <v>0</v>
      </c>
      <c r="I443" s="103" t="s">
        <v>265</v>
      </c>
      <c r="J443" s="132"/>
      <c r="K443" s="132"/>
      <c r="L443" s="132"/>
      <c r="M443" s="531" t="s">
        <v>267</v>
      </c>
      <c r="N443" s="532"/>
      <c r="O443" s="532"/>
      <c r="P443" s="532"/>
      <c r="Q443" s="532"/>
      <c r="R443" s="142" t="s">
        <v>266</v>
      </c>
      <c r="S443" s="142" t="s">
        <v>0</v>
      </c>
      <c r="T443" s="103" t="s">
        <v>265</v>
      </c>
      <c r="U443" s="132"/>
      <c r="V443" s="132"/>
      <c r="W443" s="132"/>
    </row>
    <row r="444" spans="2:23">
      <c r="B444" s="534" t="s">
        <v>296</v>
      </c>
      <c r="C444" s="535"/>
      <c r="D444" s="535"/>
      <c r="E444" s="535"/>
      <c r="F444" s="536"/>
      <c r="G444" s="143"/>
      <c r="H444" s="144"/>
      <c r="I444" s="104">
        <f t="shared" ref="I444:I460" si="60">G444*H444</f>
        <v>0</v>
      </c>
      <c r="M444" s="534" t="s">
        <v>296</v>
      </c>
      <c r="N444" s="535"/>
      <c r="O444" s="535"/>
      <c r="P444" s="535"/>
      <c r="Q444" s="536"/>
      <c r="R444" s="143"/>
      <c r="S444" s="144"/>
      <c r="T444" s="104">
        <f t="shared" ref="T444:T460" si="61">R444*S444</f>
        <v>0</v>
      </c>
    </row>
    <row r="445" spans="2:23">
      <c r="B445" s="540" t="s">
        <v>295</v>
      </c>
      <c r="C445" s="541"/>
      <c r="D445" s="541"/>
      <c r="E445" s="541"/>
      <c r="F445" s="542"/>
      <c r="G445" s="122">
        <v>1</v>
      </c>
      <c r="H445" s="123">
        <v>15000</v>
      </c>
      <c r="I445" s="99">
        <f t="shared" si="60"/>
        <v>15000</v>
      </c>
      <c r="M445" s="540" t="s">
        <v>295</v>
      </c>
      <c r="N445" s="541"/>
      <c r="O445" s="541"/>
      <c r="P445" s="541"/>
      <c r="Q445" s="542"/>
      <c r="R445" s="122"/>
      <c r="S445" s="123"/>
      <c r="T445" s="99">
        <f t="shared" si="61"/>
        <v>0</v>
      </c>
    </row>
    <row r="446" spans="2:23">
      <c r="B446" s="540" t="s">
        <v>330</v>
      </c>
      <c r="C446" s="541"/>
      <c r="D446" s="541"/>
      <c r="E446" s="541"/>
      <c r="F446" s="542"/>
      <c r="G446" s="122"/>
      <c r="H446" s="123"/>
      <c r="I446" s="99">
        <f t="shared" si="60"/>
        <v>0</v>
      </c>
      <c r="M446" s="540" t="s">
        <v>330</v>
      </c>
      <c r="N446" s="541"/>
      <c r="O446" s="541"/>
      <c r="P446" s="541"/>
      <c r="Q446" s="542"/>
      <c r="R446" s="122"/>
      <c r="S446" s="123"/>
      <c r="T446" s="99">
        <f t="shared" si="61"/>
        <v>0</v>
      </c>
    </row>
    <row r="447" spans="2:23">
      <c r="B447" s="540" t="s">
        <v>329</v>
      </c>
      <c r="C447" s="541"/>
      <c r="D447" s="541"/>
      <c r="E447" s="541"/>
      <c r="F447" s="542"/>
      <c r="G447" s="122">
        <v>1</v>
      </c>
      <c r="H447" s="123">
        <v>15000</v>
      </c>
      <c r="I447" s="99">
        <f t="shared" si="60"/>
        <v>15000</v>
      </c>
      <c r="M447" s="540" t="s">
        <v>329</v>
      </c>
      <c r="N447" s="541"/>
      <c r="O447" s="541"/>
      <c r="P447" s="541"/>
      <c r="Q447" s="542"/>
      <c r="R447" s="122"/>
      <c r="S447" s="123"/>
      <c r="T447" s="99">
        <f t="shared" si="61"/>
        <v>0</v>
      </c>
    </row>
    <row r="448" spans="2:23">
      <c r="B448" s="540" t="s">
        <v>331</v>
      </c>
      <c r="C448" s="541"/>
      <c r="D448" s="541"/>
      <c r="E448" s="541"/>
      <c r="F448" s="542"/>
      <c r="G448" s="122"/>
      <c r="H448" s="123"/>
      <c r="I448" s="99">
        <f t="shared" si="60"/>
        <v>0</v>
      </c>
      <c r="M448" s="540" t="s">
        <v>331</v>
      </c>
      <c r="N448" s="541"/>
      <c r="O448" s="541"/>
      <c r="P448" s="541"/>
      <c r="Q448" s="542"/>
      <c r="R448" s="122"/>
      <c r="S448" s="123"/>
      <c r="T448" s="99">
        <f t="shared" si="61"/>
        <v>0</v>
      </c>
    </row>
    <row r="449" spans="2:23">
      <c r="B449" s="145" t="s">
        <v>42</v>
      </c>
      <c r="C449" s="146"/>
      <c r="D449" s="146"/>
      <c r="E449" s="146"/>
      <c r="F449" s="147"/>
      <c r="G449" s="122"/>
      <c r="H449" s="123"/>
      <c r="I449" s="99">
        <f t="shared" si="60"/>
        <v>0</v>
      </c>
      <c r="M449" s="145" t="s">
        <v>42</v>
      </c>
      <c r="N449" s="146"/>
      <c r="O449" s="146"/>
      <c r="P449" s="146"/>
      <c r="Q449" s="147"/>
      <c r="R449" s="122"/>
      <c r="S449" s="123"/>
      <c r="T449" s="99">
        <f t="shared" si="61"/>
        <v>0</v>
      </c>
    </row>
    <row r="450" spans="2:23">
      <c r="B450" s="145" t="s">
        <v>41</v>
      </c>
      <c r="C450" s="146"/>
      <c r="D450" s="146"/>
      <c r="E450" s="146"/>
      <c r="F450" s="147"/>
      <c r="G450" s="122"/>
      <c r="H450" s="123"/>
      <c r="I450" s="99">
        <f t="shared" si="60"/>
        <v>0</v>
      </c>
      <c r="M450" s="145" t="s">
        <v>41</v>
      </c>
      <c r="N450" s="146"/>
      <c r="O450" s="146"/>
      <c r="P450" s="146"/>
      <c r="Q450" s="147"/>
      <c r="R450" s="122"/>
      <c r="S450" s="123"/>
      <c r="T450" s="99">
        <f t="shared" si="61"/>
        <v>0</v>
      </c>
    </row>
    <row r="451" spans="2:23">
      <c r="B451" s="145" t="s">
        <v>3</v>
      </c>
      <c r="C451" s="146"/>
      <c r="D451" s="146"/>
      <c r="E451" s="146"/>
      <c r="F451" s="147"/>
      <c r="G451" s="122"/>
      <c r="H451" s="123"/>
      <c r="I451" s="99">
        <f t="shared" si="60"/>
        <v>0</v>
      </c>
      <c r="M451" s="145" t="s">
        <v>3</v>
      </c>
      <c r="N451" s="146"/>
      <c r="O451" s="146"/>
      <c r="P451" s="146"/>
      <c r="Q451" s="147"/>
      <c r="R451" s="122"/>
      <c r="S451" s="123"/>
      <c r="T451" s="99">
        <f t="shared" si="61"/>
        <v>0</v>
      </c>
    </row>
    <row r="452" spans="2:23">
      <c r="B452" s="145" t="s">
        <v>4</v>
      </c>
      <c r="C452" s="146"/>
      <c r="D452" s="146"/>
      <c r="E452" s="146"/>
      <c r="F452" s="147"/>
      <c r="G452" s="122"/>
      <c r="H452" s="123"/>
      <c r="I452" s="99">
        <f t="shared" si="60"/>
        <v>0</v>
      </c>
      <c r="M452" s="145" t="s">
        <v>4</v>
      </c>
      <c r="N452" s="146"/>
      <c r="O452" s="146"/>
      <c r="P452" s="146"/>
      <c r="Q452" s="147"/>
      <c r="R452" s="122"/>
      <c r="S452" s="123"/>
      <c r="T452" s="99">
        <f t="shared" si="61"/>
        <v>0</v>
      </c>
    </row>
    <row r="453" spans="2:23">
      <c r="B453" s="145" t="s">
        <v>67</v>
      </c>
      <c r="C453" s="146"/>
      <c r="D453" s="146"/>
      <c r="E453" s="146"/>
      <c r="F453" s="147"/>
      <c r="G453" s="122"/>
      <c r="H453" s="123"/>
      <c r="I453" s="99">
        <f t="shared" si="60"/>
        <v>0</v>
      </c>
      <c r="M453" s="145" t="s">
        <v>67</v>
      </c>
      <c r="N453" s="146"/>
      <c r="O453" s="146"/>
      <c r="P453" s="146"/>
      <c r="Q453" s="147"/>
      <c r="R453" s="122"/>
      <c r="S453" s="123"/>
      <c r="T453" s="99">
        <f t="shared" si="61"/>
        <v>0</v>
      </c>
    </row>
    <row r="454" spans="2:23">
      <c r="B454" s="145" t="s">
        <v>68</v>
      </c>
      <c r="C454" s="146"/>
      <c r="D454" s="146"/>
      <c r="E454" s="146"/>
      <c r="F454" s="147"/>
      <c r="G454" s="122"/>
      <c r="H454" s="123"/>
      <c r="I454" s="99">
        <f t="shared" si="60"/>
        <v>0</v>
      </c>
      <c r="M454" s="145" t="s">
        <v>68</v>
      </c>
      <c r="N454" s="146"/>
      <c r="O454" s="146"/>
      <c r="P454" s="146"/>
      <c r="Q454" s="147"/>
      <c r="R454" s="122"/>
      <c r="S454" s="123"/>
      <c r="T454" s="99">
        <f t="shared" si="61"/>
        <v>0</v>
      </c>
    </row>
    <row r="455" spans="2:23">
      <c r="B455" s="540" t="s">
        <v>70</v>
      </c>
      <c r="C455" s="541"/>
      <c r="D455" s="541"/>
      <c r="E455" s="541"/>
      <c r="F455" s="542"/>
      <c r="G455" s="122"/>
      <c r="H455" s="123"/>
      <c r="I455" s="99">
        <f t="shared" si="60"/>
        <v>0</v>
      </c>
      <c r="M455" s="540" t="s">
        <v>70</v>
      </c>
      <c r="N455" s="541"/>
      <c r="O455" s="541"/>
      <c r="P455" s="541"/>
      <c r="Q455" s="542"/>
      <c r="R455" s="122"/>
      <c r="S455" s="123"/>
      <c r="T455" s="99">
        <f t="shared" si="61"/>
        <v>0</v>
      </c>
    </row>
    <row r="456" spans="2:23" ht="14.4" thickBot="1">
      <c r="B456" s="540" t="s">
        <v>380</v>
      </c>
      <c r="C456" s="541"/>
      <c r="D456" s="541"/>
      <c r="E456" s="541"/>
      <c r="F456" s="542"/>
      <c r="G456" s="122">
        <v>1</v>
      </c>
      <c r="H456" s="123">
        <v>100000</v>
      </c>
      <c r="I456" s="99">
        <f t="shared" si="60"/>
        <v>100000</v>
      </c>
      <c r="M456" s="540" t="s">
        <v>380</v>
      </c>
      <c r="N456" s="541"/>
      <c r="O456" s="541"/>
      <c r="P456" s="541"/>
      <c r="Q456" s="542"/>
      <c r="R456" s="122"/>
      <c r="S456" s="123"/>
      <c r="T456" s="99">
        <f t="shared" si="61"/>
        <v>0</v>
      </c>
    </row>
    <row r="457" spans="2:23">
      <c r="B457" s="540" t="s">
        <v>387</v>
      </c>
      <c r="C457" s="541"/>
      <c r="D457" s="541"/>
      <c r="E457" s="541"/>
      <c r="F457" s="542"/>
      <c r="G457" s="122">
        <v>1</v>
      </c>
      <c r="H457" s="123">
        <v>100000</v>
      </c>
      <c r="I457" s="99">
        <f t="shared" si="60"/>
        <v>100000</v>
      </c>
      <c r="J457" s="499" t="s">
        <v>275</v>
      </c>
      <c r="K457" s="500"/>
      <c r="L457" s="501"/>
      <c r="M457" s="540" t="s">
        <v>16</v>
      </c>
      <c r="N457" s="541"/>
      <c r="O457" s="541"/>
      <c r="P457" s="541"/>
      <c r="Q457" s="542"/>
      <c r="R457" s="122"/>
      <c r="S457" s="123"/>
      <c r="T457" s="99">
        <f t="shared" si="61"/>
        <v>0</v>
      </c>
      <c r="U457" s="499" t="s">
        <v>275</v>
      </c>
      <c r="V457" s="500"/>
      <c r="W457" s="501"/>
    </row>
    <row r="458" spans="2:23" ht="14.4" thickBot="1">
      <c r="B458" s="540" t="s">
        <v>16</v>
      </c>
      <c r="C458" s="541"/>
      <c r="D458" s="541"/>
      <c r="E458" s="541"/>
      <c r="F458" s="542"/>
      <c r="G458" s="122"/>
      <c r="H458" s="123"/>
      <c r="I458" s="99">
        <f t="shared" si="60"/>
        <v>0</v>
      </c>
      <c r="J458" s="502"/>
      <c r="K458" s="503"/>
      <c r="L458" s="504"/>
      <c r="M458" s="540" t="s">
        <v>17</v>
      </c>
      <c r="N458" s="541"/>
      <c r="O458" s="541"/>
      <c r="P458" s="541"/>
      <c r="Q458" s="542"/>
      <c r="R458" s="122"/>
      <c r="S458" s="123"/>
      <c r="T458" s="99">
        <f t="shared" si="61"/>
        <v>0</v>
      </c>
      <c r="U458" s="502"/>
      <c r="V458" s="503"/>
      <c r="W458" s="504"/>
    </row>
    <row r="459" spans="2:23">
      <c r="B459" s="540" t="s">
        <v>17</v>
      </c>
      <c r="C459" s="541"/>
      <c r="D459" s="541"/>
      <c r="E459" s="541"/>
      <c r="F459" s="542"/>
      <c r="G459" s="122"/>
      <c r="H459" s="123"/>
      <c r="I459" s="99">
        <f t="shared" si="60"/>
        <v>0</v>
      </c>
      <c r="J459" s="491">
        <f>SUM(I444:I460)</f>
        <v>230000</v>
      </c>
      <c r="K459" s="492"/>
      <c r="L459" s="493"/>
      <c r="M459" s="540"/>
      <c r="N459" s="541"/>
      <c r="O459" s="541"/>
      <c r="P459" s="541"/>
      <c r="Q459" s="542"/>
      <c r="R459" s="122"/>
      <c r="S459" s="123"/>
      <c r="T459" s="99">
        <f t="shared" si="61"/>
        <v>0</v>
      </c>
      <c r="U459" s="491">
        <f>SUM(T444:T460)</f>
        <v>0</v>
      </c>
      <c r="V459" s="492"/>
      <c r="W459" s="493"/>
    </row>
    <row r="460" spans="2:23" ht="14.4" thickBot="1">
      <c r="B460" s="543"/>
      <c r="C460" s="544"/>
      <c r="D460" s="544"/>
      <c r="E460" s="544"/>
      <c r="F460" s="545"/>
      <c r="G460" s="124"/>
      <c r="H460" s="125"/>
      <c r="I460" s="100">
        <f t="shared" si="60"/>
        <v>0</v>
      </c>
      <c r="J460" s="494"/>
      <c r="K460" s="495"/>
      <c r="L460" s="496"/>
      <c r="M460" s="543"/>
      <c r="N460" s="544"/>
      <c r="O460" s="544"/>
      <c r="P460" s="544"/>
      <c r="Q460" s="545"/>
      <c r="R460" s="124"/>
      <c r="S460" s="125"/>
      <c r="T460" s="100">
        <f t="shared" si="61"/>
        <v>0</v>
      </c>
      <c r="U460" s="494"/>
      <c r="V460" s="495"/>
      <c r="W460" s="496"/>
    </row>
    <row r="461" spans="2:23" ht="14.4" thickBot="1">
      <c r="B461" s="546" t="s">
        <v>297</v>
      </c>
      <c r="C461" s="547"/>
      <c r="D461" s="547"/>
      <c r="E461" s="547"/>
      <c r="F461" s="547"/>
      <c r="G461" s="547"/>
      <c r="H461" s="547"/>
      <c r="I461" s="548"/>
      <c r="J461" s="132"/>
      <c r="K461" s="132"/>
      <c r="L461" s="132"/>
      <c r="M461" s="546" t="s">
        <v>297</v>
      </c>
      <c r="N461" s="547"/>
      <c r="O461" s="547"/>
      <c r="P461" s="547"/>
      <c r="Q461" s="547"/>
      <c r="R461" s="547"/>
      <c r="S461" s="547"/>
      <c r="T461" s="548"/>
      <c r="U461" s="132"/>
      <c r="V461" s="132"/>
      <c r="W461" s="132"/>
    </row>
    <row r="462" spans="2:23" ht="14.4" thickBot="1">
      <c r="B462" s="546" t="s">
        <v>267</v>
      </c>
      <c r="C462" s="547"/>
      <c r="D462" s="547"/>
      <c r="E462" s="547"/>
      <c r="F462" s="547"/>
      <c r="G462" s="148" t="s">
        <v>266</v>
      </c>
      <c r="H462" s="148" t="s">
        <v>0</v>
      </c>
      <c r="I462" s="105" t="s">
        <v>265</v>
      </c>
      <c r="J462" s="132"/>
      <c r="K462" s="132"/>
      <c r="L462" s="132"/>
      <c r="M462" s="546" t="s">
        <v>267</v>
      </c>
      <c r="N462" s="547"/>
      <c r="O462" s="547"/>
      <c r="P462" s="547"/>
      <c r="Q462" s="547"/>
      <c r="R462" s="148" t="s">
        <v>266</v>
      </c>
      <c r="S462" s="148" t="s">
        <v>0</v>
      </c>
      <c r="T462" s="105" t="s">
        <v>265</v>
      </c>
      <c r="U462" s="132"/>
      <c r="V462" s="132"/>
      <c r="W462" s="132"/>
    </row>
    <row r="463" spans="2:23">
      <c r="B463" s="549" t="s">
        <v>333</v>
      </c>
      <c r="C463" s="550"/>
      <c r="D463" s="550"/>
      <c r="E463" s="550"/>
      <c r="F463" s="551"/>
      <c r="G463" s="116"/>
      <c r="H463" s="117"/>
      <c r="I463" s="98"/>
      <c r="M463" s="549" t="s">
        <v>333</v>
      </c>
      <c r="N463" s="550"/>
      <c r="O463" s="550"/>
      <c r="P463" s="550"/>
      <c r="Q463" s="551"/>
      <c r="R463" s="116"/>
      <c r="S463" s="117"/>
      <c r="T463" s="98"/>
    </row>
    <row r="464" spans="2:23">
      <c r="B464" s="552" t="s">
        <v>291</v>
      </c>
      <c r="C464" s="553"/>
      <c r="D464" s="553"/>
      <c r="E464" s="553"/>
      <c r="F464" s="554"/>
      <c r="G464" s="122"/>
      <c r="H464" s="123"/>
      <c r="I464" s="99">
        <f t="shared" ref="I464:I474" si="62">G464*H464</f>
        <v>0</v>
      </c>
      <c r="M464" s="552" t="s">
        <v>291</v>
      </c>
      <c r="N464" s="553"/>
      <c r="O464" s="553"/>
      <c r="P464" s="553"/>
      <c r="Q464" s="554"/>
      <c r="R464" s="122"/>
      <c r="S464" s="123"/>
      <c r="T464" s="99">
        <f t="shared" ref="T464:T474" si="63">R464*S464</f>
        <v>0</v>
      </c>
    </row>
    <row r="465" spans="2:23">
      <c r="B465" s="552" t="s">
        <v>292</v>
      </c>
      <c r="C465" s="553"/>
      <c r="D465" s="553"/>
      <c r="E465" s="553"/>
      <c r="F465" s="554"/>
      <c r="G465" s="122"/>
      <c r="H465" s="123"/>
      <c r="I465" s="99">
        <f t="shared" si="62"/>
        <v>0</v>
      </c>
      <c r="M465" s="552" t="s">
        <v>292</v>
      </c>
      <c r="N465" s="553"/>
      <c r="O465" s="553"/>
      <c r="P465" s="553"/>
      <c r="Q465" s="554"/>
      <c r="R465" s="122"/>
      <c r="S465" s="123"/>
      <c r="T465" s="99">
        <f t="shared" si="63"/>
        <v>0</v>
      </c>
    </row>
    <row r="466" spans="2:23">
      <c r="B466" s="552" t="s">
        <v>293</v>
      </c>
      <c r="C466" s="553"/>
      <c r="D466" s="553"/>
      <c r="E466" s="553"/>
      <c r="F466" s="554"/>
      <c r="G466" s="122"/>
      <c r="H466" s="123"/>
      <c r="I466" s="99">
        <f t="shared" si="62"/>
        <v>0</v>
      </c>
      <c r="M466" s="552" t="s">
        <v>293</v>
      </c>
      <c r="N466" s="553"/>
      <c r="O466" s="553"/>
      <c r="P466" s="553"/>
      <c r="Q466" s="554"/>
      <c r="R466" s="122"/>
      <c r="S466" s="123"/>
      <c r="T466" s="99">
        <f t="shared" si="63"/>
        <v>0</v>
      </c>
    </row>
    <row r="467" spans="2:23">
      <c r="B467" s="552" t="s">
        <v>193</v>
      </c>
      <c r="C467" s="553"/>
      <c r="D467" s="553"/>
      <c r="E467" s="553"/>
      <c r="F467" s="554"/>
      <c r="G467" s="122"/>
      <c r="H467" s="123"/>
      <c r="I467" s="99">
        <f t="shared" si="62"/>
        <v>0</v>
      </c>
      <c r="M467" s="552" t="s">
        <v>193</v>
      </c>
      <c r="N467" s="553"/>
      <c r="O467" s="553"/>
      <c r="P467" s="553"/>
      <c r="Q467" s="554"/>
      <c r="R467" s="122"/>
      <c r="S467" s="123"/>
      <c r="T467" s="99">
        <f t="shared" si="63"/>
        <v>0</v>
      </c>
    </row>
    <row r="468" spans="2:23">
      <c r="B468" s="552" t="s">
        <v>294</v>
      </c>
      <c r="C468" s="553"/>
      <c r="D468" s="553"/>
      <c r="E468" s="553"/>
      <c r="F468" s="554"/>
      <c r="G468" s="122"/>
      <c r="H468" s="123"/>
      <c r="I468" s="99">
        <f t="shared" si="62"/>
        <v>0</v>
      </c>
      <c r="M468" s="552" t="s">
        <v>294</v>
      </c>
      <c r="N468" s="553"/>
      <c r="O468" s="553"/>
      <c r="P468" s="553"/>
      <c r="Q468" s="554"/>
      <c r="R468" s="122"/>
      <c r="S468" s="123"/>
      <c r="T468" s="99">
        <f t="shared" si="63"/>
        <v>0</v>
      </c>
    </row>
    <row r="469" spans="2:23">
      <c r="B469" s="552"/>
      <c r="C469" s="553"/>
      <c r="D469" s="553"/>
      <c r="E469" s="553"/>
      <c r="F469" s="554"/>
      <c r="G469" s="122"/>
      <c r="H469" s="123"/>
      <c r="I469" s="99">
        <f t="shared" si="62"/>
        <v>0</v>
      </c>
      <c r="M469" s="552"/>
      <c r="N469" s="553"/>
      <c r="O469" s="553"/>
      <c r="P469" s="553"/>
      <c r="Q469" s="554"/>
      <c r="R469" s="122"/>
      <c r="S469" s="123"/>
      <c r="T469" s="99">
        <f t="shared" si="63"/>
        <v>0</v>
      </c>
    </row>
    <row r="470" spans="2:23" ht="14.4" thickBot="1">
      <c r="B470" s="552"/>
      <c r="C470" s="553"/>
      <c r="D470" s="553"/>
      <c r="E470" s="553"/>
      <c r="F470" s="554"/>
      <c r="G470" s="122"/>
      <c r="H470" s="123"/>
      <c r="I470" s="99">
        <f t="shared" si="62"/>
        <v>0</v>
      </c>
      <c r="M470" s="552"/>
      <c r="N470" s="553"/>
      <c r="O470" s="553"/>
      <c r="P470" s="553"/>
      <c r="Q470" s="554"/>
      <c r="R470" s="122"/>
      <c r="S470" s="123"/>
      <c r="T470" s="99">
        <f t="shared" si="63"/>
        <v>0</v>
      </c>
    </row>
    <row r="471" spans="2:23">
      <c r="B471" s="552"/>
      <c r="C471" s="553"/>
      <c r="D471" s="553"/>
      <c r="E471" s="553"/>
      <c r="F471" s="554"/>
      <c r="G471" s="122"/>
      <c r="H471" s="123"/>
      <c r="I471" s="99">
        <f t="shared" si="62"/>
        <v>0</v>
      </c>
      <c r="J471" s="499" t="s">
        <v>275</v>
      </c>
      <c r="K471" s="500"/>
      <c r="L471" s="501"/>
      <c r="M471" s="552"/>
      <c r="N471" s="553"/>
      <c r="O471" s="553"/>
      <c r="P471" s="553"/>
      <c r="Q471" s="554"/>
      <c r="R471" s="122"/>
      <c r="S471" s="123"/>
      <c r="T471" s="99">
        <f t="shared" si="63"/>
        <v>0</v>
      </c>
      <c r="U471" s="499" t="s">
        <v>275</v>
      </c>
      <c r="V471" s="500"/>
      <c r="W471" s="501"/>
    </row>
    <row r="472" spans="2:23" ht="14.4" thickBot="1">
      <c r="B472" s="557" t="s">
        <v>2</v>
      </c>
      <c r="C472" s="558"/>
      <c r="D472" s="558"/>
      <c r="E472" s="558"/>
      <c r="F472" s="559"/>
      <c r="G472" s="149">
        <v>1</v>
      </c>
      <c r="H472" s="150">
        <v>950000</v>
      </c>
      <c r="I472" s="100">
        <f t="shared" si="62"/>
        <v>950000</v>
      </c>
      <c r="J472" s="502"/>
      <c r="K472" s="503"/>
      <c r="L472" s="504"/>
      <c r="M472" s="557" t="s">
        <v>2</v>
      </c>
      <c r="N472" s="558"/>
      <c r="O472" s="558"/>
      <c r="P472" s="558"/>
      <c r="Q472" s="559"/>
      <c r="R472" s="149"/>
      <c r="S472" s="150"/>
      <c r="T472" s="100">
        <f t="shared" si="63"/>
        <v>0</v>
      </c>
      <c r="U472" s="502"/>
      <c r="V472" s="503"/>
      <c r="W472" s="504"/>
    </row>
    <row r="473" spans="2:23">
      <c r="B473" s="555" t="s">
        <v>22</v>
      </c>
      <c r="C473" s="556"/>
      <c r="D473" s="556"/>
      <c r="E473" s="556"/>
      <c r="F473" s="556"/>
      <c r="G473" s="122"/>
      <c r="H473" s="123"/>
      <c r="I473" s="99">
        <f t="shared" si="62"/>
        <v>0</v>
      </c>
      <c r="J473" s="491">
        <f>SUM(I463:I474)</f>
        <v>950000</v>
      </c>
      <c r="K473" s="492"/>
      <c r="L473" s="493"/>
      <c r="M473" s="555" t="s">
        <v>22</v>
      </c>
      <c r="N473" s="556"/>
      <c r="O473" s="556"/>
      <c r="P473" s="556"/>
      <c r="Q473" s="556"/>
      <c r="R473" s="122"/>
      <c r="S473" s="123"/>
      <c r="T473" s="99">
        <f t="shared" si="63"/>
        <v>0</v>
      </c>
      <c r="U473" s="491">
        <f>SUM(T463:T474)</f>
        <v>0</v>
      </c>
      <c r="V473" s="492"/>
      <c r="W473" s="493"/>
    </row>
    <row r="474" spans="2:23" ht="14.4" thickBot="1">
      <c r="B474" s="555" t="s">
        <v>21</v>
      </c>
      <c r="C474" s="556"/>
      <c r="D474" s="556"/>
      <c r="E474" s="556"/>
      <c r="F474" s="556"/>
      <c r="G474" s="122"/>
      <c r="H474" s="123"/>
      <c r="I474" s="99">
        <f t="shared" si="62"/>
        <v>0</v>
      </c>
      <c r="J474" s="494"/>
      <c r="K474" s="495"/>
      <c r="L474" s="496"/>
      <c r="M474" s="555" t="s">
        <v>21</v>
      </c>
      <c r="N474" s="556"/>
      <c r="O474" s="556"/>
      <c r="P474" s="556"/>
      <c r="Q474" s="556"/>
      <c r="R474" s="122"/>
      <c r="S474" s="123"/>
      <c r="T474" s="99">
        <f t="shared" si="63"/>
        <v>0</v>
      </c>
      <c r="U474" s="494"/>
      <c r="V474" s="495"/>
      <c r="W474" s="496"/>
    </row>
    <row r="475" spans="2:23" ht="14.4" thickBot="1">
      <c r="B475" s="560" t="s">
        <v>334</v>
      </c>
      <c r="C475" s="561"/>
      <c r="D475" s="561"/>
      <c r="E475" s="561"/>
      <c r="F475" s="561"/>
      <c r="G475" s="561"/>
      <c r="H475" s="561"/>
      <c r="I475" s="562"/>
      <c r="J475" s="151"/>
      <c r="K475" s="132"/>
      <c r="L475" s="132"/>
      <c r="M475" s="560" t="s">
        <v>334</v>
      </c>
      <c r="N475" s="561"/>
      <c r="O475" s="561"/>
      <c r="P475" s="561"/>
      <c r="Q475" s="561"/>
      <c r="R475" s="561"/>
      <c r="S475" s="561"/>
      <c r="T475" s="562"/>
      <c r="U475" s="151"/>
      <c r="V475" s="132"/>
      <c r="W475" s="132"/>
    </row>
    <row r="476" spans="2:23" ht="14.4" thickBot="1">
      <c r="B476" s="560" t="s">
        <v>267</v>
      </c>
      <c r="C476" s="561"/>
      <c r="D476" s="561"/>
      <c r="E476" s="561"/>
      <c r="F476" s="561"/>
      <c r="G476" s="152" t="s">
        <v>266</v>
      </c>
      <c r="H476" s="152" t="s">
        <v>0</v>
      </c>
      <c r="I476" s="106" t="s">
        <v>265</v>
      </c>
      <c r="J476" s="151"/>
      <c r="K476" s="132"/>
      <c r="L476" s="132"/>
      <c r="M476" s="560" t="s">
        <v>267</v>
      </c>
      <c r="N476" s="561"/>
      <c r="O476" s="561"/>
      <c r="P476" s="561"/>
      <c r="Q476" s="561"/>
      <c r="R476" s="152" t="s">
        <v>266</v>
      </c>
      <c r="S476" s="152" t="s">
        <v>0</v>
      </c>
      <c r="T476" s="106" t="s">
        <v>265</v>
      </c>
      <c r="U476" s="151"/>
      <c r="V476" s="132"/>
      <c r="W476" s="132"/>
    </row>
    <row r="477" spans="2:23">
      <c r="B477" s="563" t="s">
        <v>8</v>
      </c>
      <c r="C477" s="564"/>
      <c r="D477" s="564"/>
      <c r="E477" s="564"/>
      <c r="F477" s="564"/>
      <c r="G477" s="122">
        <v>10</v>
      </c>
      <c r="H477" s="123">
        <v>120000</v>
      </c>
      <c r="I477" s="99">
        <f t="shared" ref="I477:I480" si="64">G477*H477</f>
        <v>1200000</v>
      </c>
      <c r="J477" s="499" t="s">
        <v>275</v>
      </c>
      <c r="K477" s="500"/>
      <c r="L477" s="501"/>
      <c r="M477" s="563" t="s">
        <v>8</v>
      </c>
      <c r="N477" s="564"/>
      <c r="O477" s="564"/>
      <c r="P477" s="564"/>
      <c r="Q477" s="564"/>
      <c r="R477" s="122"/>
      <c r="S477" s="123"/>
      <c r="T477" s="99">
        <f t="shared" ref="T477:T480" si="65">R477*S477</f>
        <v>0</v>
      </c>
      <c r="U477" s="499" t="s">
        <v>275</v>
      </c>
      <c r="V477" s="500"/>
      <c r="W477" s="501"/>
    </row>
    <row r="478" spans="2:23" ht="14.4" thickBot="1">
      <c r="B478" s="563" t="s">
        <v>9</v>
      </c>
      <c r="C478" s="564"/>
      <c r="D478" s="564"/>
      <c r="E478" s="564"/>
      <c r="F478" s="564"/>
      <c r="G478" s="122">
        <v>1</v>
      </c>
      <c r="H478" s="123">
        <v>200000</v>
      </c>
      <c r="I478" s="99">
        <f t="shared" si="64"/>
        <v>200000</v>
      </c>
      <c r="J478" s="502"/>
      <c r="K478" s="503"/>
      <c r="L478" s="504"/>
      <c r="M478" s="563" t="s">
        <v>9</v>
      </c>
      <c r="N478" s="564"/>
      <c r="O478" s="564"/>
      <c r="P478" s="564"/>
      <c r="Q478" s="564"/>
      <c r="R478" s="122"/>
      <c r="S478" s="123"/>
      <c r="T478" s="99">
        <f t="shared" si="65"/>
        <v>0</v>
      </c>
      <c r="U478" s="502"/>
      <c r="V478" s="503"/>
      <c r="W478" s="504"/>
    </row>
    <row r="479" spans="2:23">
      <c r="B479" s="563" t="s">
        <v>335</v>
      </c>
      <c r="C479" s="564"/>
      <c r="D479" s="564"/>
      <c r="E479" s="564"/>
      <c r="F479" s="564"/>
      <c r="G479" s="122">
        <v>1</v>
      </c>
      <c r="H479" s="123">
        <v>100000</v>
      </c>
      <c r="I479" s="99">
        <f t="shared" si="64"/>
        <v>100000</v>
      </c>
      <c r="J479" s="491">
        <f>SUM(I477:I480)</f>
        <v>1500000</v>
      </c>
      <c r="K479" s="492"/>
      <c r="L479" s="493"/>
      <c r="M479" s="563" t="s">
        <v>335</v>
      </c>
      <c r="N479" s="564"/>
      <c r="O479" s="564"/>
      <c r="P479" s="564"/>
      <c r="Q479" s="564"/>
      <c r="R479" s="122"/>
      <c r="S479" s="123"/>
      <c r="T479" s="99">
        <f t="shared" si="65"/>
        <v>0</v>
      </c>
      <c r="U479" s="491">
        <f>SUM(T477:T480)</f>
        <v>0</v>
      </c>
      <c r="V479" s="492"/>
      <c r="W479" s="493"/>
    </row>
    <row r="480" spans="2:23" ht="14.4" thickBot="1">
      <c r="B480" s="583" t="s">
        <v>336</v>
      </c>
      <c r="C480" s="584"/>
      <c r="D480" s="584"/>
      <c r="E480" s="584"/>
      <c r="F480" s="584"/>
      <c r="G480" s="153"/>
      <c r="H480" s="154"/>
      <c r="I480" s="107">
        <f t="shared" si="64"/>
        <v>0</v>
      </c>
      <c r="J480" s="494"/>
      <c r="K480" s="495"/>
      <c r="L480" s="496"/>
      <c r="M480" s="583" t="s">
        <v>336</v>
      </c>
      <c r="N480" s="584"/>
      <c r="O480" s="584"/>
      <c r="P480" s="584"/>
      <c r="Q480" s="584"/>
      <c r="R480" s="153"/>
      <c r="S480" s="154"/>
      <c r="T480" s="107">
        <f t="shared" si="65"/>
        <v>0</v>
      </c>
      <c r="U480" s="494"/>
      <c r="V480" s="495"/>
      <c r="W480" s="496"/>
    </row>
    <row r="481" spans="2:23">
      <c r="B481" s="565" t="s">
        <v>298</v>
      </c>
      <c r="C481" s="566"/>
      <c r="D481" s="566"/>
      <c r="E481" s="566"/>
      <c r="F481" s="566"/>
      <c r="G481" s="566"/>
      <c r="H481" s="566"/>
      <c r="I481" s="567"/>
      <c r="J481" s="574">
        <f>SUM(J479,J473,J459,J440,J426,J412,J398)</f>
        <v>7998000</v>
      </c>
      <c r="K481" s="575"/>
      <c r="L481" s="576"/>
      <c r="M481" s="565" t="s">
        <v>298</v>
      </c>
      <c r="N481" s="566"/>
      <c r="O481" s="566"/>
      <c r="P481" s="566"/>
      <c r="Q481" s="566"/>
      <c r="R481" s="566"/>
      <c r="S481" s="566"/>
      <c r="T481" s="567"/>
      <c r="U481" s="574">
        <f>SUM(U479,U473,U459,U440,U426,U412,U398)</f>
        <v>0</v>
      </c>
      <c r="V481" s="575"/>
      <c r="W481" s="576"/>
    </row>
    <row r="482" spans="2:23">
      <c r="B482" s="568"/>
      <c r="C482" s="569"/>
      <c r="D482" s="569"/>
      <c r="E482" s="569"/>
      <c r="F482" s="569"/>
      <c r="G482" s="569"/>
      <c r="H482" s="569"/>
      <c r="I482" s="570"/>
      <c r="J482" s="577"/>
      <c r="K482" s="578"/>
      <c r="L482" s="579"/>
      <c r="M482" s="568"/>
      <c r="N482" s="569"/>
      <c r="O482" s="569"/>
      <c r="P482" s="569"/>
      <c r="Q482" s="569"/>
      <c r="R482" s="569"/>
      <c r="S482" s="569"/>
      <c r="T482" s="570"/>
      <c r="U482" s="577"/>
      <c r="V482" s="578"/>
      <c r="W482" s="579"/>
    </row>
    <row r="483" spans="2:23" ht="14.4" thickBot="1">
      <c r="B483" s="571"/>
      <c r="C483" s="572"/>
      <c r="D483" s="572"/>
      <c r="E483" s="572"/>
      <c r="F483" s="572"/>
      <c r="G483" s="572"/>
      <c r="H483" s="572"/>
      <c r="I483" s="573"/>
      <c r="J483" s="580"/>
      <c r="K483" s="581"/>
      <c r="L483" s="582"/>
      <c r="M483" s="571"/>
      <c r="N483" s="572"/>
      <c r="O483" s="572"/>
      <c r="P483" s="572"/>
      <c r="Q483" s="572"/>
      <c r="R483" s="572"/>
      <c r="S483" s="572"/>
      <c r="T483" s="573"/>
      <c r="U483" s="580"/>
      <c r="V483" s="581"/>
      <c r="W483" s="582"/>
    </row>
  </sheetData>
  <mergeCells count="951">
    <mergeCell ref="B481:I483"/>
    <mergeCell ref="J481:L483"/>
    <mergeCell ref="M481:T483"/>
    <mergeCell ref="U481:W483"/>
    <mergeCell ref="B89:F89"/>
    <mergeCell ref="M89:Q89"/>
    <mergeCell ref="B434:F434"/>
    <mergeCell ref="U477:W478"/>
    <mergeCell ref="B478:F478"/>
    <mergeCell ref="M478:Q478"/>
    <mergeCell ref="B479:F479"/>
    <mergeCell ref="J479:L480"/>
    <mergeCell ref="M479:Q479"/>
    <mergeCell ref="U479:W480"/>
    <mergeCell ref="B480:F480"/>
    <mergeCell ref="M480:Q480"/>
    <mergeCell ref="B475:I475"/>
    <mergeCell ref="M475:T475"/>
    <mergeCell ref="B476:F476"/>
    <mergeCell ref="M476:Q476"/>
    <mergeCell ref="B477:F477"/>
    <mergeCell ref="J477:L478"/>
    <mergeCell ref="M477:Q477"/>
    <mergeCell ref="B473:F473"/>
    <mergeCell ref="J473:L474"/>
    <mergeCell ref="M473:Q473"/>
    <mergeCell ref="U473:W474"/>
    <mergeCell ref="B474:F474"/>
    <mergeCell ref="M474:Q474"/>
    <mergeCell ref="B470:F470"/>
    <mergeCell ref="M470:Q470"/>
    <mergeCell ref="B471:F471"/>
    <mergeCell ref="J471:L472"/>
    <mergeCell ref="M471:Q471"/>
    <mergeCell ref="U471:W472"/>
    <mergeCell ref="B472:F472"/>
    <mergeCell ref="M472:Q472"/>
    <mergeCell ref="B467:F467"/>
    <mergeCell ref="M467:Q467"/>
    <mergeCell ref="B468:F468"/>
    <mergeCell ref="M468:Q468"/>
    <mergeCell ref="B469:F469"/>
    <mergeCell ref="M469:Q469"/>
    <mergeCell ref="B464:F464"/>
    <mergeCell ref="M464:Q464"/>
    <mergeCell ref="B465:F465"/>
    <mergeCell ref="M465:Q465"/>
    <mergeCell ref="B466:F466"/>
    <mergeCell ref="M466:Q466"/>
    <mergeCell ref="B461:I461"/>
    <mergeCell ref="M461:T461"/>
    <mergeCell ref="B462:F462"/>
    <mergeCell ref="M462:Q462"/>
    <mergeCell ref="B463:F463"/>
    <mergeCell ref="M463:Q463"/>
    <mergeCell ref="B459:F459"/>
    <mergeCell ref="J459:L460"/>
    <mergeCell ref="M459:Q459"/>
    <mergeCell ref="U459:W460"/>
    <mergeCell ref="B460:F460"/>
    <mergeCell ref="M460:Q460"/>
    <mergeCell ref="B457:F457"/>
    <mergeCell ref="J457:L458"/>
    <mergeCell ref="M457:Q457"/>
    <mergeCell ref="U457:W458"/>
    <mergeCell ref="B458:F458"/>
    <mergeCell ref="M458:Q458"/>
    <mergeCell ref="B448:F448"/>
    <mergeCell ref="M448:Q448"/>
    <mergeCell ref="B455:F455"/>
    <mergeCell ref="M455:Q455"/>
    <mergeCell ref="B456:F456"/>
    <mergeCell ref="M456:Q456"/>
    <mergeCell ref="B445:F445"/>
    <mergeCell ref="M445:Q445"/>
    <mergeCell ref="B446:F446"/>
    <mergeCell ref="M446:Q446"/>
    <mergeCell ref="B447:F447"/>
    <mergeCell ref="M447:Q447"/>
    <mergeCell ref="B442:I442"/>
    <mergeCell ref="M442:T442"/>
    <mergeCell ref="B443:F443"/>
    <mergeCell ref="M443:Q443"/>
    <mergeCell ref="B444:F444"/>
    <mergeCell ref="M444:Q444"/>
    <mergeCell ref="U438:W439"/>
    <mergeCell ref="B439:F439"/>
    <mergeCell ref="M439:Q439"/>
    <mergeCell ref="B440:F440"/>
    <mergeCell ref="J440:L441"/>
    <mergeCell ref="M440:Q440"/>
    <mergeCell ref="U440:W441"/>
    <mergeCell ref="B441:F441"/>
    <mergeCell ref="M441:Q441"/>
    <mergeCell ref="B435:F435"/>
    <mergeCell ref="M435:Q435"/>
    <mergeCell ref="B436:F436"/>
    <mergeCell ref="M436:Q436"/>
    <mergeCell ref="B438:F438"/>
    <mergeCell ref="J438:L439"/>
    <mergeCell ref="M438:Q438"/>
    <mergeCell ref="B431:F431"/>
    <mergeCell ref="M431:Q431"/>
    <mergeCell ref="B432:F432"/>
    <mergeCell ref="M432:Q432"/>
    <mergeCell ref="B433:F433"/>
    <mergeCell ref="M433:Q433"/>
    <mergeCell ref="B428:I428"/>
    <mergeCell ref="M428:T428"/>
    <mergeCell ref="B429:F429"/>
    <mergeCell ref="M429:Q429"/>
    <mergeCell ref="B430:F430"/>
    <mergeCell ref="M430:Q430"/>
    <mergeCell ref="J424:L425"/>
    <mergeCell ref="U424:W425"/>
    <mergeCell ref="B426:F426"/>
    <mergeCell ref="J426:L427"/>
    <mergeCell ref="M426:Q426"/>
    <mergeCell ref="U426:W427"/>
    <mergeCell ref="B427:F427"/>
    <mergeCell ref="M427:Q427"/>
    <mergeCell ref="B421:F421"/>
    <mergeCell ref="M421:Q421"/>
    <mergeCell ref="B422:F422"/>
    <mergeCell ref="M422:Q422"/>
    <mergeCell ref="B423:F423"/>
    <mergeCell ref="M423:Q423"/>
    <mergeCell ref="B418:F418"/>
    <mergeCell ref="M418:Q418"/>
    <mergeCell ref="B419:F419"/>
    <mergeCell ref="M419:Q419"/>
    <mergeCell ref="B420:F420"/>
    <mergeCell ref="M420:Q420"/>
    <mergeCell ref="B415:F415"/>
    <mergeCell ref="M415:Q415"/>
    <mergeCell ref="B416:F416"/>
    <mergeCell ref="M416:Q416"/>
    <mergeCell ref="B417:F417"/>
    <mergeCell ref="M417:Q417"/>
    <mergeCell ref="B412:F412"/>
    <mergeCell ref="J412:L413"/>
    <mergeCell ref="M412:Q412"/>
    <mergeCell ref="U412:W413"/>
    <mergeCell ref="B414:I414"/>
    <mergeCell ref="M414:T414"/>
    <mergeCell ref="B406:F406"/>
    <mergeCell ref="M406:Q406"/>
    <mergeCell ref="B410:F410"/>
    <mergeCell ref="J410:L411"/>
    <mergeCell ref="M410:Q410"/>
    <mergeCell ref="U410:W411"/>
    <mergeCell ref="B411:F411"/>
    <mergeCell ref="M411:Q411"/>
    <mergeCell ref="B403:F403"/>
    <mergeCell ref="M403:Q403"/>
    <mergeCell ref="B404:F404"/>
    <mergeCell ref="M404:Q404"/>
    <mergeCell ref="B405:F405"/>
    <mergeCell ref="M405:Q405"/>
    <mergeCell ref="B400:I400"/>
    <mergeCell ref="M400:T400"/>
    <mergeCell ref="B401:F401"/>
    <mergeCell ref="M401:Q401"/>
    <mergeCell ref="B402:F402"/>
    <mergeCell ref="M402:Q402"/>
    <mergeCell ref="U396:W397"/>
    <mergeCell ref="B397:F397"/>
    <mergeCell ref="M397:Q397"/>
    <mergeCell ref="B398:F398"/>
    <mergeCell ref="J398:L399"/>
    <mergeCell ref="M398:Q398"/>
    <mergeCell ref="U398:W399"/>
    <mergeCell ref="B399:F399"/>
    <mergeCell ref="M399:Q399"/>
    <mergeCell ref="B394:F394"/>
    <mergeCell ref="M394:Q394"/>
    <mergeCell ref="B395:F395"/>
    <mergeCell ref="M395:Q395"/>
    <mergeCell ref="B396:F396"/>
    <mergeCell ref="J396:L397"/>
    <mergeCell ref="M396:Q396"/>
    <mergeCell ref="B391:F391"/>
    <mergeCell ref="M391:Q391"/>
    <mergeCell ref="B392:F392"/>
    <mergeCell ref="M392:Q392"/>
    <mergeCell ref="B393:F393"/>
    <mergeCell ref="M393:Q393"/>
    <mergeCell ref="B388:F388"/>
    <mergeCell ref="M388:Q388"/>
    <mergeCell ref="B389:F389"/>
    <mergeCell ref="M389:Q389"/>
    <mergeCell ref="B390:F390"/>
    <mergeCell ref="M390:Q390"/>
    <mergeCell ref="B385:F385"/>
    <mergeCell ref="M385:Q385"/>
    <mergeCell ref="B386:F386"/>
    <mergeCell ref="M386:Q386"/>
    <mergeCell ref="B387:F387"/>
    <mergeCell ref="M387:Q387"/>
    <mergeCell ref="B382:E382"/>
    <mergeCell ref="M382:P382"/>
    <mergeCell ref="B383:E383"/>
    <mergeCell ref="M383:P383"/>
    <mergeCell ref="B384:E384"/>
    <mergeCell ref="M384:P384"/>
    <mergeCell ref="B378:I378"/>
    <mergeCell ref="M378:T378"/>
    <mergeCell ref="B379:F379"/>
    <mergeCell ref="M379:Q379"/>
    <mergeCell ref="B380:E380"/>
    <mergeCell ref="M380:P380"/>
    <mergeCell ref="B372:I374"/>
    <mergeCell ref="J372:L374"/>
    <mergeCell ref="M372:T374"/>
    <mergeCell ref="U372:W374"/>
    <mergeCell ref="B375:I377"/>
    <mergeCell ref="M375:T377"/>
    <mergeCell ref="U368:W369"/>
    <mergeCell ref="B369:F369"/>
    <mergeCell ref="M369:Q369"/>
    <mergeCell ref="B370:F370"/>
    <mergeCell ref="J370:L371"/>
    <mergeCell ref="M370:Q370"/>
    <mergeCell ref="U370:W371"/>
    <mergeCell ref="B371:F371"/>
    <mergeCell ref="M371:Q371"/>
    <mergeCell ref="B366:I366"/>
    <mergeCell ref="M366:T366"/>
    <mergeCell ref="B367:F367"/>
    <mergeCell ref="M367:Q367"/>
    <mergeCell ref="B368:F368"/>
    <mergeCell ref="J368:L369"/>
    <mergeCell ref="M368:Q368"/>
    <mergeCell ref="B364:F364"/>
    <mergeCell ref="J364:L365"/>
    <mergeCell ref="M364:Q364"/>
    <mergeCell ref="U364:W365"/>
    <mergeCell ref="B365:F365"/>
    <mergeCell ref="M365:Q365"/>
    <mergeCell ref="B361:F361"/>
    <mergeCell ref="M361:Q361"/>
    <mergeCell ref="B362:F362"/>
    <mergeCell ref="J362:L363"/>
    <mergeCell ref="M362:Q362"/>
    <mergeCell ref="U362:W363"/>
    <mergeCell ref="B363:F363"/>
    <mergeCell ref="M363:Q363"/>
    <mergeCell ref="B358:F358"/>
    <mergeCell ref="M358:Q358"/>
    <mergeCell ref="B359:F359"/>
    <mergeCell ref="M359:Q359"/>
    <mergeCell ref="B360:F360"/>
    <mergeCell ref="M360:Q360"/>
    <mergeCell ref="B355:F355"/>
    <mergeCell ref="M355:Q355"/>
    <mergeCell ref="B356:F356"/>
    <mergeCell ref="M356:Q356"/>
    <mergeCell ref="B357:F357"/>
    <mergeCell ref="M357:Q357"/>
    <mergeCell ref="B352:I352"/>
    <mergeCell ref="M352:T352"/>
    <mergeCell ref="B353:F353"/>
    <mergeCell ref="M353:Q353"/>
    <mergeCell ref="B354:F354"/>
    <mergeCell ref="M354:Q354"/>
    <mergeCell ref="B350:F350"/>
    <mergeCell ref="J350:L351"/>
    <mergeCell ref="M350:Q350"/>
    <mergeCell ref="U350:W351"/>
    <mergeCell ref="B351:F351"/>
    <mergeCell ref="M351:Q351"/>
    <mergeCell ref="B348:F348"/>
    <mergeCell ref="J348:L349"/>
    <mergeCell ref="M348:Q348"/>
    <mergeCell ref="U348:W349"/>
    <mergeCell ref="B349:F349"/>
    <mergeCell ref="M349:Q349"/>
    <mergeCell ref="B339:F339"/>
    <mergeCell ref="M339:Q339"/>
    <mergeCell ref="B346:F346"/>
    <mergeCell ref="M346:Q346"/>
    <mergeCell ref="B347:F347"/>
    <mergeCell ref="M347:Q347"/>
    <mergeCell ref="B336:F336"/>
    <mergeCell ref="M336:Q336"/>
    <mergeCell ref="B337:F337"/>
    <mergeCell ref="M337:Q337"/>
    <mergeCell ref="B338:F338"/>
    <mergeCell ref="M338:Q338"/>
    <mergeCell ref="B333:I333"/>
    <mergeCell ref="M333:T333"/>
    <mergeCell ref="B334:F334"/>
    <mergeCell ref="M334:Q334"/>
    <mergeCell ref="B335:F335"/>
    <mergeCell ref="M335:Q335"/>
    <mergeCell ref="U329:W330"/>
    <mergeCell ref="B330:F330"/>
    <mergeCell ref="M330:Q330"/>
    <mergeCell ref="B331:F331"/>
    <mergeCell ref="J331:L332"/>
    <mergeCell ref="M331:Q331"/>
    <mergeCell ref="U331:W332"/>
    <mergeCell ref="B332:F332"/>
    <mergeCell ref="M332:Q332"/>
    <mergeCell ref="B326:F326"/>
    <mergeCell ref="M326:Q326"/>
    <mergeCell ref="B327:F327"/>
    <mergeCell ref="M327:Q327"/>
    <mergeCell ref="B329:F329"/>
    <mergeCell ref="J329:L330"/>
    <mergeCell ref="M329:Q329"/>
    <mergeCell ref="B322:F322"/>
    <mergeCell ref="M322:Q322"/>
    <mergeCell ref="B323:F323"/>
    <mergeCell ref="M323:Q323"/>
    <mergeCell ref="B324:F324"/>
    <mergeCell ref="M324:Q324"/>
    <mergeCell ref="B319:I319"/>
    <mergeCell ref="M319:T319"/>
    <mergeCell ref="B320:F320"/>
    <mergeCell ref="M320:Q320"/>
    <mergeCell ref="B321:F321"/>
    <mergeCell ref="M321:Q321"/>
    <mergeCell ref="J315:L316"/>
    <mergeCell ref="U315:W316"/>
    <mergeCell ref="B317:F317"/>
    <mergeCell ref="J317:L318"/>
    <mergeCell ref="M317:Q317"/>
    <mergeCell ref="U317:W318"/>
    <mergeCell ref="B318:F318"/>
    <mergeCell ref="M318:Q318"/>
    <mergeCell ref="B312:F312"/>
    <mergeCell ref="M312:Q312"/>
    <mergeCell ref="B313:F313"/>
    <mergeCell ref="M313:Q313"/>
    <mergeCell ref="B314:F314"/>
    <mergeCell ref="M314:Q314"/>
    <mergeCell ref="B308:F308"/>
    <mergeCell ref="M308:Q308"/>
    <mergeCell ref="B310:F310"/>
    <mergeCell ref="M310:Q310"/>
    <mergeCell ref="B311:F311"/>
    <mergeCell ref="M311:Q311"/>
    <mergeCell ref="B309:F309"/>
    <mergeCell ref="B305:F305"/>
    <mergeCell ref="M305:Q305"/>
    <mergeCell ref="B306:F306"/>
    <mergeCell ref="M306:Q306"/>
    <mergeCell ref="B307:F307"/>
    <mergeCell ref="M307:Q307"/>
    <mergeCell ref="B302:F302"/>
    <mergeCell ref="J302:L303"/>
    <mergeCell ref="M302:Q302"/>
    <mergeCell ref="U302:W303"/>
    <mergeCell ref="B304:I304"/>
    <mergeCell ref="M304:T304"/>
    <mergeCell ref="B296:F296"/>
    <mergeCell ref="M296:Q296"/>
    <mergeCell ref="B300:F300"/>
    <mergeCell ref="J300:L301"/>
    <mergeCell ref="M300:Q300"/>
    <mergeCell ref="U300:W301"/>
    <mergeCell ref="B301:F301"/>
    <mergeCell ref="M301:Q301"/>
    <mergeCell ref="B293:F293"/>
    <mergeCell ref="M293:Q293"/>
    <mergeCell ref="B294:F294"/>
    <mergeCell ref="M294:Q294"/>
    <mergeCell ref="B295:F295"/>
    <mergeCell ref="M295:Q295"/>
    <mergeCell ref="B290:I290"/>
    <mergeCell ref="M290:T290"/>
    <mergeCell ref="B291:F291"/>
    <mergeCell ref="M291:Q291"/>
    <mergeCell ref="B292:F292"/>
    <mergeCell ref="M292:Q292"/>
    <mergeCell ref="U286:W287"/>
    <mergeCell ref="B287:F287"/>
    <mergeCell ref="M287:Q287"/>
    <mergeCell ref="B288:F288"/>
    <mergeCell ref="J288:L289"/>
    <mergeCell ref="M288:Q288"/>
    <mergeCell ref="U288:W289"/>
    <mergeCell ref="B289:F289"/>
    <mergeCell ref="M289:Q289"/>
    <mergeCell ref="B284:F284"/>
    <mergeCell ref="M284:Q284"/>
    <mergeCell ref="B285:F285"/>
    <mergeCell ref="M285:Q285"/>
    <mergeCell ref="B286:F286"/>
    <mergeCell ref="J286:L287"/>
    <mergeCell ref="M286:Q286"/>
    <mergeCell ref="B281:F281"/>
    <mergeCell ref="M281:Q281"/>
    <mergeCell ref="B282:F282"/>
    <mergeCell ref="M282:Q282"/>
    <mergeCell ref="B283:F283"/>
    <mergeCell ref="M283:Q283"/>
    <mergeCell ref="B278:F278"/>
    <mergeCell ref="M278:Q278"/>
    <mergeCell ref="B279:F279"/>
    <mergeCell ref="M279:Q279"/>
    <mergeCell ref="B280:F280"/>
    <mergeCell ref="M280:Q280"/>
    <mergeCell ref="B275:F275"/>
    <mergeCell ref="M275:Q275"/>
    <mergeCell ref="B276:F276"/>
    <mergeCell ref="M276:Q276"/>
    <mergeCell ref="B277:F277"/>
    <mergeCell ref="M277:Q277"/>
    <mergeCell ref="B272:E272"/>
    <mergeCell ref="M272:P272"/>
    <mergeCell ref="B273:E273"/>
    <mergeCell ref="M273:P273"/>
    <mergeCell ref="B274:E274"/>
    <mergeCell ref="M274:P274"/>
    <mergeCell ref="B268:I268"/>
    <mergeCell ref="M268:T268"/>
    <mergeCell ref="B269:F269"/>
    <mergeCell ref="M269:Q269"/>
    <mergeCell ref="B270:E270"/>
    <mergeCell ref="M270:P270"/>
    <mergeCell ref="B261:I263"/>
    <mergeCell ref="J261:L263"/>
    <mergeCell ref="M261:T263"/>
    <mergeCell ref="U261:W263"/>
    <mergeCell ref="B265:I267"/>
    <mergeCell ref="M265:T267"/>
    <mergeCell ref="U257:W258"/>
    <mergeCell ref="B258:F258"/>
    <mergeCell ref="M258:Q258"/>
    <mergeCell ref="B259:F259"/>
    <mergeCell ref="J259:L260"/>
    <mergeCell ref="M259:Q259"/>
    <mergeCell ref="U259:W260"/>
    <mergeCell ref="B260:F260"/>
    <mergeCell ref="M260:Q260"/>
    <mergeCell ref="B255:I255"/>
    <mergeCell ref="M255:T255"/>
    <mergeCell ref="B256:F256"/>
    <mergeCell ref="M256:Q256"/>
    <mergeCell ref="B257:F257"/>
    <mergeCell ref="J257:L258"/>
    <mergeCell ref="M257:Q257"/>
    <mergeCell ref="B253:F253"/>
    <mergeCell ref="J253:L254"/>
    <mergeCell ref="M253:Q253"/>
    <mergeCell ref="U253:W254"/>
    <mergeCell ref="B254:F254"/>
    <mergeCell ref="M254:Q254"/>
    <mergeCell ref="B250:F250"/>
    <mergeCell ref="M250:Q250"/>
    <mergeCell ref="B251:F251"/>
    <mergeCell ref="J251:L252"/>
    <mergeCell ref="M251:Q251"/>
    <mergeCell ref="U251:W252"/>
    <mergeCell ref="B252:F252"/>
    <mergeCell ref="M252:Q252"/>
    <mergeCell ref="B247:F247"/>
    <mergeCell ref="M247:Q247"/>
    <mergeCell ref="B248:F248"/>
    <mergeCell ref="M248:Q248"/>
    <mergeCell ref="B249:F249"/>
    <mergeCell ref="M249:Q249"/>
    <mergeCell ref="B244:F244"/>
    <mergeCell ref="M244:Q244"/>
    <mergeCell ref="B245:F245"/>
    <mergeCell ref="M245:Q245"/>
    <mergeCell ref="B246:F246"/>
    <mergeCell ref="M246:Q246"/>
    <mergeCell ref="B241:I241"/>
    <mergeCell ref="M241:T241"/>
    <mergeCell ref="B242:F242"/>
    <mergeCell ref="M242:Q242"/>
    <mergeCell ref="B243:F243"/>
    <mergeCell ref="M243:Q243"/>
    <mergeCell ref="B239:F239"/>
    <mergeCell ref="J239:L240"/>
    <mergeCell ref="M239:Q239"/>
    <mergeCell ref="U239:W240"/>
    <mergeCell ref="B240:F240"/>
    <mergeCell ref="M240:Q240"/>
    <mergeCell ref="B237:F237"/>
    <mergeCell ref="J237:L238"/>
    <mergeCell ref="M237:Q237"/>
    <mergeCell ref="U237:W238"/>
    <mergeCell ref="B238:F238"/>
    <mergeCell ref="M238:Q238"/>
    <mergeCell ref="B228:F228"/>
    <mergeCell ref="M228:Q228"/>
    <mergeCell ref="B235:F235"/>
    <mergeCell ref="M235:Q235"/>
    <mergeCell ref="B236:F236"/>
    <mergeCell ref="M236:Q236"/>
    <mergeCell ref="B225:F225"/>
    <mergeCell ref="M225:Q225"/>
    <mergeCell ref="B226:F226"/>
    <mergeCell ref="M226:Q226"/>
    <mergeCell ref="B227:F227"/>
    <mergeCell ref="M227:Q227"/>
    <mergeCell ref="B222:I222"/>
    <mergeCell ref="M222:T222"/>
    <mergeCell ref="B223:F223"/>
    <mergeCell ref="M223:Q223"/>
    <mergeCell ref="B224:F224"/>
    <mergeCell ref="M224:Q224"/>
    <mergeCell ref="U218:W219"/>
    <mergeCell ref="B219:F219"/>
    <mergeCell ref="M219:Q219"/>
    <mergeCell ref="B220:F220"/>
    <mergeCell ref="J220:L221"/>
    <mergeCell ref="M220:Q220"/>
    <mergeCell ref="U220:W221"/>
    <mergeCell ref="B221:F221"/>
    <mergeCell ref="M221:Q221"/>
    <mergeCell ref="B215:F215"/>
    <mergeCell ref="M215:Q215"/>
    <mergeCell ref="B216:F216"/>
    <mergeCell ref="M216:Q216"/>
    <mergeCell ref="B218:F218"/>
    <mergeCell ref="J218:L219"/>
    <mergeCell ref="M218:Q218"/>
    <mergeCell ref="B211:F211"/>
    <mergeCell ref="M211:Q211"/>
    <mergeCell ref="B212:F212"/>
    <mergeCell ref="M212:Q212"/>
    <mergeCell ref="B213:F213"/>
    <mergeCell ref="M213:Q213"/>
    <mergeCell ref="B208:I208"/>
    <mergeCell ref="M208:T208"/>
    <mergeCell ref="B209:F209"/>
    <mergeCell ref="M209:Q209"/>
    <mergeCell ref="B210:F210"/>
    <mergeCell ref="M210:Q210"/>
    <mergeCell ref="J204:L205"/>
    <mergeCell ref="U204:W205"/>
    <mergeCell ref="B206:F206"/>
    <mergeCell ref="J206:L207"/>
    <mergeCell ref="M206:Q206"/>
    <mergeCell ref="U206:W207"/>
    <mergeCell ref="B207:F207"/>
    <mergeCell ref="M207:Q207"/>
    <mergeCell ref="B201:F201"/>
    <mergeCell ref="M201:Q201"/>
    <mergeCell ref="B202:F202"/>
    <mergeCell ref="M202:Q202"/>
    <mergeCell ref="B203:F203"/>
    <mergeCell ref="M203:Q203"/>
    <mergeCell ref="B198:F198"/>
    <mergeCell ref="M198:Q198"/>
    <mergeCell ref="B199:F199"/>
    <mergeCell ref="M199:Q199"/>
    <mergeCell ref="B200:F200"/>
    <mergeCell ref="M200:Q200"/>
    <mergeCell ref="B195:F195"/>
    <mergeCell ref="M195:Q195"/>
    <mergeCell ref="B196:F196"/>
    <mergeCell ref="M196:Q196"/>
    <mergeCell ref="B197:F197"/>
    <mergeCell ref="M197:Q197"/>
    <mergeCell ref="B192:F192"/>
    <mergeCell ref="J192:L193"/>
    <mergeCell ref="M192:Q192"/>
    <mergeCell ref="U192:W193"/>
    <mergeCell ref="B194:I194"/>
    <mergeCell ref="M194:T194"/>
    <mergeCell ref="B186:F186"/>
    <mergeCell ref="M186:Q186"/>
    <mergeCell ref="B190:F190"/>
    <mergeCell ref="J190:L191"/>
    <mergeCell ref="M190:Q190"/>
    <mergeCell ref="U190:W191"/>
    <mergeCell ref="B191:F191"/>
    <mergeCell ref="M191:Q191"/>
    <mergeCell ref="B183:F183"/>
    <mergeCell ref="M183:Q183"/>
    <mergeCell ref="B184:F184"/>
    <mergeCell ref="M184:Q184"/>
    <mergeCell ref="B185:F185"/>
    <mergeCell ref="M185:Q185"/>
    <mergeCell ref="B180:I180"/>
    <mergeCell ref="M180:T180"/>
    <mergeCell ref="B181:F181"/>
    <mergeCell ref="M181:Q181"/>
    <mergeCell ref="B182:F182"/>
    <mergeCell ref="M182:Q182"/>
    <mergeCell ref="U176:W177"/>
    <mergeCell ref="B177:F177"/>
    <mergeCell ref="M177:Q177"/>
    <mergeCell ref="B178:F178"/>
    <mergeCell ref="J178:L179"/>
    <mergeCell ref="M178:Q178"/>
    <mergeCell ref="U178:W179"/>
    <mergeCell ref="B179:F179"/>
    <mergeCell ref="M179:Q179"/>
    <mergeCell ref="B174:F174"/>
    <mergeCell ref="M174:Q174"/>
    <mergeCell ref="B175:F175"/>
    <mergeCell ref="M175:Q175"/>
    <mergeCell ref="B176:F176"/>
    <mergeCell ref="J176:L177"/>
    <mergeCell ref="M176:Q176"/>
    <mergeCell ref="B171:F171"/>
    <mergeCell ref="M171:Q171"/>
    <mergeCell ref="B172:F172"/>
    <mergeCell ref="M172:Q172"/>
    <mergeCell ref="B173:F173"/>
    <mergeCell ref="M173:Q173"/>
    <mergeCell ref="B168:F168"/>
    <mergeCell ref="M168:Q168"/>
    <mergeCell ref="B169:F169"/>
    <mergeCell ref="M169:Q169"/>
    <mergeCell ref="B170:F170"/>
    <mergeCell ref="M170:Q170"/>
    <mergeCell ref="B165:F165"/>
    <mergeCell ref="M165:Q165"/>
    <mergeCell ref="B166:F166"/>
    <mergeCell ref="M166:Q166"/>
    <mergeCell ref="B167:F167"/>
    <mergeCell ref="M167:Q167"/>
    <mergeCell ref="B162:E162"/>
    <mergeCell ref="M162:P162"/>
    <mergeCell ref="B163:E163"/>
    <mergeCell ref="M163:P163"/>
    <mergeCell ref="B164:E164"/>
    <mergeCell ref="M164:P164"/>
    <mergeCell ref="B158:I158"/>
    <mergeCell ref="M158:T158"/>
    <mergeCell ref="B159:F159"/>
    <mergeCell ref="M159:Q159"/>
    <mergeCell ref="B160:E160"/>
    <mergeCell ref="M160:P160"/>
    <mergeCell ref="B152:I154"/>
    <mergeCell ref="J152:L154"/>
    <mergeCell ref="M152:T154"/>
    <mergeCell ref="U152:W154"/>
    <mergeCell ref="B155:I157"/>
    <mergeCell ref="M155:T157"/>
    <mergeCell ref="U148:W149"/>
    <mergeCell ref="B149:F149"/>
    <mergeCell ref="M149:Q149"/>
    <mergeCell ref="B150:F150"/>
    <mergeCell ref="J150:L151"/>
    <mergeCell ref="M150:Q150"/>
    <mergeCell ref="U150:W151"/>
    <mergeCell ref="B151:F151"/>
    <mergeCell ref="M151:Q151"/>
    <mergeCell ref="B146:I146"/>
    <mergeCell ref="M146:T146"/>
    <mergeCell ref="B147:F147"/>
    <mergeCell ref="M147:Q147"/>
    <mergeCell ref="B148:F148"/>
    <mergeCell ref="J148:L149"/>
    <mergeCell ref="M148:Q148"/>
    <mergeCell ref="B144:F144"/>
    <mergeCell ref="J144:L145"/>
    <mergeCell ref="M144:Q144"/>
    <mergeCell ref="U144:W145"/>
    <mergeCell ref="B145:F145"/>
    <mergeCell ref="M145:Q145"/>
    <mergeCell ref="B141:F141"/>
    <mergeCell ref="M141:Q141"/>
    <mergeCell ref="B142:F142"/>
    <mergeCell ref="J142:L143"/>
    <mergeCell ref="M142:Q142"/>
    <mergeCell ref="U142:W143"/>
    <mergeCell ref="B143:F143"/>
    <mergeCell ref="M143:Q143"/>
    <mergeCell ref="B138:F138"/>
    <mergeCell ref="M138:Q138"/>
    <mergeCell ref="B139:F139"/>
    <mergeCell ref="M139:Q139"/>
    <mergeCell ref="B140:F140"/>
    <mergeCell ref="M140:Q140"/>
    <mergeCell ref="B135:F135"/>
    <mergeCell ref="M135:Q135"/>
    <mergeCell ref="B136:F136"/>
    <mergeCell ref="M136:Q136"/>
    <mergeCell ref="B137:F137"/>
    <mergeCell ref="M137:Q137"/>
    <mergeCell ref="B132:I132"/>
    <mergeCell ref="M132:T132"/>
    <mergeCell ref="B133:F133"/>
    <mergeCell ref="M133:Q133"/>
    <mergeCell ref="B134:F134"/>
    <mergeCell ref="M134:Q134"/>
    <mergeCell ref="B130:F130"/>
    <mergeCell ref="J130:L131"/>
    <mergeCell ref="M130:Q130"/>
    <mergeCell ref="U130:W131"/>
    <mergeCell ref="B131:F131"/>
    <mergeCell ref="M131:Q131"/>
    <mergeCell ref="B128:F128"/>
    <mergeCell ref="J128:L129"/>
    <mergeCell ref="M128:Q128"/>
    <mergeCell ref="U128:W129"/>
    <mergeCell ref="B129:F129"/>
    <mergeCell ref="M129:Q129"/>
    <mergeCell ref="B119:F119"/>
    <mergeCell ref="M119:Q119"/>
    <mergeCell ref="B126:F126"/>
    <mergeCell ref="M126:Q126"/>
    <mergeCell ref="B127:F127"/>
    <mergeCell ref="M127:Q127"/>
    <mergeCell ref="B116:F116"/>
    <mergeCell ref="M116:Q116"/>
    <mergeCell ref="B117:F117"/>
    <mergeCell ref="M117:Q117"/>
    <mergeCell ref="B118:F118"/>
    <mergeCell ref="M118:Q118"/>
    <mergeCell ref="B113:I113"/>
    <mergeCell ref="M113:T113"/>
    <mergeCell ref="B114:F114"/>
    <mergeCell ref="M114:Q114"/>
    <mergeCell ref="B115:F115"/>
    <mergeCell ref="M115:Q115"/>
    <mergeCell ref="U109:W110"/>
    <mergeCell ref="B110:F110"/>
    <mergeCell ref="M110:Q110"/>
    <mergeCell ref="B111:F111"/>
    <mergeCell ref="J111:L112"/>
    <mergeCell ref="M111:Q111"/>
    <mergeCell ref="U111:W112"/>
    <mergeCell ref="B112:F112"/>
    <mergeCell ref="M112:Q112"/>
    <mergeCell ref="B106:F106"/>
    <mergeCell ref="M106:Q106"/>
    <mergeCell ref="B107:F107"/>
    <mergeCell ref="M107:Q107"/>
    <mergeCell ref="B109:F109"/>
    <mergeCell ref="J109:L110"/>
    <mergeCell ref="M109:Q109"/>
    <mergeCell ref="B102:F102"/>
    <mergeCell ref="M102:Q102"/>
    <mergeCell ref="B103:F103"/>
    <mergeCell ref="M103:Q103"/>
    <mergeCell ref="B104:F104"/>
    <mergeCell ref="M104:Q104"/>
    <mergeCell ref="B99:I99"/>
    <mergeCell ref="M99:T99"/>
    <mergeCell ref="B100:F100"/>
    <mergeCell ref="M100:Q100"/>
    <mergeCell ref="B101:F101"/>
    <mergeCell ref="M101:Q101"/>
    <mergeCell ref="J95:L96"/>
    <mergeCell ref="U95:W96"/>
    <mergeCell ref="B97:F97"/>
    <mergeCell ref="J97:L98"/>
    <mergeCell ref="M97:Q97"/>
    <mergeCell ref="U97:W98"/>
    <mergeCell ref="B98:F98"/>
    <mergeCell ref="M98:Q98"/>
    <mergeCell ref="B92:F92"/>
    <mergeCell ref="M92:Q92"/>
    <mergeCell ref="B93:F93"/>
    <mergeCell ref="M93:Q93"/>
    <mergeCell ref="B94:F94"/>
    <mergeCell ref="M94:Q94"/>
    <mergeCell ref="B88:F88"/>
    <mergeCell ref="M88:Q88"/>
    <mergeCell ref="B90:F90"/>
    <mergeCell ref="M90:Q90"/>
    <mergeCell ref="B91:F91"/>
    <mergeCell ref="M91:Q91"/>
    <mergeCell ref="B85:F85"/>
    <mergeCell ref="M85:Q85"/>
    <mergeCell ref="B86:F86"/>
    <mergeCell ref="M86:Q86"/>
    <mergeCell ref="B87:F87"/>
    <mergeCell ref="M87:Q87"/>
    <mergeCell ref="B82:F82"/>
    <mergeCell ref="J82:L83"/>
    <mergeCell ref="M82:Q82"/>
    <mergeCell ref="U82:W83"/>
    <mergeCell ref="B84:I84"/>
    <mergeCell ref="M84:T84"/>
    <mergeCell ref="B76:F76"/>
    <mergeCell ref="M76:Q76"/>
    <mergeCell ref="B80:F80"/>
    <mergeCell ref="J80:L81"/>
    <mergeCell ref="M80:Q80"/>
    <mergeCell ref="U80:W81"/>
    <mergeCell ref="B81:F81"/>
    <mergeCell ref="M81:Q81"/>
    <mergeCell ref="B73:F73"/>
    <mergeCell ref="M73:Q73"/>
    <mergeCell ref="B74:F74"/>
    <mergeCell ref="M74:Q74"/>
    <mergeCell ref="B75:F75"/>
    <mergeCell ref="M75:Q75"/>
    <mergeCell ref="B70:I70"/>
    <mergeCell ref="M70:T70"/>
    <mergeCell ref="B71:F71"/>
    <mergeCell ref="M71:Q71"/>
    <mergeCell ref="B72:F72"/>
    <mergeCell ref="M72:Q72"/>
    <mergeCell ref="B68:F68"/>
    <mergeCell ref="J68:L69"/>
    <mergeCell ref="M68:Q68"/>
    <mergeCell ref="U68:W69"/>
    <mergeCell ref="B69:F69"/>
    <mergeCell ref="M69:Q69"/>
    <mergeCell ref="B65:F65"/>
    <mergeCell ref="M65:Q65"/>
    <mergeCell ref="B66:F66"/>
    <mergeCell ref="J66:L67"/>
    <mergeCell ref="M66:Q66"/>
    <mergeCell ref="U66:W67"/>
    <mergeCell ref="B67:F67"/>
    <mergeCell ref="M67:Q67"/>
    <mergeCell ref="B62:F62"/>
    <mergeCell ref="M62:Q62"/>
    <mergeCell ref="B63:F63"/>
    <mergeCell ref="M63:Q63"/>
    <mergeCell ref="B64:F64"/>
    <mergeCell ref="M64:Q64"/>
    <mergeCell ref="B59:F59"/>
    <mergeCell ref="M59:Q59"/>
    <mergeCell ref="B60:F60"/>
    <mergeCell ref="M60:Q60"/>
    <mergeCell ref="B61:F61"/>
    <mergeCell ref="M61:Q61"/>
    <mergeCell ref="B56:F56"/>
    <mergeCell ref="M56:Q56"/>
    <mergeCell ref="B57:F57"/>
    <mergeCell ref="M57:Q57"/>
    <mergeCell ref="B58:F58"/>
    <mergeCell ref="M58:Q58"/>
    <mergeCell ref="B53:E53"/>
    <mergeCell ref="M53:P53"/>
    <mergeCell ref="B54:E54"/>
    <mergeCell ref="M54:P54"/>
    <mergeCell ref="B55:F55"/>
    <mergeCell ref="M55:Q55"/>
    <mergeCell ref="B49:F49"/>
    <mergeCell ref="M49:Q49"/>
    <mergeCell ref="B50:E50"/>
    <mergeCell ref="M50:P50"/>
    <mergeCell ref="B52:E52"/>
    <mergeCell ref="M52:P52"/>
    <mergeCell ref="K40:Q40"/>
    <mergeCell ref="T40:Z40"/>
    <mergeCell ref="B45:I47"/>
    <mergeCell ref="M45:T47"/>
    <mergeCell ref="B48:I48"/>
    <mergeCell ref="M48:T48"/>
    <mergeCell ref="K37:Q37"/>
    <mergeCell ref="T37:Z37"/>
    <mergeCell ref="K38:Q38"/>
    <mergeCell ref="T38:Z38"/>
    <mergeCell ref="K39:Q39"/>
    <mergeCell ref="T39:Z39"/>
    <mergeCell ref="B34:H34"/>
    <mergeCell ref="K34:Q34"/>
    <mergeCell ref="T34:Z34"/>
    <mergeCell ref="B35:I36"/>
    <mergeCell ref="K35:Q35"/>
    <mergeCell ref="T35:Z35"/>
    <mergeCell ref="K36:Q36"/>
    <mergeCell ref="T36:Z36"/>
    <mergeCell ref="B32:H32"/>
    <mergeCell ref="K32:Q32"/>
    <mergeCell ref="T32:Z32"/>
    <mergeCell ref="B33:H33"/>
    <mergeCell ref="K33:Q33"/>
    <mergeCell ref="T33:Z33"/>
    <mergeCell ref="B30:H30"/>
    <mergeCell ref="K30:Q30"/>
    <mergeCell ref="T30:Z30"/>
    <mergeCell ref="B31:H31"/>
    <mergeCell ref="K31:Q31"/>
    <mergeCell ref="T31:Z31"/>
    <mergeCell ref="B28:H28"/>
    <mergeCell ref="K28:Q28"/>
    <mergeCell ref="T28:Z28"/>
    <mergeCell ref="B29:H29"/>
    <mergeCell ref="K29:Q29"/>
    <mergeCell ref="T29:Z29"/>
    <mergeCell ref="B26:H26"/>
    <mergeCell ref="K26:Q26"/>
    <mergeCell ref="T26:Z26"/>
    <mergeCell ref="B27:H27"/>
    <mergeCell ref="K27:Q27"/>
    <mergeCell ref="T27:Z27"/>
    <mergeCell ref="B24:H24"/>
    <mergeCell ref="K24:Q24"/>
    <mergeCell ref="T24:Z24"/>
    <mergeCell ref="B25:H25"/>
    <mergeCell ref="K25:Q25"/>
    <mergeCell ref="T25:Z25"/>
    <mergeCell ref="B21:H21"/>
    <mergeCell ref="K21:Q21"/>
    <mergeCell ref="T21:Z21"/>
    <mergeCell ref="B22:H22"/>
    <mergeCell ref="K22:R23"/>
    <mergeCell ref="T22:AA23"/>
    <mergeCell ref="B23:H23"/>
    <mergeCell ref="B19:H19"/>
    <mergeCell ref="K19:Q19"/>
    <mergeCell ref="T19:Z19"/>
    <mergeCell ref="B20:H20"/>
    <mergeCell ref="K20:Q20"/>
    <mergeCell ref="T20:Z20"/>
    <mergeCell ref="B17:H17"/>
    <mergeCell ref="K17:Q17"/>
    <mergeCell ref="T17:Z17"/>
    <mergeCell ref="B18:H18"/>
    <mergeCell ref="K18:Q18"/>
    <mergeCell ref="T18:Z18"/>
    <mergeCell ref="B15:H15"/>
    <mergeCell ref="K15:Q15"/>
    <mergeCell ref="T15:Z15"/>
    <mergeCell ref="B16:H16"/>
    <mergeCell ref="K16:Q16"/>
    <mergeCell ref="T16:Z16"/>
    <mergeCell ref="B13:H13"/>
    <mergeCell ref="K13:Q13"/>
    <mergeCell ref="T13:Z13"/>
    <mergeCell ref="B14:H14"/>
    <mergeCell ref="K14:Q14"/>
    <mergeCell ref="T14:Z14"/>
    <mergeCell ref="B11:H11"/>
    <mergeCell ref="K11:Q11"/>
    <mergeCell ref="T11:Z11"/>
    <mergeCell ref="B12:H12"/>
    <mergeCell ref="K12:Q12"/>
    <mergeCell ref="T12:Z12"/>
    <mergeCell ref="B9:H9"/>
    <mergeCell ref="K9:Q9"/>
    <mergeCell ref="T9:Z9"/>
    <mergeCell ref="B10:H10"/>
    <mergeCell ref="K10:Q10"/>
    <mergeCell ref="T10:Z10"/>
    <mergeCell ref="B8:H8"/>
    <mergeCell ref="K8:Q8"/>
    <mergeCell ref="T8:Z8"/>
    <mergeCell ref="B5:H5"/>
    <mergeCell ref="K5:Q5"/>
    <mergeCell ref="T5:Z5"/>
    <mergeCell ref="B6:H6"/>
    <mergeCell ref="K6:Q6"/>
    <mergeCell ref="T6:Z6"/>
    <mergeCell ref="B2:I3"/>
    <mergeCell ref="K2:R3"/>
    <mergeCell ref="T2:AA3"/>
    <mergeCell ref="B4:H4"/>
    <mergeCell ref="K4:Q4"/>
    <mergeCell ref="T4:Z4"/>
    <mergeCell ref="B7:H7"/>
    <mergeCell ref="K7:Q7"/>
    <mergeCell ref="T7:Z7"/>
  </mergeCells>
  <phoneticPr fontId="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C599-D5F9-480C-A9F7-CDCEF7AF9026}">
  <sheetPr>
    <tabColor rgb="FFA2662A"/>
  </sheetPr>
  <dimension ref="B1:AA481"/>
  <sheetViews>
    <sheetView topLeftCell="A471" zoomScale="85" zoomScaleNormal="85" workbookViewId="0">
      <selection activeCell="L43" sqref="L43"/>
    </sheetView>
  </sheetViews>
  <sheetFormatPr baseColWidth="10" defaultColWidth="11.44140625" defaultRowHeight="13.8"/>
  <cols>
    <col min="1" max="1" width="3.109375" style="93" customWidth="1"/>
    <col min="2" max="16384" width="11.44140625" style="93"/>
  </cols>
  <sheetData>
    <row r="1" spans="2:27" ht="14.4" thickBot="1"/>
    <row r="2" spans="2:27">
      <c r="B2" s="421" t="s">
        <v>24</v>
      </c>
      <c r="C2" s="422"/>
      <c r="D2" s="422"/>
      <c r="E2" s="422"/>
      <c r="F2" s="422"/>
      <c r="G2" s="422"/>
      <c r="H2" s="422"/>
      <c r="I2" s="423"/>
      <c r="K2" s="427" t="s">
        <v>25</v>
      </c>
      <c r="L2" s="428"/>
      <c r="M2" s="428"/>
      <c r="N2" s="428"/>
      <c r="O2" s="428"/>
      <c r="P2" s="428"/>
      <c r="Q2" s="428"/>
      <c r="R2" s="429"/>
      <c r="T2" s="433" t="s">
        <v>27</v>
      </c>
      <c r="U2" s="434"/>
      <c r="V2" s="434"/>
      <c r="W2" s="434"/>
      <c r="X2" s="434"/>
      <c r="Y2" s="434"/>
      <c r="Z2" s="434"/>
      <c r="AA2" s="435"/>
    </row>
    <row r="3" spans="2:27" ht="14.4" thickBot="1">
      <c r="B3" s="424"/>
      <c r="C3" s="425"/>
      <c r="D3" s="425"/>
      <c r="E3" s="425"/>
      <c r="F3" s="425"/>
      <c r="G3" s="425"/>
      <c r="H3" s="425"/>
      <c r="I3" s="426"/>
      <c r="K3" s="430"/>
      <c r="L3" s="431"/>
      <c r="M3" s="431"/>
      <c r="N3" s="431"/>
      <c r="O3" s="431"/>
      <c r="P3" s="431"/>
      <c r="Q3" s="431"/>
      <c r="R3" s="432"/>
      <c r="T3" s="436"/>
      <c r="U3" s="437"/>
      <c r="V3" s="437"/>
      <c r="W3" s="437"/>
      <c r="X3" s="437"/>
      <c r="Y3" s="437"/>
      <c r="Z3" s="437"/>
      <c r="AA3" s="438"/>
    </row>
    <row r="4" spans="2:27">
      <c r="B4" s="439" t="s">
        <v>13</v>
      </c>
      <c r="C4" s="440"/>
      <c r="D4" s="440"/>
      <c r="E4" s="440"/>
      <c r="F4" s="440"/>
      <c r="G4" s="440"/>
      <c r="H4" s="440"/>
      <c r="I4" s="94">
        <v>160000</v>
      </c>
      <c r="K4" s="439" t="s">
        <v>31</v>
      </c>
      <c r="L4" s="440"/>
      <c r="M4" s="440"/>
      <c r="N4" s="440"/>
      <c r="O4" s="440"/>
      <c r="P4" s="440"/>
      <c r="Q4" s="440"/>
      <c r="R4" s="95">
        <v>300000</v>
      </c>
      <c r="T4" s="441" t="s">
        <v>29</v>
      </c>
      <c r="U4" s="442"/>
      <c r="V4" s="442"/>
      <c r="W4" s="442"/>
      <c r="X4" s="442"/>
      <c r="Y4" s="442"/>
      <c r="Z4" s="442"/>
      <c r="AA4" s="95">
        <v>580000</v>
      </c>
    </row>
    <row r="5" spans="2:27">
      <c r="B5" s="443" t="s">
        <v>261</v>
      </c>
      <c r="C5" s="444"/>
      <c r="D5" s="444"/>
      <c r="E5" s="444"/>
      <c r="F5" s="444"/>
      <c r="G5" s="444"/>
      <c r="H5" s="444"/>
      <c r="I5" s="95">
        <v>165000</v>
      </c>
      <c r="K5" s="443" t="s">
        <v>32</v>
      </c>
      <c r="L5" s="444"/>
      <c r="M5" s="444"/>
      <c r="N5" s="444"/>
      <c r="O5" s="444"/>
      <c r="P5" s="444"/>
      <c r="Q5" s="444"/>
      <c r="R5" s="95">
        <v>65000</v>
      </c>
      <c r="T5" s="445" t="s">
        <v>65</v>
      </c>
      <c r="U5" s="446"/>
      <c r="V5" s="446"/>
      <c r="W5" s="446"/>
      <c r="X5" s="446"/>
      <c r="Y5" s="446"/>
      <c r="Z5" s="446"/>
      <c r="AA5" s="95">
        <v>1100000</v>
      </c>
    </row>
    <row r="6" spans="2:27">
      <c r="B6" s="443" t="s">
        <v>14</v>
      </c>
      <c r="C6" s="444"/>
      <c r="D6" s="444"/>
      <c r="E6" s="444"/>
      <c r="F6" s="444"/>
      <c r="G6" s="444"/>
      <c r="H6" s="444"/>
      <c r="I6" s="95">
        <v>140000</v>
      </c>
      <c r="K6" s="443" t="s">
        <v>11</v>
      </c>
      <c r="L6" s="444"/>
      <c r="M6" s="444"/>
      <c r="N6" s="444"/>
      <c r="O6" s="444"/>
      <c r="P6" s="444"/>
      <c r="Q6" s="444"/>
      <c r="R6" s="95">
        <v>250000</v>
      </c>
      <c r="T6" s="445" t="s">
        <v>30</v>
      </c>
      <c r="U6" s="446"/>
      <c r="V6" s="446"/>
      <c r="W6" s="446"/>
      <c r="X6" s="446"/>
      <c r="Y6" s="446"/>
      <c r="Z6" s="446"/>
      <c r="AA6" s="95">
        <v>700000</v>
      </c>
    </row>
    <row r="7" spans="2:27">
      <c r="B7" s="443" t="s">
        <v>23</v>
      </c>
      <c r="C7" s="444"/>
      <c r="D7" s="444"/>
      <c r="E7" s="444"/>
      <c r="F7" s="444"/>
      <c r="G7" s="444"/>
      <c r="H7" s="444"/>
      <c r="I7" s="95">
        <v>150000</v>
      </c>
      <c r="K7" s="443" t="s">
        <v>327</v>
      </c>
      <c r="L7" s="444"/>
      <c r="M7" s="444"/>
      <c r="N7" s="444"/>
      <c r="O7" s="444"/>
      <c r="P7" s="444"/>
      <c r="Q7" s="444"/>
      <c r="R7" s="95">
        <v>30000</v>
      </c>
      <c r="T7" s="445" t="s">
        <v>62</v>
      </c>
      <c r="U7" s="446"/>
      <c r="V7" s="446"/>
      <c r="W7" s="446"/>
      <c r="X7" s="446"/>
      <c r="Y7" s="446"/>
      <c r="Z7" s="446"/>
      <c r="AA7" s="95">
        <v>590000</v>
      </c>
    </row>
    <row r="8" spans="2:27">
      <c r="B8" s="443" t="s">
        <v>18</v>
      </c>
      <c r="C8" s="444"/>
      <c r="D8" s="444"/>
      <c r="E8" s="444"/>
      <c r="F8" s="444"/>
      <c r="G8" s="444"/>
      <c r="H8" s="444"/>
      <c r="I8" s="95">
        <v>12800</v>
      </c>
      <c r="K8" s="443" t="s">
        <v>100</v>
      </c>
      <c r="L8" s="444"/>
      <c r="M8" s="444"/>
      <c r="N8" s="444"/>
      <c r="O8" s="444"/>
      <c r="P8" s="444"/>
      <c r="Q8" s="444"/>
      <c r="R8" s="95">
        <v>30000</v>
      </c>
      <c r="T8" s="445" t="s">
        <v>63</v>
      </c>
      <c r="U8" s="446"/>
      <c r="V8" s="446"/>
      <c r="W8" s="446"/>
      <c r="X8" s="446"/>
      <c r="Y8" s="446"/>
      <c r="Z8" s="446"/>
      <c r="AA8" s="95">
        <v>520000</v>
      </c>
    </row>
    <row r="9" spans="2:27">
      <c r="B9" s="443" t="s">
        <v>19</v>
      </c>
      <c r="C9" s="444"/>
      <c r="D9" s="444"/>
      <c r="E9" s="444"/>
      <c r="F9" s="444"/>
      <c r="G9" s="444"/>
      <c r="H9" s="444"/>
      <c r="I9" s="95">
        <v>11100</v>
      </c>
      <c r="K9" s="443" t="s">
        <v>328</v>
      </c>
      <c r="L9" s="444"/>
      <c r="M9" s="444"/>
      <c r="N9" s="444"/>
      <c r="O9" s="444"/>
      <c r="P9" s="444"/>
      <c r="Q9" s="444"/>
      <c r="R9" s="95">
        <v>50000</v>
      </c>
      <c r="T9" s="445" t="s">
        <v>64</v>
      </c>
      <c r="U9" s="446"/>
      <c r="V9" s="446"/>
      <c r="W9" s="446"/>
      <c r="X9" s="446"/>
      <c r="Y9" s="446"/>
      <c r="Z9" s="446"/>
      <c r="AA9" s="95">
        <v>480000</v>
      </c>
    </row>
    <row r="10" spans="2:27">
      <c r="B10" s="443" t="s">
        <v>259</v>
      </c>
      <c r="C10" s="444"/>
      <c r="D10" s="444"/>
      <c r="E10" s="444"/>
      <c r="F10" s="444"/>
      <c r="G10" s="444"/>
      <c r="H10" s="444"/>
      <c r="I10" s="95">
        <v>58</v>
      </c>
      <c r="K10" s="443" t="s">
        <v>325</v>
      </c>
      <c r="L10" s="444"/>
      <c r="M10" s="444"/>
      <c r="N10" s="444"/>
      <c r="O10" s="444"/>
      <c r="P10" s="444"/>
      <c r="Q10" s="444"/>
      <c r="R10" s="95">
        <v>15000</v>
      </c>
      <c r="T10" s="443" t="s">
        <v>66</v>
      </c>
      <c r="U10" s="444"/>
      <c r="V10" s="444"/>
      <c r="W10" s="444"/>
      <c r="X10" s="444"/>
      <c r="Y10" s="444"/>
      <c r="Z10" s="444"/>
      <c r="AA10" s="95">
        <v>360000</v>
      </c>
    </row>
    <row r="11" spans="2:27">
      <c r="B11" s="443" t="s">
        <v>260</v>
      </c>
      <c r="C11" s="444"/>
      <c r="D11" s="444"/>
      <c r="E11" s="444"/>
      <c r="F11" s="444"/>
      <c r="G11" s="444"/>
      <c r="H11" s="444"/>
      <c r="I11" s="95">
        <v>35</v>
      </c>
      <c r="K11" s="443" t="s">
        <v>326</v>
      </c>
      <c r="L11" s="444"/>
      <c r="M11" s="444"/>
      <c r="N11" s="444"/>
      <c r="O11" s="444"/>
      <c r="P11" s="444"/>
      <c r="Q11" s="444"/>
      <c r="R11" s="95">
        <v>15000</v>
      </c>
      <c r="T11" s="443" t="s">
        <v>33</v>
      </c>
      <c r="U11" s="444"/>
      <c r="V11" s="444"/>
      <c r="W11" s="444"/>
      <c r="X11" s="444"/>
      <c r="Y11" s="444"/>
      <c r="Z11" s="444"/>
      <c r="AA11" s="95"/>
    </row>
    <row r="12" spans="2:27">
      <c r="B12" s="443" t="s">
        <v>218</v>
      </c>
      <c r="C12" s="444"/>
      <c r="D12" s="444"/>
      <c r="E12" s="444"/>
      <c r="F12" s="444"/>
      <c r="G12" s="444"/>
      <c r="H12" s="444"/>
      <c r="I12" s="95">
        <v>1250</v>
      </c>
      <c r="K12" s="443" t="s">
        <v>276</v>
      </c>
      <c r="L12" s="444"/>
      <c r="M12" s="444"/>
      <c r="N12" s="444"/>
      <c r="O12" s="444"/>
      <c r="P12" s="444"/>
      <c r="Q12" s="444"/>
      <c r="R12" s="95">
        <v>75000</v>
      </c>
      <c r="T12" s="443" t="s">
        <v>34</v>
      </c>
      <c r="U12" s="444"/>
      <c r="V12" s="444"/>
      <c r="W12" s="444"/>
      <c r="X12" s="444"/>
      <c r="Y12" s="444"/>
      <c r="Z12" s="444"/>
      <c r="AA12" s="95"/>
    </row>
    <row r="13" spans="2:27">
      <c r="B13" s="443" t="s">
        <v>219</v>
      </c>
      <c r="C13" s="444"/>
      <c r="D13" s="444"/>
      <c r="E13" s="444"/>
      <c r="F13" s="444"/>
      <c r="G13" s="444"/>
      <c r="H13" s="444"/>
      <c r="I13" s="95">
        <v>1250</v>
      </c>
      <c r="K13" s="443" t="s">
        <v>277</v>
      </c>
      <c r="L13" s="444"/>
      <c r="M13" s="444"/>
      <c r="N13" s="444"/>
      <c r="O13" s="444"/>
      <c r="P13" s="444"/>
      <c r="Q13" s="444"/>
      <c r="R13" s="95">
        <v>75000</v>
      </c>
      <c r="T13" s="443" t="s">
        <v>35</v>
      </c>
      <c r="U13" s="444"/>
      <c r="V13" s="444"/>
      <c r="W13" s="444"/>
      <c r="X13" s="444"/>
      <c r="Y13" s="444"/>
      <c r="Z13" s="444"/>
      <c r="AA13" s="95"/>
    </row>
    <row r="14" spans="2:27">
      <c r="B14" s="443" t="s">
        <v>220</v>
      </c>
      <c r="C14" s="444"/>
      <c r="D14" s="444"/>
      <c r="E14" s="444"/>
      <c r="F14" s="444"/>
      <c r="G14" s="444"/>
      <c r="H14" s="444"/>
      <c r="I14" s="95">
        <v>750</v>
      </c>
      <c r="K14" s="443" t="s">
        <v>6</v>
      </c>
      <c r="L14" s="444"/>
      <c r="M14" s="444"/>
      <c r="N14" s="444"/>
      <c r="O14" s="444"/>
      <c r="P14" s="444"/>
      <c r="Q14" s="444"/>
      <c r="R14" s="95">
        <v>30000</v>
      </c>
      <c r="T14" s="443" t="s">
        <v>36</v>
      </c>
      <c r="U14" s="444"/>
      <c r="V14" s="444"/>
      <c r="W14" s="444"/>
      <c r="X14" s="444"/>
      <c r="Y14" s="444"/>
      <c r="Z14" s="444"/>
      <c r="AA14" s="95"/>
    </row>
    <row r="15" spans="2:27">
      <c r="B15" s="443" t="s">
        <v>268</v>
      </c>
      <c r="C15" s="444"/>
      <c r="D15" s="444"/>
      <c r="E15" s="444"/>
      <c r="F15" s="444"/>
      <c r="G15" s="444"/>
      <c r="H15" s="444"/>
      <c r="I15" s="95">
        <v>175</v>
      </c>
      <c r="K15" s="443" t="s">
        <v>12</v>
      </c>
      <c r="L15" s="444"/>
      <c r="M15" s="444"/>
      <c r="N15" s="444"/>
      <c r="O15" s="444"/>
      <c r="P15" s="444"/>
      <c r="Q15" s="444"/>
      <c r="R15" s="95">
        <v>12000</v>
      </c>
      <c r="T15" s="445" t="s">
        <v>76</v>
      </c>
      <c r="U15" s="446"/>
      <c r="V15" s="446"/>
      <c r="W15" s="446"/>
      <c r="X15" s="446"/>
      <c r="Y15" s="446"/>
      <c r="Z15" s="446"/>
      <c r="AA15" s="95"/>
    </row>
    <row r="16" spans="2:27">
      <c r="B16" s="443" t="s">
        <v>221</v>
      </c>
      <c r="C16" s="444"/>
      <c r="D16" s="444"/>
      <c r="E16" s="444"/>
      <c r="F16" s="444"/>
      <c r="G16" s="444"/>
      <c r="H16" s="444"/>
      <c r="I16" s="95">
        <v>175</v>
      </c>
      <c r="K16" s="443"/>
      <c r="L16" s="444"/>
      <c r="M16" s="444"/>
      <c r="N16" s="444"/>
      <c r="O16" s="444"/>
      <c r="P16" s="444"/>
      <c r="Q16" s="444"/>
      <c r="R16" s="95"/>
      <c r="T16" s="445" t="s">
        <v>37</v>
      </c>
      <c r="U16" s="446"/>
      <c r="V16" s="446"/>
      <c r="W16" s="446"/>
      <c r="X16" s="446"/>
      <c r="Y16" s="446"/>
      <c r="Z16" s="446"/>
      <c r="AA16" s="95"/>
    </row>
    <row r="17" spans="2:27">
      <c r="B17" s="443" t="s">
        <v>222</v>
      </c>
      <c r="C17" s="444"/>
      <c r="D17" s="444"/>
      <c r="E17" s="444"/>
      <c r="F17" s="444"/>
      <c r="G17" s="444"/>
      <c r="H17" s="444"/>
      <c r="I17" s="95">
        <v>90000</v>
      </c>
      <c r="K17" s="443"/>
      <c r="L17" s="444"/>
      <c r="M17" s="444"/>
      <c r="N17" s="444"/>
      <c r="O17" s="444"/>
      <c r="P17" s="444"/>
      <c r="Q17" s="444"/>
      <c r="R17" s="95"/>
      <c r="T17" s="445" t="s">
        <v>38</v>
      </c>
      <c r="U17" s="446"/>
      <c r="V17" s="446"/>
      <c r="W17" s="446"/>
      <c r="X17" s="446"/>
      <c r="Y17" s="446"/>
      <c r="Z17" s="446"/>
      <c r="AA17" s="95"/>
    </row>
    <row r="18" spans="2:27">
      <c r="B18" s="443" t="s">
        <v>10</v>
      </c>
      <c r="C18" s="444"/>
      <c r="D18" s="444"/>
      <c r="E18" s="444"/>
      <c r="F18" s="444"/>
      <c r="G18" s="444"/>
      <c r="H18" s="444"/>
      <c r="I18" s="95">
        <v>21000</v>
      </c>
      <c r="K18" s="443"/>
      <c r="L18" s="444"/>
      <c r="M18" s="444"/>
      <c r="N18" s="444"/>
      <c r="O18" s="444"/>
      <c r="P18" s="444"/>
      <c r="Q18" s="444"/>
      <c r="R18" s="95"/>
      <c r="T18" s="445" t="s">
        <v>39</v>
      </c>
      <c r="U18" s="446"/>
      <c r="V18" s="446"/>
      <c r="W18" s="446"/>
      <c r="X18" s="446"/>
      <c r="Y18" s="446"/>
      <c r="Z18" s="446"/>
      <c r="AA18" s="95"/>
    </row>
    <row r="19" spans="2:27">
      <c r="B19" s="443" t="s">
        <v>269</v>
      </c>
      <c r="C19" s="444"/>
      <c r="D19" s="444"/>
      <c r="E19" s="444"/>
      <c r="F19" s="444"/>
      <c r="G19" s="444"/>
      <c r="H19" s="444"/>
      <c r="I19" s="95">
        <v>40000</v>
      </c>
      <c r="K19" s="443"/>
      <c r="L19" s="444"/>
      <c r="M19" s="444"/>
      <c r="N19" s="444"/>
      <c r="O19" s="444"/>
      <c r="P19" s="444"/>
      <c r="Q19" s="444"/>
      <c r="R19" s="95"/>
      <c r="T19" s="443" t="s">
        <v>40</v>
      </c>
      <c r="U19" s="444"/>
      <c r="V19" s="444"/>
      <c r="W19" s="444"/>
      <c r="X19" s="444"/>
      <c r="Y19" s="444"/>
      <c r="Z19" s="444"/>
      <c r="AA19" s="95"/>
    </row>
    <row r="20" spans="2:27">
      <c r="B20" s="443" t="s">
        <v>270</v>
      </c>
      <c r="C20" s="444"/>
      <c r="D20" s="444"/>
      <c r="E20" s="444"/>
      <c r="F20" s="444"/>
      <c r="G20" s="444"/>
      <c r="H20" s="444"/>
      <c r="I20" s="95">
        <v>13000</v>
      </c>
      <c r="K20" s="443"/>
      <c r="L20" s="444"/>
      <c r="M20" s="444"/>
      <c r="N20" s="444"/>
      <c r="O20" s="444"/>
      <c r="P20" s="444"/>
      <c r="Q20" s="444"/>
      <c r="R20" s="95"/>
      <c r="T20" s="443"/>
      <c r="U20" s="444"/>
      <c r="V20" s="444"/>
      <c r="W20" s="444"/>
      <c r="X20" s="444"/>
      <c r="Y20" s="444"/>
      <c r="Z20" s="444"/>
      <c r="AA20" s="95"/>
    </row>
    <row r="21" spans="2:27" ht="14.4" thickBot="1">
      <c r="B21" s="443"/>
      <c r="C21" s="444"/>
      <c r="D21" s="444"/>
      <c r="E21" s="444"/>
      <c r="F21" s="444"/>
      <c r="G21" s="444"/>
      <c r="H21" s="444"/>
      <c r="I21" s="95"/>
      <c r="K21" s="447"/>
      <c r="L21" s="448"/>
      <c r="M21" s="448"/>
      <c r="N21" s="448"/>
      <c r="O21" s="448"/>
      <c r="P21" s="448"/>
      <c r="Q21" s="448"/>
      <c r="R21" s="95"/>
      <c r="T21" s="447"/>
      <c r="U21" s="448"/>
      <c r="V21" s="448"/>
      <c r="W21" s="448"/>
      <c r="X21" s="448"/>
      <c r="Y21" s="448"/>
      <c r="Z21" s="448"/>
      <c r="AA21" s="95"/>
    </row>
    <row r="22" spans="2:27">
      <c r="B22" s="443"/>
      <c r="C22" s="444"/>
      <c r="D22" s="444"/>
      <c r="E22" s="444"/>
      <c r="F22" s="444"/>
      <c r="G22" s="444"/>
      <c r="H22" s="444"/>
      <c r="I22" s="95"/>
      <c r="K22" s="449" t="s">
        <v>26</v>
      </c>
      <c r="L22" s="450"/>
      <c r="M22" s="450"/>
      <c r="N22" s="450"/>
      <c r="O22" s="450"/>
      <c r="P22" s="450"/>
      <c r="Q22" s="450"/>
      <c r="R22" s="451"/>
      <c r="T22" s="455" t="s">
        <v>28</v>
      </c>
      <c r="U22" s="456"/>
      <c r="V22" s="456"/>
      <c r="W22" s="456"/>
      <c r="X22" s="456"/>
      <c r="Y22" s="456"/>
      <c r="Z22" s="456"/>
      <c r="AA22" s="457"/>
    </row>
    <row r="23" spans="2:27" ht="14.4" thickBot="1">
      <c r="B23" s="443" t="s">
        <v>302</v>
      </c>
      <c r="C23" s="444"/>
      <c r="D23" s="444"/>
      <c r="E23" s="444"/>
      <c r="F23" s="444"/>
      <c r="G23" s="444"/>
      <c r="H23" s="444"/>
      <c r="I23" s="95">
        <v>220000</v>
      </c>
      <c r="K23" s="452"/>
      <c r="L23" s="453"/>
      <c r="M23" s="453"/>
      <c r="N23" s="453"/>
      <c r="O23" s="453"/>
      <c r="P23" s="453"/>
      <c r="Q23" s="453"/>
      <c r="R23" s="454"/>
      <c r="T23" s="458"/>
      <c r="U23" s="459"/>
      <c r="V23" s="459"/>
      <c r="W23" s="459"/>
      <c r="X23" s="459"/>
      <c r="Y23" s="459"/>
      <c r="Z23" s="459"/>
      <c r="AA23" s="460"/>
    </row>
    <row r="24" spans="2:27">
      <c r="B24" s="443" t="s">
        <v>301</v>
      </c>
      <c r="C24" s="444"/>
      <c r="D24" s="444"/>
      <c r="E24" s="444"/>
      <c r="F24" s="444"/>
      <c r="G24" s="444"/>
      <c r="H24" s="444"/>
      <c r="I24" s="95">
        <v>260000</v>
      </c>
      <c r="K24" s="439" t="s">
        <v>296</v>
      </c>
      <c r="L24" s="440"/>
      <c r="M24" s="440"/>
      <c r="N24" s="440"/>
      <c r="O24" s="440"/>
      <c r="P24" s="440"/>
      <c r="Q24" s="440"/>
      <c r="R24" s="95"/>
      <c r="T24" s="439" t="s">
        <v>2</v>
      </c>
      <c r="U24" s="440"/>
      <c r="V24" s="440"/>
      <c r="W24" s="440"/>
      <c r="X24" s="440"/>
      <c r="Y24" s="440"/>
      <c r="Z24" s="440"/>
      <c r="AA24" s="95"/>
    </row>
    <row r="25" spans="2:27">
      <c r="B25" s="443" t="s">
        <v>303</v>
      </c>
      <c r="C25" s="444"/>
      <c r="D25" s="444"/>
      <c r="E25" s="444"/>
      <c r="F25" s="444"/>
      <c r="G25" s="444"/>
      <c r="H25" s="444"/>
      <c r="I25" s="95">
        <v>14000</v>
      </c>
      <c r="K25" s="443" t="s">
        <v>295</v>
      </c>
      <c r="L25" s="444"/>
      <c r="M25" s="444"/>
      <c r="N25" s="444"/>
      <c r="O25" s="444"/>
      <c r="P25" s="444"/>
      <c r="Q25" s="444"/>
      <c r="R25" s="95"/>
      <c r="T25" s="443" t="s">
        <v>22</v>
      </c>
      <c r="U25" s="444"/>
      <c r="V25" s="444"/>
      <c r="W25" s="444"/>
      <c r="X25" s="444"/>
      <c r="Y25" s="444"/>
      <c r="Z25" s="444"/>
      <c r="AA25" s="95"/>
    </row>
    <row r="26" spans="2:27">
      <c r="B26" s="443" t="s">
        <v>304</v>
      </c>
      <c r="C26" s="444"/>
      <c r="D26" s="444"/>
      <c r="E26" s="444"/>
      <c r="F26" s="444"/>
      <c r="G26" s="444"/>
      <c r="H26" s="444"/>
      <c r="I26" s="95">
        <v>90000</v>
      </c>
      <c r="K26" s="443" t="s">
        <v>330</v>
      </c>
      <c r="L26" s="444"/>
      <c r="M26" s="444"/>
      <c r="N26" s="444"/>
      <c r="O26" s="444"/>
      <c r="P26" s="444"/>
      <c r="Q26" s="444"/>
      <c r="R26" s="95"/>
      <c r="T26" s="443" t="s">
        <v>21</v>
      </c>
      <c r="U26" s="444"/>
      <c r="V26" s="444"/>
      <c r="W26" s="444"/>
      <c r="X26" s="444"/>
      <c r="Y26" s="444"/>
      <c r="Z26" s="444"/>
      <c r="AA26" s="95"/>
    </row>
    <row r="27" spans="2:27">
      <c r="B27" s="443" t="s">
        <v>305</v>
      </c>
      <c r="C27" s="444"/>
      <c r="D27" s="444"/>
      <c r="E27" s="444"/>
      <c r="F27" s="444"/>
      <c r="G27" s="444"/>
      <c r="H27" s="444"/>
      <c r="I27" s="95">
        <v>60000</v>
      </c>
      <c r="K27" s="443" t="s">
        <v>329</v>
      </c>
      <c r="L27" s="444"/>
      <c r="M27" s="444"/>
      <c r="N27" s="444"/>
      <c r="O27" s="444"/>
      <c r="P27" s="444"/>
      <c r="Q27" s="444"/>
      <c r="R27" s="95">
        <v>12000</v>
      </c>
      <c r="T27" s="443" t="s">
        <v>71</v>
      </c>
      <c r="U27" s="444"/>
      <c r="V27" s="444"/>
      <c r="W27" s="444"/>
      <c r="X27" s="444"/>
      <c r="Y27" s="444"/>
      <c r="Z27" s="444"/>
      <c r="AA27" s="95"/>
    </row>
    <row r="28" spans="2:27">
      <c r="B28" s="443"/>
      <c r="C28" s="444"/>
      <c r="D28" s="444"/>
      <c r="E28" s="444"/>
      <c r="F28" s="444"/>
      <c r="G28" s="444"/>
      <c r="H28" s="444"/>
      <c r="I28" s="95"/>
      <c r="K28" s="443" t="s">
        <v>331</v>
      </c>
      <c r="L28" s="444"/>
      <c r="M28" s="444"/>
      <c r="N28" s="444"/>
      <c r="O28" s="444"/>
      <c r="P28" s="444"/>
      <c r="Q28" s="444"/>
      <c r="R28" s="95">
        <v>28000</v>
      </c>
      <c r="T28" s="443" t="s">
        <v>72</v>
      </c>
      <c r="U28" s="444"/>
      <c r="V28" s="444"/>
      <c r="W28" s="444"/>
      <c r="X28" s="444"/>
      <c r="Y28" s="444"/>
      <c r="Z28" s="444"/>
      <c r="AA28" s="95"/>
    </row>
    <row r="29" spans="2:27">
      <c r="B29" s="443"/>
      <c r="C29" s="444"/>
      <c r="D29" s="444"/>
      <c r="E29" s="444"/>
      <c r="F29" s="444"/>
      <c r="G29" s="444"/>
      <c r="H29" s="444"/>
      <c r="I29" s="95"/>
      <c r="K29" s="443" t="s">
        <v>42</v>
      </c>
      <c r="L29" s="444"/>
      <c r="M29" s="444"/>
      <c r="N29" s="444"/>
      <c r="O29" s="444"/>
      <c r="P29" s="444"/>
      <c r="Q29" s="444"/>
      <c r="R29" s="95">
        <v>200000</v>
      </c>
      <c r="T29" s="443"/>
      <c r="U29" s="444"/>
      <c r="V29" s="444"/>
      <c r="W29" s="444"/>
      <c r="X29" s="444"/>
      <c r="Y29" s="444"/>
      <c r="Z29" s="444"/>
      <c r="AA29" s="95"/>
    </row>
    <row r="30" spans="2:27">
      <c r="B30" s="443"/>
      <c r="C30" s="444"/>
      <c r="D30" s="444"/>
      <c r="E30" s="444"/>
      <c r="F30" s="444"/>
      <c r="G30" s="444"/>
      <c r="H30" s="444"/>
      <c r="I30" s="95"/>
      <c r="K30" s="443" t="s">
        <v>41</v>
      </c>
      <c r="L30" s="444"/>
      <c r="M30" s="444"/>
      <c r="N30" s="444"/>
      <c r="O30" s="444"/>
      <c r="P30" s="444"/>
      <c r="Q30" s="444"/>
      <c r="R30" s="95">
        <v>150000</v>
      </c>
      <c r="T30" s="443"/>
      <c r="U30" s="444"/>
      <c r="V30" s="444"/>
      <c r="W30" s="444"/>
      <c r="X30" s="444"/>
      <c r="Y30" s="444"/>
      <c r="Z30" s="444"/>
      <c r="AA30" s="95"/>
    </row>
    <row r="31" spans="2:27">
      <c r="B31" s="443"/>
      <c r="C31" s="444"/>
      <c r="D31" s="444"/>
      <c r="E31" s="444"/>
      <c r="F31" s="444"/>
      <c r="G31" s="444"/>
      <c r="H31" s="444"/>
      <c r="I31" s="95"/>
      <c r="K31" s="443" t="s">
        <v>3</v>
      </c>
      <c r="L31" s="444"/>
      <c r="M31" s="444"/>
      <c r="N31" s="444"/>
      <c r="O31" s="444"/>
      <c r="P31" s="444"/>
      <c r="Q31" s="444"/>
      <c r="R31" s="95">
        <v>100000</v>
      </c>
      <c r="T31" s="443"/>
      <c r="U31" s="444"/>
      <c r="V31" s="444"/>
      <c r="W31" s="444"/>
      <c r="X31" s="444"/>
      <c r="Y31" s="444"/>
      <c r="Z31" s="444"/>
      <c r="AA31" s="95"/>
    </row>
    <row r="32" spans="2:27">
      <c r="B32" s="443"/>
      <c r="C32" s="444"/>
      <c r="D32" s="444"/>
      <c r="E32" s="444"/>
      <c r="F32" s="444"/>
      <c r="G32" s="444"/>
      <c r="H32" s="444"/>
      <c r="I32" s="95"/>
      <c r="K32" s="443" t="s">
        <v>4</v>
      </c>
      <c r="L32" s="444"/>
      <c r="M32" s="444"/>
      <c r="N32" s="444"/>
      <c r="O32" s="444"/>
      <c r="P32" s="444"/>
      <c r="Q32" s="444"/>
      <c r="R32" s="95">
        <v>75000</v>
      </c>
      <c r="T32" s="443"/>
      <c r="U32" s="444"/>
      <c r="V32" s="444"/>
      <c r="W32" s="444"/>
      <c r="X32" s="444"/>
      <c r="Y32" s="444"/>
      <c r="Z32" s="444"/>
      <c r="AA32" s="95"/>
    </row>
    <row r="33" spans="2:27">
      <c r="B33" s="443"/>
      <c r="C33" s="444"/>
      <c r="D33" s="444"/>
      <c r="E33" s="444"/>
      <c r="F33" s="444"/>
      <c r="G33" s="444"/>
      <c r="H33" s="444"/>
      <c r="I33" s="95"/>
      <c r="K33" s="443" t="s">
        <v>67</v>
      </c>
      <c r="L33" s="444"/>
      <c r="M33" s="444"/>
      <c r="N33" s="444"/>
      <c r="O33" s="444"/>
      <c r="P33" s="444"/>
      <c r="Q33" s="444"/>
      <c r="R33" s="95">
        <v>500</v>
      </c>
      <c r="T33" s="443"/>
      <c r="U33" s="444"/>
      <c r="V33" s="444"/>
      <c r="W33" s="444"/>
      <c r="X33" s="444"/>
      <c r="Y33" s="444"/>
      <c r="Z33" s="444"/>
      <c r="AA33" s="95"/>
    </row>
    <row r="34" spans="2:27" ht="14.4" thickBot="1">
      <c r="B34" s="447"/>
      <c r="C34" s="448"/>
      <c r="D34" s="448"/>
      <c r="E34" s="448"/>
      <c r="F34" s="448"/>
      <c r="G34" s="448"/>
      <c r="H34" s="448"/>
      <c r="I34" s="96"/>
      <c r="K34" s="443" t="s">
        <v>68</v>
      </c>
      <c r="L34" s="444"/>
      <c r="M34" s="444"/>
      <c r="N34" s="444"/>
      <c r="O34" s="444"/>
      <c r="P34" s="444"/>
      <c r="Q34" s="444"/>
      <c r="R34" s="95">
        <v>500</v>
      </c>
      <c r="T34" s="443"/>
      <c r="U34" s="444"/>
      <c r="V34" s="444"/>
      <c r="W34" s="444"/>
      <c r="X34" s="444"/>
      <c r="Y34" s="444"/>
      <c r="Z34" s="444"/>
      <c r="AA34" s="95"/>
    </row>
    <row r="35" spans="2:27">
      <c r="B35" s="461" t="s">
        <v>95</v>
      </c>
      <c r="C35" s="462"/>
      <c r="D35" s="462"/>
      <c r="E35" s="462"/>
      <c r="F35" s="462"/>
      <c r="G35" s="462"/>
      <c r="H35" s="462"/>
      <c r="I35" s="463"/>
      <c r="K35" s="443" t="s">
        <v>70</v>
      </c>
      <c r="L35" s="444"/>
      <c r="M35" s="444"/>
      <c r="N35" s="444"/>
      <c r="O35" s="444"/>
      <c r="P35" s="444"/>
      <c r="Q35" s="444"/>
      <c r="R35" s="95">
        <v>6000</v>
      </c>
      <c r="T35" s="443"/>
      <c r="U35" s="444"/>
      <c r="V35" s="444"/>
      <c r="W35" s="444"/>
      <c r="X35" s="444"/>
      <c r="Y35" s="444"/>
      <c r="Z35" s="444"/>
      <c r="AA35" s="95"/>
    </row>
    <row r="36" spans="2:27" ht="14.4" thickBot="1">
      <c r="B36" s="464"/>
      <c r="C36" s="465"/>
      <c r="D36" s="465"/>
      <c r="E36" s="465"/>
      <c r="F36" s="465"/>
      <c r="G36" s="465"/>
      <c r="H36" s="465"/>
      <c r="I36" s="466"/>
      <c r="K36" s="443" t="s">
        <v>380</v>
      </c>
      <c r="L36" s="444"/>
      <c r="M36" s="444"/>
      <c r="N36" s="444"/>
      <c r="O36" s="444"/>
      <c r="P36" s="444"/>
      <c r="Q36" s="444"/>
      <c r="R36" s="95">
        <v>15000</v>
      </c>
      <c r="T36" s="443"/>
      <c r="U36" s="444"/>
      <c r="V36" s="444"/>
      <c r="W36" s="444"/>
      <c r="X36" s="444"/>
      <c r="Y36" s="444"/>
      <c r="Z36" s="444"/>
      <c r="AA36" s="95"/>
    </row>
    <row r="37" spans="2:27">
      <c r="B37" s="108" t="s">
        <v>96</v>
      </c>
      <c r="C37" s="109"/>
      <c r="D37" s="109"/>
      <c r="E37" s="109"/>
      <c r="F37" s="109"/>
      <c r="G37" s="109">
        <v>1</v>
      </c>
      <c r="H37" s="110">
        <v>75000</v>
      </c>
      <c r="I37" s="95">
        <f>G37*H37</f>
        <v>75000</v>
      </c>
      <c r="K37" s="443" t="s">
        <v>16</v>
      </c>
      <c r="L37" s="444"/>
      <c r="M37" s="444"/>
      <c r="N37" s="444"/>
      <c r="O37" s="444"/>
      <c r="P37" s="444"/>
      <c r="Q37" s="444"/>
      <c r="R37" s="95">
        <v>150000</v>
      </c>
      <c r="T37" s="443"/>
      <c r="U37" s="444"/>
      <c r="V37" s="444"/>
      <c r="W37" s="444"/>
      <c r="X37" s="444"/>
      <c r="Y37" s="444"/>
      <c r="Z37" s="444"/>
      <c r="AA37" s="95"/>
    </row>
    <row r="38" spans="2:27">
      <c r="B38" s="108" t="s">
        <v>97</v>
      </c>
      <c r="C38" s="109"/>
      <c r="D38" s="109"/>
      <c r="E38" s="109"/>
      <c r="F38" s="109"/>
      <c r="G38" s="109">
        <v>2</v>
      </c>
      <c r="H38" s="110">
        <v>70000</v>
      </c>
      <c r="I38" s="95">
        <f>G38*H38</f>
        <v>140000</v>
      </c>
      <c r="K38" s="443" t="s">
        <v>17</v>
      </c>
      <c r="L38" s="444"/>
      <c r="M38" s="444"/>
      <c r="N38" s="444"/>
      <c r="O38" s="444"/>
      <c r="P38" s="444"/>
      <c r="Q38" s="444"/>
      <c r="R38" s="95">
        <v>150000</v>
      </c>
      <c r="T38" s="443"/>
      <c r="U38" s="444"/>
      <c r="V38" s="444"/>
      <c r="W38" s="444"/>
      <c r="X38" s="444"/>
      <c r="Y38" s="444"/>
      <c r="Z38" s="444"/>
      <c r="AA38" s="95"/>
    </row>
    <row r="39" spans="2:27">
      <c r="B39" s="108" t="s">
        <v>98</v>
      </c>
      <c r="C39" s="109"/>
      <c r="D39" s="109"/>
      <c r="E39" s="109"/>
      <c r="F39" s="109"/>
      <c r="G39" s="109">
        <v>1</v>
      </c>
      <c r="H39" s="110">
        <v>60000</v>
      </c>
      <c r="I39" s="95">
        <f>G39*H39</f>
        <v>60000</v>
      </c>
      <c r="K39" s="443"/>
      <c r="L39" s="444"/>
      <c r="M39" s="444"/>
      <c r="N39" s="444"/>
      <c r="O39" s="444"/>
      <c r="P39" s="444"/>
      <c r="Q39" s="444"/>
      <c r="R39" s="95"/>
      <c r="T39" s="443"/>
      <c r="U39" s="444"/>
      <c r="V39" s="444"/>
      <c r="W39" s="444"/>
      <c r="X39" s="444"/>
      <c r="Y39" s="444"/>
      <c r="Z39" s="444"/>
      <c r="AA39" s="95"/>
    </row>
    <row r="40" spans="2:27" ht="14.4" thickBot="1">
      <c r="B40" s="111" t="s">
        <v>99</v>
      </c>
      <c r="C40" s="112"/>
      <c r="D40" s="112"/>
      <c r="E40" s="112"/>
      <c r="F40" s="112"/>
      <c r="G40" s="112"/>
      <c r="H40" s="113">
        <v>60000</v>
      </c>
      <c r="I40" s="96">
        <f>G40*H40</f>
        <v>0</v>
      </c>
      <c r="K40" s="447"/>
      <c r="L40" s="448"/>
      <c r="M40" s="448"/>
      <c r="N40" s="448"/>
      <c r="O40" s="448"/>
      <c r="P40" s="448"/>
      <c r="Q40" s="448"/>
      <c r="R40" s="96"/>
      <c r="T40" s="447"/>
      <c r="U40" s="448"/>
      <c r="V40" s="448"/>
      <c r="W40" s="448"/>
      <c r="X40" s="448"/>
      <c r="Y40" s="448"/>
      <c r="Z40" s="448"/>
      <c r="AA40" s="96"/>
    </row>
    <row r="44" spans="2:27" ht="14.4" thickBot="1"/>
    <row r="45" spans="2:27" ht="15" customHeight="1">
      <c r="B45" s="475" t="s">
        <v>200</v>
      </c>
      <c r="C45" s="476"/>
      <c r="D45" s="476"/>
      <c r="E45" s="476"/>
      <c r="F45" s="476"/>
      <c r="G45" s="476"/>
      <c r="H45" s="476"/>
      <c r="I45" s="477"/>
      <c r="M45" s="475" t="s">
        <v>201</v>
      </c>
      <c r="N45" s="476"/>
      <c r="O45" s="476"/>
      <c r="P45" s="476"/>
      <c r="Q45" s="476"/>
      <c r="R45" s="476"/>
      <c r="S45" s="476"/>
      <c r="T45" s="477"/>
    </row>
    <row r="46" spans="2:27" ht="15" customHeight="1">
      <c r="B46" s="478"/>
      <c r="C46" s="479"/>
      <c r="D46" s="479"/>
      <c r="E46" s="479"/>
      <c r="F46" s="479"/>
      <c r="G46" s="479"/>
      <c r="H46" s="479"/>
      <c r="I46" s="480"/>
      <c r="M46" s="478"/>
      <c r="N46" s="479"/>
      <c r="O46" s="479"/>
      <c r="P46" s="479"/>
      <c r="Q46" s="479"/>
      <c r="R46" s="479"/>
      <c r="S46" s="479"/>
      <c r="T46" s="480"/>
    </row>
    <row r="47" spans="2:27" ht="15.75" customHeight="1" thickBot="1">
      <c r="B47" s="481"/>
      <c r="C47" s="482"/>
      <c r="D47" s="482"/>
      <c r="E47" s="482"/>
      <c r="F47" s="482"/>
      <c r="G47" s="482"/>
      <c r="H47" s="482"/>
      <c r="I47" s="483"/>
      <c r="M47" s="481"/>
      <c r="N47" s="482"/>
      <c r="O47" s="482"/>
      <c r="P47" s="482"/>
      <c r="Q47" s="482"/>
      <c r="R47" s="482"/>
      <c r="S47" s="482"/>
      <c r="T47" s="483"/>
    </row>
    <row r="48" spans="2:27" ht="14.4" thickBot="1">
      <c r="B48" s="467" t="s">
        <v>262</v>
      </c>
      <c r="C48" s="468"/>
      <c r="D48" s="468"/>
      <c r="E48" s="468"/>
      <c r="F48" s="468"/>
      <c r="G48" s="468"/>
      <c r="H48" s="468"/>
      <c r="I48" s="484"/>
      <c r="M48" s="467" t="s">
        <v>262</v>
      </c>
      <c r="N48" s="468"/>
      <c r="O48" s="468"/>
      <c r="P48" s="468"/>
      <c r="Q48" s="468"/>
      <c r="R48" s="468"/>
      <c r="S48" s="468"/>
      <c r="T48" s="484"/>
    </row>
    <row r="49" spans="2:20" ht="14.4" thickBot="1">
      <c r="B49" s="467" t="s">
        <v>267</v>
      </c>
      <c r="C49" s="468"/>
      <c r="D49" s="468"/>
      <c r="E49" s="468"/>
      <c r="F49" s="468"/>
      <c r="G49" s="114" t="s">
        <v>266</v>
      </c>
      <c r="H49" s="114" t="s">
        <v>0</v>
      </c>
      <c r="I49" s="97" t="s">
        <v>265</v>
      </c>
      <c r="M49" s="467" t="s">
        <v>267</v>
      </c>
      <c r="N49" s="468"/>
      <c r="O49" s="468"/>
      <c r="P49" s="468"/>
      <c r="Q49" s="468"/>
      <c r="R49" s="114" t="s">
        <v>266</v>
      </c>
      <c r="S49" s="114" t="s">
        <v>0</v>
      </c>
      <c r="T49" s="97" t="s">
        <v>265</v>
      </c>
    </row>
    <row r="50" spans="2:20">
      <c r="B50" s="469" t="s">
        <v>13</v>
      </c>
      <c r="C50" s="470"/>
      <c r="D50" s="470"/>
      <c r="E50" s="471"/>
      <c r="F50" s="115">
        <v>1</v>
      </c>
      <c r="G50" s="116">
        <v>7</v>
      </c>
      <c r="H50" s="117">
        <f>$I$4</f>
        <v>160000</v>
      </c>
      <c r="I50" s="98">
        <f>F50*G50*H50</f>
        <v>1120000</v>
      </c>
      <c r="M50" s="469" t="s">
        <v>13</v>
      </c>
      <c r="N50" s="470"/>
      <c r="O50" s="470"/>
      <c r="P50" s="471"/>
      <c r="Q50" s="115">
        <v>1</v>
      </c>
      <c r="R50" s="116">
        <v>10</v>
      </c>
      <c r="S50" s="117">
        <f>$I$4</f>
        <v>160000</v>
      </c>
      <c r="T50" s="98">
        <f>Q50*R50*S50</f>
        <v>1600000</v>
      </c>
    </row>
    <row r="51" spans="2:20">
      <c r="B51" s="118" t="s">
        <v>261</v>
      </c>
      <c r="C51" s="119"/>
      <c r="D51" s="119"/>
      <c r="E51" s="120"/>
      <c r="F51" s="121">
        <v>1</v>
      </c>
      <c r="G51" s="122"/>
      <c r="H51" s="123">
        <f>$I$5</f>
        <v>165000</v>
      </c>
      <c r="I51" s="99"/>
      <c r="M51" s="118" t="s">
        <v>261</v>
      </c>
      <c r="N51" s="119"/>
      <c r="O51" s="119"/>
      <c r="P51" s="120"/>
      <c r="Q51" s="121">
        <v>1</v>
      </c>
      <c r="R51" s="122"/>
      <c r="S51" s="123">
        <f>$I$5</f>
        <v>165000</v>
      </c>
      <c r="T51" s="99"/>
    </row>
    <row r="52" spans="2:20">
      <c r="B52" s="472" t="s">
        <v>14</v>
      </c>
      <c r="C52" s="473"/>
      <c r="D52" s="473"/>
      <c r="E52" s="474"/>
      <c r="F52" s="121">
        <v>1</v>
      </c>
      <c r="G52" s="122">
        <v>19</v>
      </c>
      <c r="H52" s="123">
        <f>$I$6</f>
        <v>140000</v>
      </c>
      <c r="I52" s="99">
        <f>F52*G52*H52</f>
        <v>2660000</v>
      </c>
      <c r="M52" s="472" t="s">
        <v>14</v>
      </c>
      <c r="N52" s="473"/>
      <c r="O52" s="473"/>
      <c r="P52" s="474"/>
      <c r="Q52" s="121">
        <v>1</v>
      </c>
      <c r="R52" s="122">
        <v>29</v>
      </c>
      <c r="S52" s="123">
        <f>$I$6</f>
        <v>140000</v>
      </c>
      <c r="T52" s="99">
        <f>Q52*R52*S52</f>
        <v>4060000</v>
      </c>
    </row>
    <row r="53" spans="2:20">
      <c r="B53" s="472" t="s">
        <v>23</v>
      </c>
      <c r="C53" s="473"/>
      <c r="D53" s="473"/>
      <c r="E53" s="474"/>
      <c r="F53" s="121">
        <v>1</v>
      </c>
      <c r="G53" s="122">
        <v>7</v>
      </c>
      <c r="H53" s="123">
        <f>$I$7</f>
        <v>150000</v>
      </c>
      <c r="I53" s="99">
        <f>F53*G53*H53</f>
        <v>1050000</v>
      </c>
      <c r="M53" s="472" t="s">
        <v>23</v>
      </c>
      <c r="N53" s="473"/>
      <c r="O53" s="473"/>
      <c r="P53" s="474"/>
      <c r="Q53" s="121">
        <v>1</v>
      </c>
      <c r="R53" s="122">
        <v>10</v>
      </c>
      <c r="S53" s="123">
        <f>$I$7</f>
        <v>150000</v>
      </c>
      <c r="T53" s="99">
        <f>Q53*R53*S53</f>
        <v>1500000</v>
      </c>
    </row>
    <row r="54" spans="2:20">
      <c r="B54" s="472"/>
      <c r="C54" s="473"/>
      <c r="D54" s="473"/>
      <c r="E54" s="474"/>
      <c r="F54" s="121"/>
      <c r="G54" s="122"/>
      <c r="H54" s="123"/>
      <c r="I54" s="99">
        <f>F54*G54*H54</f>
        <v>0</v>
      </c>
      <c r="M54" s="472"/>
      <c r="N54" s="473"/>
      <c r="O54" s="473"/>
      <c r="P54" s="474"/>
      <c r="Q54" s="121"/>
      <c r="R54" s="122"/>
      <c r="S54" s="123"/>
      <c r="T54" s="99">
        <f>Q54*R54*S54</f>
        <v>0</v>
      </c>
    </row>
    <row r="55" spans="2:20">
      <c r="B55" s="485" t="s">
        <v>18</v>
      </c>
      <c r="C55" s="486"/>
      <c r="D55" s="486"/>
      <c r="E55" s="486"/>
      <c r="F55" s="487"/>
      <c r="G55" s="122">
        <v>40</v>
      </c>
      <c r="H55" s="123">
        <f>$I$8</f>
        <v>12800</v>
      </c>
      <c r="I55" s="99">
        <f>G55*H55</f>
        <v>512000</v>
      </c>
      <c r="M55" s="485" t="s">
        <v>18</v>
      </c>
      <c r="N55" s="486"/>
      <c r="O55" s="486"/>
      <c r="P55" s="486"/>
      <c r="Q55" s="487"/>
      <c r="R55" s="122">
        <v>50</v>
      </c>
      <c r="S55" s="123">
        <f>$I$8</f>
        <v>12800</v>
      </c>
      <c r="T55" s="99">
        <f>R55*S55</f>
        <v>640000</v>
      </c>
    </row>
    <row r="56" spans="2:20">
      <c r="B56" s="485" t="s">
        <v>19</v>
      </c>
      <c r="C56" s="486"/>
      <c r="D56" s="486"/>
      <c r="E56" s="486"/>
      <c r="F56" s="487"/>
      <c r="G56" s="122">
        <v>40</v>
      </c>
      <c r="H56" s="123">
        <f>$I$9</f>
        <v>11100</v>
      </c>
      <c r="I56" s="99">
        <f>G56*H56</f>
        <v>444000</v>
      </c>
      <c r="M56" s="485" t="s">
        <v>19</v>
      </c>
      <c r="N56" s="486"/>
      <c r="O56" s="486"/>
      <c r="P56" s="486"/>
      <c r="Q56" s="487"/>
      <c r="R56" s="122">
        <v>55</v>
      </c>
      <c r="S56" s="123">
        <f>$I$9</f>
        <v>11100</v>
      </c>
      <c r="T56" s="99">
        <f>R56*S56</f>
        <v>610500</v>
      </c>
    </row>
    <row r="57" spans="2:20">
      <c r="B57" s="488" t="s">
        <v>259</v>
      </c>
      <c r="C57" s="489"/>
      <c r="D57" s="489"/>
      <c r="E57" s="489"/>
      <c r="F57" s="490"/>
      <c r="G57" s="122">
        <v>1000</v>
      </c>
      <c r="H57" s="123">
        <f>$I$10</f>
        <v>58</v>
      </c>
      <c r="I57" s="99">
        <f t="shared" ref="I57:I83" si="0">G57*H57</f>
        <v>58000</v>
      </c>
      <c r="M57" s="488" t="s">
        <v>259</v>
      </c>
      <c r="N57" s="489"/>
      <c r="O57" s="489"/>
      <c r="P57" s="489"/>
      <c r="Q57" s="490"/>
      <c r="R57" s="122">
        <v>2000</v>
      </c>
      <c r="S57" s="123">
        <f>$I$10</f>
        <v>58</v>
      </c>
      <c r="T57" s="99">
        <f t="shared" ref="T57:T69" si="1">R57*S57</f>
        <v>116000</v>
      </c>
    </row>
    <row r="58" spans="2:20">
      <c r="B58" s="488" t="s">
        <v>260</v>
      </c>
      <c r="C58" s="489"/>
      <c r="D58" s="489"/>
      <c r="E58" s="489"/>
      <c r="F58" s="490"/>
      <c r="G58" s="122">
        <v>3000</v>
      </c>
      <c r="H58" s="123">
        <f>$I$11</f>
        <v>35</v>
      </c>
      <c r="I58" s="99">
        <f t="shared" si="0"/>
        <v>105000</v>
      </c>
      <c r="M58" s="488" t="s">
        <v>260</v>
      </c>
      <c r="N58" s="489"/>
      <c r="O58" s="489"/>
      <c r="P58" s="489"/>
      <c r="Q58" s="490"/>
      <c r="R58" s="122">
        <v>4000</v>
      </c>
      <c r="S58" s="123">
        <f>$I$11</f>
        <v>35</v>
      </c>
      <c r="T58" s="99">
        <f t="shared" si="1"/>
        <v>140000</v>
      </c>
    </row>
    <row r="59" spans="2:20">
      <c r="B59" s="488" t="s">
        <v>299</v>
      </c>
      <c r="C59" s="489"/>
      <c r="D59" s="489"/>
      <c r="E59" s="489"/>
      <c r="F59" s="490"/>
      <c r="G59" s="122"/>
      <c r="H59" s="123">
        <f>$I$12</f>
        <v>1250</v>
      </c>
      <c r="I59" s="99">
        <f t="shared" si="0"/>
        <v>0</v>
      </c>
      <c r="M59" s="488" t="s">
        <v>299</v>
      </c>
      <c r="N59" s="489"/>
      <c r="O59" s="489"/>
      <c r="P59" s="489"/>
      <c r="Q59" s="490"/>
      <c r="R59" s="122"/>
      <c r="S59" s="123">
        <f>$I$12</f>
        <v>1250</v>
      </c>
      <c r="T59" s="99">
        <f t="shared" si="1"/>
        <v>0</v>
      </c>
    </row>
    <row r="60" spans="2:20">
      <c r="B60" s="488" t="s">
        <v>300</v>
      </c>
      <c r="C60" s="489"/>
      <c r="D60" s="489"/>
      <c r="E60" s="489"/>
      <c r="F60" s="490"/>
      <c r="G60" s="122">
        <v>200</v>
      </c>
      <c r="H60" s="123">
        <f>$I$13</f>
        <v>1250</v>
      </c>
      <c r="I60" s="99">
        <f t="shared" si="0"/>
        <v>250000</v>
      </c>
      <c r="M60" s="488" t="s">
        <v>300</v>
      </c>
      <c r="N60" s="489"/>
      <c r="O60" s="489"/>
      <c r="P60" s="489"/>
      <c r="Q60" s="490"/>
      <c r="R60" s="122">
        <v>400</v>
      </c>
      <c r="S60" s="123">
        <f>$I$13</f>
        <v>1250</v>
      </c>
      <c r="T60" s="99">
        <f t="shared" si="1"/>
        <v>500000</v>
      </c>
    </row>
    <row r="61" spans="2:20">
      <c r="B61" s="488" t="s">
        <v>220</v>
      </c>
      <c r="C61" s="489"/>
      <c r="D61" s="489"/>
      <c r="E61" s="489"/>
      <c r="F61" s="490"/>
      <c r="G61" s="122">
        <v>100</v>
      </c>
      <c r="H61" s="123">
        <f>$I$14</f>
        <v>750</v>
      </c>
      <c r="I61" s="99">
        <f t="shared" si="0"/>
        <v>75000</v>
      </c>
      <c r="M61" s="488" t="s">
        <v>220</v>
      </c>
      <c r="N61" s="489"/>
      <c r="O61" s="489"/>
      <c r="P61" s="489"/>
      <c r="Q61" s="490"/>
      <c r="R61" s="122">
        <v>200</v>
      </c>
      <c r="S61" s="123">
        <f>$I$14</f>
        <v>750</v>
      </c>
      <c r="T61" s="99">
        <f t="shared" si="1"/>
        <v>150000</v>
      </c>
    </row>
    <row r="62" spans="2:20">
      <c r="B62" s="488" t="s">
        <v>268</v>
      </c>
      <c r="C62" s="489"/>
      <c r="D62" s="489"/>
      <c r="E62" s="489"/>
      <c r="F62" s="490"/>
      <c r="G62" s="122">
        <v>500</v>
      </c>
      <c r="H62" s="123">
        <f>$I$15</f>
        <v>175</v>
      </c>
      <c r="I62" s="99">
        <f t="shared" si="0"/>
        <v>87500</v>
      </c>
      <c r="M62" s="488" t="s">
        <v>268</v>
      </c>
      <c r="N62" s="489"/>
      <c r="O62" s="489"/>
      <c r="P62" s="489"/>
      <c r="Q62" s="490"/>
      <c r="R62" s="122">
        <v>0</v>
      </c>
      <c r="S62" s="123">
        <f>$I$15</f>
        <v>175</v>
      </c>
      <c r="T62" s="99">
        <f t="shared" si="1"/>
        <v>0</v>
      </c>
    </row>
    <row r="63" spans="2:20">
      <c r="B63" s="488" t="s">
        <v>221</v>
      </c>
      <c r="C63" s="489"/>
      <c r="D63" s="489"/>
      <c r="E63" s="489"/>
      <c r="F63" s="490"/>
      <c r="G63" s="122"/>
      <c r="H63" s="123">
        <f>$I$16</f>
        <v>175</v>
      </c>
      <c r="I63" s="99">
        <f t="shared" si="0"/>
        <v>0</v>
      </c>
      <c r="M63" s="488" t="s">
        <v>221</v>
      </c>
      <c r="N63" s="489"/>
      <c r="O63" s="489"/>
      <c r="P63" s="489"/>
      <c r="Q63" s="490"/>
      <c r="R63" s="122">
        <v>500</v>
      </c>
      <c r="S63" s="123">
        <f>$I$16</f>
        <v>175</v>
      </c>
      <c r="T63" s="99">
        <f t="shared" si="1"/>
        <v>87500</v>
      </c>
    </row>
    <row r="64" spans="2:20">
      <c r="B64" s="472" t="s">
        <v>222</v>
      </c>
      <c r="C64" s="473"/>
      <c r="D64" s="473"/>
      <c r="E64" s="473"/>
      <c r="F64" s="474"/>
      <c r="G64" s="122">
        <v>2</v>
      </c>
      <c r="H64" s="123">
        <f>$I$17</f>
        <v>90000</v>
      </c>
      <c r="I64" s="99">
        <f t="shared" si="0"/>
        <v>180000</v>
      </c>
      <c r="M64" s="472" t="s">
        <v>222</v>
      </c>
      <c r="N64" s="473"/>
      <c r="O64" s="473"/>
      <c r="P64" s="473"/>
      <c r="Q64" s="474"/>
      <c r="R64" s="122">
        <v>2</v>
      </c>
      <c r="S64" s="123">
        <f>$I$17</f>
        <v>90000</v>
      </c>
      <c r="T64" s="99">
        <f t="shared" si="1"/>
        <v>180000</v>
      </c>
    </row>
    <row r="65" spans="2:23" ht="14.4" thickBot="1">
      <c r="B65" s="485" t="s">
        <v>337</v>
      </c>
      <c r="C65" s="486"/>
      <c r="D65" s="486"/>
      <c r="E65" s="486"/>
      <c r="F65" s="487"/>
      <c r="G65" s="122">
        <v>20</v>
      </c>
      <c r="H65" s="123">
        <f>$I$18</f>
        <v>21000</v>
      </c>
      <c r="I65" s="99">
        <f t="shared" si="0"/>
        <v>420000</v>
      </c>
      <c r="M65" s="485" t="s">
        <v>337</v>
      </c>
      <c r="N65" s="486"/>
      <c r="O65" s="486"/>
      <c r="P65" s="486"/>
      <c r="Q65" s="487"/>
      <c r="R65" s="122">
        <v>25</v>
      </c>
      <c r="S65" s="123">
        <f>$I$18</f>
        <v>21000</v>
      </c>
      <c r="T65" s="99">
        <f t="shared" si="1"/>
        <v>525000</v>
      </c>
    </row>
    <row r="66" spans="2:23" ht="15" customHeight="1">
      <c r="B66" s="485" t="s">
        <v>269</v>
      </c>
      <c r="C66" s="486"/>
      <c r="D66" s="486"/>
      <c r="E66" s="486"/>
      <c r="F66" s="487"/>
      <c r="G66" s="122">
        <v>3</v>
      </c>
      <c r="H66" s="123">
        <f>$I$19</f>
        <v>40000</v>
      </c>
      <c r="I66" s="99">
        <f t="shared" si="0"/>
        <v>120000</v>
      </c>
      <c r="J66" s="499" t="s">
        <v>275</v>
      </c>
      <c r="K66" s="500"/>
      <c r="L66" s="501"/>
      <c r="M66" s="485" t="s">
        <v>269</v>
      </c>
      <c r="N66" s="486"/>
      <c r="O66" s="486"/>
      <c r="P66" s="486"/>
      <c r="Q66" s="487"/>
      <c r="R66" s="122">
        <v>5</v>
      </c>
      <c r="S66" s="123">
        <f>$I$19</f>
        <v>40000</v>
      </c>
      <c r="T66" s="99">
        <f t="shared" si="1"/>
        <v>200000</v>
      </c>
      <c r="U66" s="499" t="s">
        <v>275</v>
      </c>
      <c r="V66" s="500"/>
      <c r="W66" s="501"/>
    </row>
    <row r="67" spans="2:23" ht="15.75" customHeight="1" thickBot="1">
      <c r="B67" s="485" t="s">
        <v>270</v>
      </c>
      <c r="C67" s="486"/>
      <c r="D67" s="486"/>
      <c r="E67" s="486"/>
      <c r="F67" s="487"/>
      <c r="G67" s="122">
        <v>3</v>
      </c>
      <c r="H67" s="123">
        <f>$I$20</f>
        <v>13000</v>
      </c>
      <c r="I67" s="99">
        <f t="shared" si="0"/>
        <v>39000</v>
      </c>
      <c r="J67" s="502"/>
      <c r="K67" s="503"/>
      <c r="L67" s="504"/>
      <c r="M67" s="485" t="s">
        <v>270</v>
      </c>
      <c r="N67" s="486"/>
      <c r="O67" s="486"/>
      <c r="P67" s="486"/>
      <c r="Q67" s="487"/>
      <c r="R67" s="122">
        <v>5</v>
      </c>
      <c r="S67" s="123">
        <f>$I$20</f>
        <v>13000</v>
      </c>
      <c r="T67" s="99">
        <f t="shared" si="1"/>
        <v>65000</v>
      </c>
      <c r="U67" s="502"/>
      <c r="V67" s="503"/>
      <c r="W67" s="504"/>
    </row>
    <row r="68" spans="2:23" ht="15" customHeight="1">
      <c r="B68" s="488" t="s">
        <v>385</v>
      </c>
      <c r="C68" s="489"/>
      <c r="D68" s="489"/>
      <c r="E68" s="489"/>
      <c r="F68" s="490"/>
      <c r="G68" s="122">
        <v>9</v>
      </c>
      <c r="H68" s="123">
        <v>43500</v>
      </c>
      <c r="I68" s="99">
        <f t="shared" si="0"/>
        <v>391500</v>
      </c>
      <c r="J68" s="491">
        <f>SUM(I50:I69)</f>
        <v>7512000</v>
      </c>
      <c r="K68" s="492"/>
      <c r="L68" s="493"/>
      <c r="M68" s="488" t="s">
        <v>385</v>
      </c>
      <c r="N68" s="489"/>
      <c r="O68" s="489"/>
      <c r="P68" s="489"/>
      <c r="Q68" s="490"/>
      <c r="R68" s="122">
        <v>14</v>
      </c>
      <c r="S68" s="123">
        <v>43500</v>
      </c>
      <c r="T68" s="99">
        <f t="shared" si="1"/>
        <v>609000</v>
      </c>
      <c r="U68" s="491">
        <f>SUM(T50:T69)</f>
        <v>10983000</v>
      </c>
      <c r="V68" s="492"/>
      <c r="W68" s="493"/>
    </row>
    <row r="69" spans="2:23" ht="15.75" customHeight="1" thickBot="1">
      <c r="B69" s="497"/>
      <c r="C69" s="498"/>
      <c r="D69" s="498"/>
      <c r="E69" s="498"/>
      <c r="F69" s="498"/>
      <c r="G69" s="124"/>
      <c r="H69" s="125"/>
      <c r="I69" s="100">
        <f t="shared" si="0"/>
        <v>0</v>
      </c>
      <c r="J69" s="494"/>
      <c r="K69" s="495"/>
      <c r="L69" s="496"/>
      <c r="M69" s="497"/>
      <c r="N69" s="498"/>
      <c r="O69" s="498"/>
      <c r="P69" s="498"/>
      <c r="Q69" s="498"/>
      <c r="R69" s="124"/>
      <c r="S69" s="125"/>
      <c r="T69" s="100">
        <f t="shared" si="1"/>
        <v>0</v>
      </c>
      <c r="U69" s="494"/>
      <c r="V69" s="495"/>
      <c r="W69" s="496"/>
    </row>
    <row r="70" spans="2:23" ht="14.4" thickBot="1">
      <c r="B70" s="505" t="s">
        <v>271</v>
      </c>
      <c r="C70" s="506"/>
      <c r="D70" s="506"/>
      <c r="E70" s="506"/>
      <c r="F70" s="506"/>
      <c r="G70" s="506"/>
      <c r="H70" s="506"/>
      <c r="I70" s="507"/>
      <c r="M70" s="505" t="s">
        <v>271</v>
      </c>
      <c r="N70" s="506"/>
      <c r="O70" s="506"/>
      <c r="P70" s="506"/>
      <c r="Q70" s="506"/>
      <c r="R70" s="506"/>
      <c r="S70" s="506"/>
      <c r="T70" s="507"/>
    </row>
    <row r="71" spans="2:23" ht="14.4" thickBot="1">
      <c r="B71" s="467" t="s">
        <v>267</v>
      </c>
      <c r="C71" s="468"/>
      <c r="D71" s="468"/>
      <c r="E71" s="468"/>
      <c r="F71" s="468"/>
      <c r="G71" s="114" t="s">
        <v>266</v>
      </c>
      <c r="H71" s="114" t="s">
        <v>0</v>
      </c>
      <c r="I71" s="97" t="s">
        <v>265</v>
      </c>
      <c r="M71" s="467" t="s">
        <v>267</v>
      </c>
      <c r="N71" s="468"/>
      <c r="O71" s="468"/>
      <c r="P71" s="468"/>
      <c r="Q71" s="468"/>
      <c r="R71" s="114" t="s">
        <v>266</v>
      </c>
      <c r="S71" s="114" t="s">
        <v>0</v>
      </c>
      <c r="T71" s="97" t="s">
        <v>265</v>
      </c>
    </row>
    <row r="72" spans="2:23">
      <c r="B72" s="508" t="s">
        <v>272</v>
      </c>
      <c r="C72" s="509"/>
      <c r="D72" s="509"/>
      <c r="E72" s="509"/>
      <c r="F72" s="510"/>
      <c r="G72" s="116">
        <v>2</v>
      </c>
      <c r="H72" s="117">
        <f>$I$23</f>
        <v>220000</v>
      </c>
      <c r="I72" s="98">
        <f t="shared" si="0"/>
        <v>440000</v>
      </c>
      <c r="M72" s="508" t="s">
        <v>272</v>
      </c>
      <c r="N72" s="509"/>
      <c r="O72" s="509"/>
      <c r="P72" s="509"/>
      <c r="Q72" s="510"/>
      <c r="R72" s="116">
        <v>2</v>
      </c>
      <c r="S72" s="117">
        <f>$I$23</f>
        <v>220000</v>
      </c>
      <c r="T72" s="98">
        <f t="shared" ref="T72:T77" si="2">R72*S72</f>
        <v>440000</v>
      </c>
    </row>
    <row r="73" spans="2:23">
      <c r="B73" s="485" t="s">
        <v>273</v>
      </c>
      <c r="C73" s="486"/>
      <c r="D73" s="486"/>
      <c r="E73" s="486"/>
      <c r="F73" s="487"/>
      <c r="G73" s="122">
        <v>3</v>
      </c>
      <c r="H73" s="117">
        <f>$I$26</f>
        <v>90000</v>
      </c>
      <c r="I73" s="99">
        <f t="shared" si="0"/>
        <v>270000</v>
      </c>
      <c r="M73" s="485" t="s">
        <v>273</v>
      </c>
      <c r="N73" s="486"/>
      <c r="O73" s="486"/>
      <c r="P73" s="486"/>
      <c r="Q73" s="487"/>
      <c r="R73" s="122">
        <v>4</v>
      </c>
      <c r="S73" s="117">
        <f>$I$26</f>
        <v>90000</v>
      </c>
      <c r="T73" s="99">
        <f t="shared" si="2"/>
        <v>360000</v>
      </c>
    </row>
    <row r="74" spans="2:23">
      <c r="B74" s="485" t="s">
        <v>224</v>
      </c>
      <c r="C74" s="486"/>
      <c r="D74" s="486"/>
      <c r="E74" s="486"/>
      <c r="F74" s="487"/>
      <c r="G74" s="122">
        <v>3</v>
      </c>
      <c r="H74" s="117">
        <f>$I$27</f>
        <v>60000</v>
      </c>
      <c r="I74" s="99">
        <f t="shared" si="0"/>
        <v>180000</v>
      </c>
      <c r="M74" s="485" t="s">
        <v>224</v>
      </c>
      <c r="N74" s="486"/>
      <c r="O74" s="486"/>
      <c r="P74" s="486"/>
      <c r="Q74" s="487"/>
      <c r="R74" s="122">
        <v>4</v>
      </c>
      <c r="S74" s="117">
        <f>$I$27</f>
        <v>60000</v>
      </c>
      <c r="T74" s="99">
        <f t="shared" si="2"/>
        <v>240000</v>
      </c>
    </row>
    <row r="75" spans="2:23">
      <c r="B75" s="485" t="s">
        <v>274</v>
      </c>
      <c r="C75" s="486"/>
      <c r="D75" s="486"/>
      <c r="E75" s="486"/>
      <c r="F75" s="487"/>
      <c r="G75" s="122">
        <v>3</v>
      </c>
      <c r="H75" s="117">
        <f>$I$26</f>
        <v>90000</v>
      </c>
      <c r="I75" s="99">
        <f t="shared" si="0"/>
        <v>270000</v>
      </c>
      <c r="M75" s="485" t="s">
        <v>274</v>
      </c>
      <c r="N75" s="486"/>
      <c r="O75" s="486"/>
      <c r="P75" s="486"/>
      <c r="Q75" s="487"/>
      <c r="R75" s="122">
        <v>4</v>
      </c>
      <c r="S75" s="117">
        <f>$I$26</f>
        <v>90000</v>
      </c>
      <c r="T75" s="99">
        <f t="shared" si="2"/>
        <v>360000</v>
      </c>
    </row>
    <row r="76" spans="2:23">
      <c r="B76" s="485" t="s">
        <v>226</v>
      </c>
      <c r="C76" s="486"/>
      <c r="D76" s="486"/>
      <c r="E76" s="486"/>
      <c r="F76" s="487"/>
      <c r="G76" s="122"/>
      <c r="H76" s="117"/>
      <c r="I76" s="99">
        <f t="shared" si="0"/>
        <v>0</v>
      </c>
      <c r="M76" s="485" t="s">
        <v>226</v>
      </c>
      <c r="N76" s="486"/>
      <c r="O76" s="486"/>
      <c r="P76" s="486"/>
      <c r="Q76" s="487"/>
      <c r="R76" s="122"/>
      <c r="S76" s="117"/>
      <c r="T76" s="99">
        <f t="shared" si="2"/>
        <v>0</v>
      </c>
    </row>
    <row r="77" spans="2:23">
      <c r="B77" s="126" t="s">
        <v>227</v>
      </c>
      <c r="C77" s="127"/>
      <c r="D77" s="127"/>
      <c r="E77" s="127"/>
      <c r="F77" s="128"/>
      <c r="G77" s="122"/>
      <c r="H77" s="117"/>
      <c r="I77" s="99">
        <f t="shared" si="0"/>
        <v>0</v>
      </c>
      <c r="M77" s="126" t="s">
        <v>227</v>
      </c>
      <c r="N77" s="127"/>
      <c r="O77" s="127"/>
      <c r="P77" s="127"/>
      <c r="Q77" s="128"/>
      <c r="R77" s="122"/>
      <c r="S77" s="117"/>
      <c r="T77" s="99">
        <f t="shared" si="2"/>
        <v>0</v>
      </c>
    </row>
    <row r="78" spans="2:23">
      <c r="B78" s="126" t="s">
        <v>225</v>
      </c>
      <c r="C78" s="127"/>
      <c r="D78" s="127"/>
      <c r="E78" s="127"/>
      <c r="F78" s="128"/>
      <c r="G78" s="122"/>
      <c r="H78" s="117"/>
      <c r="I78" s="99"/>
      <c r="M78" s="126" t="s">
        <v>225</v>
      </c>
      <c r="N78" s="127"/>
      <c r="O78" s="127"/>
      <c r="P78" s="127"/>
      <c r="Q78" s="128"/>
      <c r="R78" s="122"/>
      <c r="S78" s="117"/>
      <c r="T78" s="99"/>
    </row>
    <row r="79" spans="2:23" ht="14.4" thickBot="1">
      <c r="B79" s="126"/>
      <c r="C79" s="127"/>
      <c r="D79" s="127"/>
      <c r="E79" s="127"/>
      <c r="F79" s="128"/>
      <c r="G79" s="122"/>
      <c r="H79" s="123"/>
      <c r="I79" s="99">
        <f t="shared" si="0"/>
        <v>0</v>
      </c>
      <c r="M79" s="126"/>
      <c r="N79" s="127"/>
      <c r="O79" s="127"/>
      <c r="P79" s="127"/>
      <c r="Q79" s="128"/>
      <c r="R79" s="122"/>
      <c r="S79" s="123"/>
      <c r="T79" s="99">
        <f t="shared" ref="T79:T83" si="3">R79*S79</f>
        <v>0</v>
      </c>
    </row>
    <row r="80" spans="2:23" ht="15" customHeight="1">
      <c r="B80" s="485"/>
      <c r="C80" s="486"/>
      <c r="D80" s="486"/>
      <c r="E80" s="486"/>
      <c r="F80" s="487"/>
      <c r="G80" s="122"/>
      <c r="H80" s="123"/>
      <c r="I80" s="99">
        <f t="shared" si="0"/>
        <v>0</v>
      </c>
      <c r="J80" s="499" t="s">
        <v>275</v>
      </c>
      <c r="K80" s="500"/>
      <c r="L80" s="501"/>
      <c r="M80" s="485"/>
      <c r="N80" s="486"/>
      <c r="O80" s="486"/>
      <c r="P80" s="486"/>
      <c r="Q80" s="487"/>
      <c r="R80" s="122"/>
      <c r="S80" s="123"/>
      <c r="T80" s="99">
        <f t="shared" si="3"/>
        <v>0</v>
      </c>
      <c r="U80" s="499" t="s">
        <v>275</v>
      </c>
      <c r="V80" s="500"/>
      <c r="W80" s="501"/>
    </row>
    <row r="81" spans="2:23" ht="15.75" customHeight="1" thickBot="1">
      <c r="B81" s="485"/>
      <c r="C81" s="486"/>
      <c r="D81" s="486"/>
      <c r="E81" s="486"/>
      <c r="F81" s="487"/>
      <c r="G81" s="122"/>
      <c r="H81" s="123"/>
      <c r="I81" s="99">
        <f t="shared" si="0"/>
        <v>0</v>
      </c>
      <c r="J81" s="502"/>
      <c r="K81" s="503"/>
      <c r="L81" s="504"/>
      <c r="M81" s="485"/>
      <c r="N81" s="486"/>
      <c r="O81" s="486"/>
      <c r="P81" s="486"/>
      <c r="Q81" s="487"/>
      <c r="R81" s="122"/>
      <c r="S81" s="123"/>
      <c r="T81" s="99">
        <f t="shared" si="3"/>
        <v>0</v>
      </c>
      <c r="U81" s="502"/>
      <c r="V81" s="503"/>
      <c r="W81" s="504"/>
    </row>
    <row r="82" spans="2:23" ht="15" customHeight="1">
      <c r="B82" s="485"/>
      <c r="C82" s="486"/>
      <c r="D82" s="486"/>
      <c r="E82" s="486"/>
      <c r="F82" s="487"/>
      <c r="G82" s="122"/>
      <c r="H82" s="123"/>
      <c r="I82" s="99">
        <f t="shared" si="0"/>
        <v>0</v>
      </c>
      <c r="J82" s="491">
        <f>SUM(I72:I83)</f>
        <v>1160000</v>
      </c>
      <c r="K82" s="492"/>
      <c r="L82" s="493"/>
      <c r="M82" s="485"/>
      <c r="N82" s="486"/>
      <c r="O82" s="486"/>
      <c r="P82" s="486"/>
      <c r="Q82" s="487"/>
      <c r="R82" s="122"/>
      <c r="S82" s="123"/>
      <c r="T82" s="99">
        <f t="shared" si="3"/>
        <v>0</v>
      </c>
      <c r="U82" s="491">
        <f>SUM(T72:T83)</f>
        <v>1400000</v>
      </c>
      <c r="V82" s="492"/>
      <c r="W82" s="493"/>
    </row>
    <row r="83" spans="2:23" ht="15" customHeight="1" thickBot="1">
      <c r="B83" s="129"/>
      <c r="C83" s="130"/>
      <c r="D83" s="130"/>
      <c r="E83" s="130"/>
      <c r="F83" s="131"/>
      <c r="G83" s="124"/>
      <c r="H83" s="125"/>
      <c r="I83" s="100">
        <f t="shared" si="0"/>
        <v>0</v>
      </c>
      <c r="J83" s="494"/>
      <c r="K83" s="495"/>
      <c r="L83" s="496"/>
      <c r="M83" s="129"/>
      <c r="N83" s="130"/>
      <c r="O83" s="130"/>
      <c r="P83" s="130"/>
      <c r="Q83" s="131"/>
      <c r="R83" s="124"/>
      <c r="S83" s="125"/>
      <c r="T83" s="100">
        <f t="shared" si="3"/>
        <v>0</v>
      </c>
      <c r="U83" s="494"/>
      <c r="V83" s="495"/>
      <c r="W83" s="496"/>
    </row>
    <row r="84" spans="2:23" ht="15" customHeight="1" thickBot="1">
      <c r="B84" s="511" t="s">
        <v>25</v>
      </c>
      <c r="C84" s="512"/>
      <c r="D84" s="512"/>
      <c r="E84" s="512"/>
      <c r="F84" s="512"/>
      <c r="G84" s="512"/>
      <c r="H84" s="512"/>
      <c r="I84" s="513"/>
      <c r="J84" s="132"/>
      <c r="K84" s="132"/>
      <c r="L84" s="132"/>
      <c r="M84" s="511" t="s">
        <v>25</v>
      </c>
      <c r="N84" s="512"/>
      <c r="O84" s="512"/>
      <c r="P84" s="512"/>
      <c r="Q84" s="512"/>
      <c r="R84" s="512"/>
      <c r="S84" s="512"/>
      <c r="T84" s="513"/>
      <c r="U84" s="132"/>
      <c r="V84" s="132"/>
      <c r="W84" s="132"/>
    </row>
    <row r="85" spans="2:23" ht="15" customHeight="1" thickBot="1">
      <c r="B85" s="514" t="s">
        <v>267</v>
      </c>
      <c r="C85" s="515"/>
      <c r="D85" s="515"/>
      <c r="E85" s="515"/>
      <c r="F85" s="515"/>
      <c r="G85" s="133" t="s">
        <v>266</v>
      </c>
      <c r="H85" s="134" t="s">
        <v>0</v>
      </c>
      <c r="I85" s="101" t="s">
        <v>265</v>
      </c>
      <c r="J85" s="132"/>
      <c r="K85" s="132"/>
      <c r="L85" s="132"/>
      <c r="M85" s="514" t="s">
        <v>267</v>
      </c>
      <c r="N85" s="515"/>
      <c r="O85" s="515"/>
      <c r="P85" s="515"/>
      <c r="Q85" s="515"/>
      <c r="R85" s="133" t="s">
        <v>266</v>
      </c>
      <c r="S85" s="134" t="s">
        <v>0</v>
      </c>
      <c r="T85" s="101" t="s">
        <v>265</v>
      </c>
      <c r="U85" s="132"/>
      <c r="V85" s="132"/>
      <c r="W85" s="132"/>
    </row>
    <row r="86" spans="2:23" ht="15" customHeight="1">
      <c r="B86" s="516" t="s">
        <v>31</v>
      </c>
      <c r="C86" s="517"/>
      <c r="D86" s="517"/>
      <c r="E86" s="517"/>
      <c r="F86" s="518"/>
      <c r="G86" s="116">
        <v>1</v>
      </c>
      <c r="H86" s="117">
        <f>$R$4</f>
        <v>300000</v>
      </c>
      <c r="I86" s="99">
        <f t="shared" ref="I86:I88" si="4">G86*H86</f>
        <v>300000</v>
      </c>
      <c r="J86" s="132"/>
      <c r="K86" s="132"/>
      <c r="L86" s="132"/>
      <c r="M86" s="516" t="s">
        <v>31</v>
      </c>
      <c r="N86" s="517"/>
      <c r="O86" s="517"/>
      <c r="P86" s="517"/>
      <c r="Q86" s="518"/>
      <c r="R86" s="116">
        <v>1</v>
      </c>
      <c r="S86" s="117">
        <f>$R$4</f>
        <v>300000</v>
      </c>
      <c r="T86" s="99">
        <f t="shared" ref="T86:T88" si="5">R86*S86</f>
        <v>300000</v>
      </c>
      <c r="U86" s="132"/>
      <c r="V86" s="132"/>
      <c r="W86" s="132"/>
    </row>
    <row r="87" spans="2:23" ht="15" customHeight="1">
      <c r="B87" s="519" t="s">
        <v>11</v>
      </c>
      <c r="C87" s="520"/>
      <c r="D87" s="520"/>
      <c r="E87" s="520"/>
      <c r="F87" s="521"/>
      <c r="G87" s="122">
        <v>1</v>
      </c>
      <c r="H87" s="117">
        <f>$R$5</f>
        <v>65000</v>
      </c>
      <c r="I87" s="99">
        <f t="shared" si="4"/>
        <v>65000</v>
      </c>
      <c r="J87" s="132"/>
      <c r="K87" s="132"/>
      <c r="L87" s="132"/>
      <c r="M87" s="519" t="s">
        <v>11</v>
      </c>
      <c r="N87" s="520"/>
      <c r="O87" s="520"/>
      <c r="P87" s="520"/>
      <c r="Q87" s="521"/>
      <c r="R87" s="122">
        <v>1</v>
      </c>
      <c r="S87" s="117">
        <f>$R$5</f>
        <v>65000</v>
      </c>
      <c r="T87" s="99">
        <f t="shared" si="5"/>
        <v>65000</v>
      </c>
      <c r="U87" s="132"/>
      <c r="V87" s="132"/>
      <c r="W87" s="132"/>
    </row>
    <row r="88" spans="2:23" ht="15" customHeight="1">
      <c r="B88" s="519" t="s">
        <v>32</v>
      </c>
      <c r="C88" s="520"/>
      <c r="D88" s="520"/>
      <c r="E88" s="520"/>
      <c r="F88" s="521"/>
      <c r="G88" s="122">
        <v>1</v>
      </c>
      <c r="H88" s="117">
        <f>$R$6</f>
        <v>250000</v>
      </c>
      <c r="I88" s="99">
        <f t="shared" si="4"/>
        <v>250000</v>
      </c>
      <c r="J88" s="132"/>
      <c r="K88" s="132"/>
      <c r="L88" s="132"/>
      <c r="M88" s="519" t="s">
        <v>32</v>
      </c>
      <c r="N88" s="520"/>
      <c r="O88" s="520"/>
      <c r="P88" s="520"/>
      <c r="Q88" s="521"/>
      <c r="R88" s="122">
        <v>1</v>
      </c>
      <c r="S88" s="117">
        <f>$R$6</f>
        <v>250000</v>
      </c>
      <c r="T88" s="99">
        <f t="shared" si="5"/>
        <v>250000</v>
      </c>
      <c r="U88" s="132"/>
      <c r="V88" s="132"/>
      <c r="W88" s="132"/>
    </row>
    <row r="89" spans="2:23" ht="15.75" customHeight="1">
      <c r="B89" s="519" t="s">
        <v>327</v>
      </c>
      <c r="C89" s="520"/>
      <c r="D89" s="520"/>
      <c r="E89" s="520"/>
      <c r="F89" s="521"/>
      <c r="G89" s="122">
        <v>54</v>
      </c>
      <c r="H89" s="117">
        <f>$R$7</f>
        <v>30000</v>
      </c>
      <c r="I89" s="99">
        <f>G89*H89</f>
        <v>1620000</v>
      </c>
      <c r="M89" s="519" t="s">
        <v>327</v>
      </c>
      <c r="N89" s="520"/>
      <c r="O89" s="520"/>
      <c r="P89" s="520"/>
      <c r="Q89" s="521"/>
      <c r="R89" s="122">
        <v>100</v>
      </c>
      <c r="S89" s="117">
        <f>$R$7</f>
        <v>30000</v>
      </c>
      <c r="T89" s="99">
        <f>R89*S89</f>
        <v>3000000</v>
      </c>
    </row>
    <row r="90" spans="2:23" ht="15" customHeight="1">
      <c r="B90" s="519" t="s">
        <v>100</v>
      </c>
      <c r="C90" s="520"/>
      <c r="D90" s="520"/>
      <c r="E90" s="520"/>
      <c r="F90" s="521"/>
      <c r="G90" s="122"/>
      <c r="H90" s="117">
        <f>$R$8</f>
        <v>30000</v>
      </c>
      <c r="I90" s="99">
        <f t="shared" ref="I90:I150" si="6">G90*H90</f>
        <v>0</v>
      </c>
      <c r="M90" s="519" t="s">
        <v>100</v>
      </c>
      <c r="N90" s="520"/>
      <c r="O90" s="520"/>
      <c r="P90" s="520"/>
      <c r="Q90" s="521"/>
      <c r="R90" s="122"/>
      <c r="S90" s="117">
        <f>$R$8</f>
        <v>30000</v>
      </c>
      <c r="T90" s="99">
        <f t="shared" ref="T90:T97" si="7">R90*S90</f>
        <v>0</v>
      </c>
    </row>
    <row r="91" spans="2:23" ht="15.75" customHeight="1">
      <c r="B91" s="519" t="s">
        <v>328</v>
      </c>
      <c r="C91" s="520"/>
      <c r="D91" s="520"/>
      <c r="E91" s="520"/>
      <c r="F91" s="521"/>
      <c r="G91" s="122"/>
      <c r="H91" s="117">
        <f>$R$9</f>
        <v>50000</v>
      </c>
      <c r="I91" s="99">
        <f t="shared" si="6"/>
        <v>0</v>
      </c>
      <c r="M91" s="519" t="s">
        <v>328</v>
      </c>
      <c r="N91" s="520"/>
      <c r="O91" s="520"/>
      <c r="P91" s="520"/>
      <c r="Q91" s="521"/>
      <c r="R91" s="122"/>
      <c r="S91" s="117">
        <f>$R$9</f>
        <v>50000</v>
      </c>
      <c r="T91" s="99">
        <f t="shared" si="7"/>
        <v>0</v>
      </c>
    </row>
    <row r="92" spans="2:23">
      <c r="B92" s="519" t="s">
        <v>325</v>
      </c>
      <c r="C92" s="520"/>
      <c r="D92" s="520"/>
      <c r="E92" s="520"/>
      <c r="F92" s="521"/>
      <c r="G92" s="122">
        <v>54</v>
      </c>
      <c r="H92" s="117">
        <f>$R$10</f>
        <v>15000</v>
      </c>
      <c r="I92" s="99">
        <f t="shared" si="6"/>
        <v>810000</v>
      </c>
      <c r="M92" s="519" t="s">
        <v>325</v>
      </c>
      <c r="N92" s="520"/>
      <c r="O92" s="520"/>
      <c r="P92" s="520"/>
      <c r="Q92" s="521"/>
      <c r="R92" s="122">
        <v>50</v>
      </c>
      <c r="S92" s="117">
        <f>$R$10</f>
        <v>15000</v>
      </c>
      <c r="T92" s="99">
        <f t="shared" si="7"/>
        <v>750000</v>
      </c>
    </row>
    <row r="93" spans="2:23" ht="14.4" thickBot="1">
      <c r="B93" s="519" t="s">
        <v>326</v>
      </c>
      <c r="C93" s="520"/>
      <c r="D93" s="520"/>
      <c r="E93" s="520"/>
      <c r="F93" s="521"/>
      <c r="G93" s="122"/>
      <c r="H93" s="117">
        <f>$R$11</f>
        <v>15000</v>
      </c>
      <c r="I93" s="99">
        <f t="shared" si="6"/>
        <v>0</v>
      </c>
      <c r="M93" s="519" t="s">
        <v>326</v>
      </c>
      <c r="N93" s="520"/>
      <c r="O93" s="520"/>
      <c r="P93" s="520"/>
      <c r="Q93" s="521"/>
      <c r="R93" s="122">
        <v>50</v>
      </c>
      <c r="S93" s="117">
        <f>$R$11</f>
        <v>15000</v>
      </c>
      <c r="T93" s="99">
        <f t="shared" si="7"/>
        <v>750000</v>
      </c>
    </row>
    <row r="94" spans="2:23" ht="15" customHeight="1">
      <c r="B94" s="135" t="s">
        <v>276</v>
      </c>
      <c r="C94" s="136"/>
      <c r="D94" s="136"/>
      <c r="E94" s="136"/>
      <c r="F94" s="137"/>
      <c r="G94" s="122">
        <v>4</v>
      </c>
      <c r="H94" s="117">
        <f>$R$12</f>
        <v>75000</v>
      </c>
      <c r="I94" s="99">
        <f t="shared" si="6"/>
        <v>300000</v>
      </c>
      <c r="J94" s="499" t="s">
        <v>275</v>
      </c>
      <c r="K94" s="500"/>
      <c r="L94" s="501"/>
      <c r="M94" s="135" t="s">
        <v>276</v>
      </c>
      <c r="N94" s="136"/>
      <c r="O94" s="136"/>
      <c r="P94" s="136"/>
      <c r="Q94" s="137"/>
      <c r="R94" s="122">
        <v>6</v>
      </c>
      <c r="S94" s="117">
        <f>$R$12</f>
        <v>75000</v>
      </c>
      <c r="T94" s="99">
        <f t="shared" si="7"/>
        <v>450000</v>
      </c>
      <c r="U94" s="499" t="s">
        <v>275</v>
      </c>
      <c r="V94" s="500"/>
      <c r="W94" s="501"/>
    </row>
    <row r="95" spans="2:23" ht="15.75" customHeight="1" thickBot="1">
      <c r="B95" s="135" t="s">
        <v>277</v>
      </c>
      <c r="C95" s="136"/>
      <c r="D95" s="136"/>
      <c r="E95" s="136"/>
      <c r="F95" s="137"/>
      <c r="G95" s="122">
        <v>2</v>
      </c>
      <c r="H95" s="117">
        <f>$R$13</f>
        <v>75000</v>
      </c>
      <c r="I95" s="99">
        <f t="shared" si="6"/>
        <v>150000</v>
      </c>
      <c r="J95" s="502"/>
      <c r="K95" s="503"/>
      <c r="L95" s="504"/>
      <c r="M95" s="135" t="s">
        <v>277</v>
      </c>
      <c r="N95" s="136"/>
      <c r="O95" s="136"/>
      <c r="P95" s="136"/>
      <c r="Q95" s="137"/>
      <c r="R95" s="122">
        <v>2</v>
      </c>
      <c r="S95" s="117">
        <f>$R$13</f>
        <v>75000</v>
      </c>
      <c r="T95" s="99">
        <f t="shared" si="7"/>
        <v>150000</v>
      </c>
      <c r="U95" s="502"/>
      <c r="V95" s="503"/>
      <c r="W95" s="504"/>
    </row>
    <row r="96" spans="2:23" ht="15" customHeight="1">
      <c r="B96" s="519" t="s">
        <v>6</v>
      </c>
      <c r="C96" s="520"/>
      <c r="D96" s="520"/>
      <c r="E96" s="520"/>
      <c r="F96" s="521"/>
      <c r="G96" s="122">
        <v>18</v>
      </c>
      <c r="H96" s="117">
        <f>$R$14</f>
        <v>30000</v>
      </c>
      <c r="I96" s="99">
        <f t="shared" si="6"/>
        <v>540000</v>
      </c>
      <c r="J96" s="491">
        <f>SUM(I86:I97)</f>
        <v>4155000</v>
      </c>
      <c r="K96" s="492"/>
      <c r="L96" s="493"/>
      <c r="M96" s="519" t="s">
        <v>75</v>
      </c>
      <c r="N96" s="520"/>
      <c r="O96" s="520"/>
      <c r="P96" s="520"/>
      <c r="Q96" s="521"/>
      <c r="R96" s="122">
        <v>27</v>
      </c>
      <c r="S96" s="117">
        <f>$R$14</f>
        <v>30000</v>
      </c>
      <c r="T96" s="99">
        <f t="shared" si="7"/>
        <v>810000</v>
      </c>
      <c r="U96" s="491">
        <f>SUM(T86:T97)</f>
        <v>6741000</v>
      </c>
      <c r="V96" s="492"/>
      <c r="W96" s="493"/>
    </row>
    <row r="97" spans="2:23" ht="15.75" customHeight="1" thickBot="1">
      <c r="B97" s="519" t="s">
        <v>12</v>
      </c>
      <c r="C97" s="520"/>
      <c r="D97" s="520"/>
      <c r="E97" s="520"/>
      <c r="F97" s="521"/>
      <c r="G97" s="124">
        <v>10</v>
      </c>
      <c r="H97" s="117">
        <f>$R$15</f>
        <v>12000</v>
      </c>
      <c r="I97" s="99">
        <f t="shared" si="6"/>
        <v>120000</v>
      </c>
      <c r="J97" s="494"/>
      <c r="K97" s="495"/>
      <c r="L97" s="496"/>
      <c r="M97" s="519" t="s">
        <v>12</v>
      </c>
      <c r="N97" s="520"/>
      <c r="O97" s="520"/>
      <c r="P97" s="520"/>
      <c r="Q97" s="521"/>
      <c r="R97" s="124">
        <v>18</v>
      </c>
      <c r="S97" s="117">
        <f>$R$15</f>
        <v>12000</v>
      </c>
      <c r="T97" s="99">
        <f t="shared" si="7"/>
        <v>216000</v>
      </c>
      <c r="U97" s="494"/>
      <c r="V97" s="495"/>
      <c r="W97" s="496"/>
    </row>
    <row r="98" spans="2:23" ht="15.75" customHeight="1" thickBot="1">
      <c r="B98" s="522" t="s">
        <v>27</v>
      </c>
      <c r="C98" s="523"/>
      <c r="D98" s="523"/>
      <c r="E98" s="523"/>
      <c r="F98" s="523"/>
      <c r="G98" s="523"/>
      <c r="H98" s="523"/>
      <c r="I98" s="524"/>
      <c r="M98" s="522" t="s">
        <v>27</v>
      </c>
      <c r="N98" s="523"/>
      <c r="O98" s="523"/>
      <c r="P98" s="523"/>
      <c r="Q98" s="523"/>
      <c r="R98" s="523"/>
      <c r="S98" s="523"/>
      <c r="T98" s="524"/>
    </row>
    <row r="99" spans="2:23" ht="15.75" customHeight="1" thickBot="1">
      <c r="B99" s="522" t="s">
        <v>267</v>
      </c>
      <c r="C99" s="523"/>
      <c r="D99" s="523"/>
      <c r="E99" s="523"/>
      <c r="F99" s="523"/>
      <c r="G99" s="138" t="s">
        <v>266</v>
      </c>
      <c r="H99" s="138" t="s">
        <v>0</v>
      </c>
      <c r="I99" s="102" t="s">
        <v>265</v>
      </c>
      <c r="M99" s="522" t="s">
        <v>267</v>
      </c>
      <c r="N99" s="523"/>
      <c r="O99" s="523"/>
      <c r="P99" s="523"/>
      <c r="Q99" s="523"/>
      <c r="R99" s="138" t="s">
        <v>266</v>
      </c>
      <c r="S99" s="138" t="s">
        <v>0</v>
      </c>
      <c r="T99" s="102" t="s">
        <v>265</v>
      </c>
    </row>
    <row r="100" spans="2:23" ht="15.75" customHeight="1">
      <c r="B100" s="525" t="s">
        <v>278</v>
      </c>
      <c r="C100" s="526"/>
      <c r="D100" s="526"/>
      <c r="E100" s="526"/>
      <c r="F100" s="527"/>
      <c r="G100" s="116">
        <v>1</v>
      </c>
      <c r="H100" s="117">
        <v>1500000</v>
      </c>
      <c r="I100" s="99">
        <f t="shared" si="6"/>
        <v>1500000</v>
      </c>
      <c r="M100" s="525" t="s">
        <v>278</v>
      </c>
      <c r="N100" s="526"/>
      <c r="O100" s="526"/>
      <c r="P100" s="526"/>
      <c r="Q100" s="527"/>
      <c r="R100" s="116">
        <v>1</v>
      </c>
      <c r="S100" s="117">
        <v>1500000</v>
      </c>
      <c r="T100" s="99">
        <f t="shared" ref="T100:T111" si="8">R100*S100</f>
        <v>1500000</v>
      </c>
    </row>
    <row r="101" spans="2:23">
      <c r="B101" s="525" t="s">
        <v>279</v>
      </c>
      <c r="C101" s="526"/>
      <c r="D101" s="526"/>
      <c r="E101" s="526"/>
      <c r="F101" s="527"/>
      <c r="G101" s="122"/>
      <c r="H101" s="123"/>
      <c r="I101" s="99">
        <f t="shared" si="6"/>
        <v>0</v>
      </c>
      <c r="M101" s="525" t="s">
        <v>279</v>
      </c>
      <c r="N101" s="526"/>
      <c r="O101" s="526"/>
      <c r="P101" s="526"/>
      <c r="Q101" s="527"/>
      <c r="R101" s="122"/>
      <c r="S101" s="123"/>
      <c r="T101" s="99">
        <f t="shared" si="8"/>
        <v>0</v>
      </c>
    </row>
    <row r="102" spans="2:23">
      <c r="B102" s="528" t="s">
        <v>280</v>
      </c>
      <c r="C102" s="529"/>
      <c r="D102" s="529"/>
      <c r="E102" s="529"/>
      <c r="F102" s="530"/>
      <c r="G102" s="122">
        <v>1</v>
      </c>
      <c r="H102" s="123">
        <v>1000000</v>
      </c>
      <c r="I102" s="99">
        <f t="shared" si="6"/>
        <v>1000000</v>
      </c>
      <c r="M102" s="528" t="s">
        <v>280</v>
      </c>
      <c r="N102" s="529"/>
      <c r="O102" s="529"/>
      <c r="P102" s="529"/>
      <c r="Q102" s="530"/>
      <c r="R102" s="122">
        <v>1</v>
      </c>
      <c r="S102" s="123">
        <v>1000000</v>
      </c>
      <c r="T102" s="99">
        <f t="shared" si="8"/>
        <v>1000000</v>
      </c>
    </row>
    <row r="103" spans="2:23">
      <c r="B103" s="528" t="s">
        <v>94</v>
      </c>
      <c r="C103" s="529"/>
      <c r="D103" s="529"/>
      <c r="E103" s="529"/>
      <c r="F103" s="530"/>
      <c r="G103" s="122"/>
      <c r="H103" s="123"/>
      <c r="I103" s="99">
        <f t="shared" si="6"/>
        <v>0</v>
      </c>
      <c r="M103" s="528" t="s">
        <v>94</v>
      </c>
      <c r="N103" s="529"/>
      <c r="O103" s="529"/>
      <c r="P103" s="529"/>
      <c r="Q103" s="530"/>
      <c r="R103" s="122"/>
      <c r="S103" s="123"/>
      <c r="T103" s="99">
        <f t="shared" si="8"/>
        <v>0</v>
      </c>
    </row>
    <row r="104" spans="2:23">
      <c r="B104" s="139" t="s">
        <v>281</v>
      </c>
      <c r="C104" s="140"/>
      <c r="D104" s="140"/>
      <c r="E104" s="140"/>
      <c r="F104" s="141"/>
      <c r="G104" s="122"/>
      <c r="H104" s="123"/>
      <c r="I104" s="99">
        <f t="shared" si="6"/>
        <v>0</v>
      </c>
      <c r="M104" s="139" t="s">
        <v>281</v>
      </c>
      <c r="N104" s="140"/>
      <c r="O104" s="140"/>
      <c r="P104" s="140"/>
      <c r="Q104" s="141"/>
      <c r="R104" s="122">
        <v>1</v>
      </c>
      <c r="S104" s="123">
        <v>850000</v>
      </c>
      <c r="T104" s="99">
        <f t="shared" si="8"/>
        <v>850000</v>
      </c>
    </row>
    <row r="105" spans="2:23">
      <c r="B105" s="528" t="s">
        <v>284</v>
      </c>
      <c r="C105" s="529"/>
      <c r="D105" s="529"/>
      <c r="E105" s="529"/>
      <c r="F105" s="530"/>
      <c r="G105" s="122">
        <v>1</v>
      </c>
      <c r="H105" s="123">
        <v>600000</v>
      </c>
      <c r="I105" s="99">
        <f t="shared" si="6"/>
        <v>600000</v>
      </c>
      <c r="M105" s="528" t="s">
        <v>284</v>
      </c>
      <c r="N105" s="529"/>
      <c r="O105" s="529"/>
      <c r="P105" s="529"/>
      <c r="Q105" s="530"/>
      <c r="R105" s="122">
        <v>2</v>
      </c>
      <c r="S105" s="123">
        <v>600000</v>
      </c>
      <c r="T105" s="99">
        <f t="shared" si="8"/>
        <v>1200000</v>
      </c>
    </row>
    <row r="106" spans="2:23">
      <c r="B106" s="528" t="s">
        <v>285</v>
      </c>
      <c r="C106" s="529"/>
      <c r="D106" s="529"/>
      <c r="E106" s="529"/>
      <c r="F106" s="530"/>
      <c r="G106" s="122"/>
      <c r="H106" s="123"/>
      <c r="I106" s="99">
        <f t="shared" si="6"/>
        <v>0</v>
      </c>
      <c r="M106" s="528" t="s">
        <v>285</v>
      </c>
      <c r="N106" s="529"/>
      <c r="O106" s="529"/>
      <c r="P106" s="529"/>
      <c r="Q106" s="530"/>
      <c r="R106" s="122"/>
      <c r="S106" s="123"/>
      <c r="T106" s="99">
        <f t="shared" si="8"/>
        <v>0</v>
      </c>
    </row>
    <row r="107" spans="2:23" ht="14.4" thickBot="1">
      <c r="B107" s="139" t="s">
        <v>288</v>
      </c>
      <c r="C107" s="140"/>
      <c r="D107" s="140"/>
      <c r="E107" s="140"/>
      <c r="F107" s="141"/>
      <c r="G107" s="122"/>
      <c r="H107" s="123"/>
      <c r="I107" s="99">
        <f t="shared" si="6"/>
        <v>0</v>
      </c>
      <c r="M107" s="139" t="s">
        <v>288</v>
      </c>
      <c r="N107" s="140"/>
      <c r="O107" s="140"/>
      <c r="P107" s="140"/>
      <c r="Q107" s="141"/>
      <c r="R107" s="122"/>
      <c r="S107" s="123"/>
      <c r="T107" s="99">
        <f t="shared" si="8"/>
        <v>0</v>
      </c>
    </row>
    <row r="108" spans="2:23" ht="15" customHeight="1">
      <c r="B108" s="528" t="s">
        <v>289</v>
      </c>
      <c r="C108" s="529"/>
      <c r="D108" s="529"/>
      <c r="E108" s="529"/>
      <c r="F108" s="530"/>
      <c r="G108" s="122">
        <v>1</v>
      </c>
      <c r="H108" s="123">
        <v>600000</v>
      </c>
      <c r="I108" s="99">
        <f t="shared" si="6"/>
        <v>600000</v>
      </c>
      <c r="J108" s="499" t="s">
        <v>275</v>
      </c>
      <c r="K108" s="500"/>
      <c r="L108" s="501"/>
      <c r="M108" s="528" t="s">
        <v>289</v>
      </c>
      <c r="N108" s="529"/>
      <c r="O108" s="529"/>
      <c r="P108" s="529"/>
      <c r="Q108" s="530"/>
      <c r="R108" s="122">
        <v>1</v>
      </c>
      <c r="S108" s="123">
        <v>600000</v>
      </c>
      <c r="T108" s="99">
        <f t="shared" si="8"/>
        <v>600000</v>
      </c>
      <c r="U108" s="499" t="s">
        <v>275</v>
      </c>
      <c r="V108" s="500"/>
      <c r="W108" s="501"/>
    </row>
    <row r="109" spans="2:23" ht="15.75" customHeight="1" thickBot="1">
      <c r="B109" s="528" t="s">
        <v>290</v>
      </c>
      <c r="C109" s="529"/>
      <c r="D109" s="529"/>
      <c r="E109" s="529"/>
      <c r="F109" s="530"/>
      <c r="G109" s="122">
        <v>1</v>
      </c>
      <c r="H109" s="123">
        <v>250000</v>
      </c>
      <c r="I109" s="99">
        <f t="shared" si="6"/>
        <v>250000</v>
      </c>
      <c r="J109" s="502"/>
      <c r="K109" s="503"/>
      <c r="L109" s="504"/>
      <c r="M109" s="528" t="s">
        <v>290</v>
      </c>
      <c r="N109" s="529"/>
      <c r="O109" s="529"/>
      <c r="P109" s="529"/>
      <c r="Q109" s="530"/>
      <c r="R109" s="122">
        <v>1</v>
      </c>
      <c r="S109" s="123">
        <v>250000</v>
      </c>
      <c r="T109" s="99">
        <f t="shared" si="8"/>
        <v>250000</v>
      </c>
      <c r="U109" s="502"/>
      <c r="V109" s="503"/>
      <c r="W109" s="504"/>
    </row>
    <row r="110" spans="2:23" ht="15" customHeight="1">
      <c r="B110" s="528"/>
      <c r="C110" s="529"/>
      <c r="D110" s="529"/>
      <c r="E110" s="529"/>
      <c r="F110" s="530"/>
      <c r="G110" s="122"/>
      <c r="H110" s="123"/>
      <c r="I110" s="99">
        <f t="shared" si="6"/>
        <v>0</v>
      </c>
      <c r="J110" s="491">
        <f>SUM(I100:I111)</f>
        <v>3950000</v>
      </c>
      <c r="K110" s="492"/>
      <c r="L110" s="493"/>
      <c r="M110" s="528"/>
      <c r="N110" s="529"/>
      <c r="O110" s="529"/>
      <c r="P110" s="529"/>
      <c r="Q110" s="530"/>
      <c r="R110" s="122"/>
      <c r="S110" s="123"/>
      <c r="T110" s="99">
        <f t="shared" si="8"/>
        <v>0</v>
      </c>
      <c r="U110" s="491">
        <f>SUM(T100:T111)</f>
        <v>5400000</v>
      </c>
      <c r="V110" s="492"/>
      <c r="W110" s="493"/>
    </row>
    <row r="111" spans="2:23" ht="15.75" customHeight="1" thickBot="1">
      <c r="B111" s="537"/>
      <c r="C111" s="538"/>
      <c r="D111" s="538"/>
      <c r="E111" s="538"/>
      <c r="F111" s="539"/>
      <c r="G111" s="124"/>
      <c r="H111" s="125"/>
      <c r="I111" s="100">
        <f t="shared" si="6"/>
        <v>0</v>
      </c>
      <c r="J111" s="494"/>
      <c r="K111" s="495"/>
      <c r="L111" s="496"/>
      <c r="M111" s="537"/>
      <c r="N111" s="538"/>
      <c r="O111" s="538"/>
      <c r="P111" s="538"/>
      <c r="Q111" s="539"/>
      <c r="R111" s="124"/>
      <c r="S111" s="125"/>
      <c r="T111" s="100">
        <f t="shared" si="8"/>
        <v>0</v>
      </c>
      <c r="U111" s="494"/>
      <c r="V111" s="495"/>
      <c r="W111" s="496"/>
    </row>
    <row r="112" spans="2:23" ht="14.4" thickBot="1">
      <c r="B112" s="531" t="s">
        <v>26</v>
      </c>
      <c r="C112" s="532"/>
      <c r="D112" s="532"/>
      <c r="E112" s="532"/>
      <c r="F112" s="532"/>
      <c r="G112" s="532"/>
      <c r="H112" s="532"/>
      <c r="I112" s="533"/>
      <c r="J112" s="132"/>
      <c r="K112" s="132"/>
      <c r="L112" s="132"/>
      <c r="M112" s="531" t="s">
        <v>26</v>
      </c>
      <c r="N112" s="532"/>
      <c r="O112" s="532"/>
      <c r="P112" s="532"/>
      <c r="Q112" s="532"/>
      <c r="R112" s="532"/>
      <c r="S112" s="532"/>
      <c r="T112" s="533"/>
      <c r="U112" s="132"/>
      <c r="V112" s="132"/>
      <c r="W112" s="132"/>
    </row>
    <row r="113" spans="2:23" ht="14.4" thickBot="1">
      <c r="B113" s="531" t="s">
        <v>267</v>
      </c>
      <c r="C113" s="532"/>
      <c r="D113" s="532"/>
      <c r="E113" s="532"/>
      <c r="F113" s="532"/>
      <c r="G113" s="142" t="s">
        <v>266</v>
      </c>
      <c r="H113" s="142" t="s">
        <v>0</v>
      </c>
      <c r="I113" s="103" t="s">
        <v>265</v>
      </c>
      <c r="J113" s="132"/>
      <c r="K113" s="132"/>
      <c r="L113" s="132"/>
      <c r="M113" s="531" t="s">
        <v>267</v>
      </c>
      <c r="N113" s="532"/>
      <c r="O113" s="532"/>
      <c r="P113" s="532"/>
      <c r="Q113" s="532"/>
      <c r="R113" s="142" t="s">
        <v>266</v>
      </c>
      <c r="S113" s="142" t="s">
        <v>0</v>
      </c>
      <c r="T113" s="103" t="s">
        <v>265</v>
      </c>
      <c r="U113" s="132"/>
      <c r="V113" s="132"/>
      <c r="W113" s="132"/>
    </row>
    <row r="114" spans="2:23">
      <c r="B114" s="534" t="s">
        <v>296</v>
      </c>
      <c r="C114" s="535"/>
      <c r="D114" s="535"/>
      <c r="E114" s="535"/>
      <c r="F114" s="536"/>
      <c r="G114" s="143">
        <v>1</v>
      </c>
      <c r="H114" s="144">
        <v>50000</v>
      </c>
      <c r="I114" s="104">
        <f t="shared" si="6"/>
        <v>50000</v>
      </c>
      <c r="M114" s="534" t="s">
        <v>296</v>
      </c>
      <c r="N114" s="535"/>
      <c r="O114" s="535"/>
      <c r="P114" s="535"/>
      <c r="Q114" s="536"/>
      <c r="R114" s="143">
        <v>2</v>
      </c>
      <c r="S114" s="144">
        <v>50000</v>
      </c>
      <c r="T114" s="104">
        <f t="shared" ref="T114:T130" si="9">R114*S114</f>
        <v>100000</v>
      </c>
    </row>
    <row r="115" spans="2:23">
      <c r="B115" s="540" t="s">
        <v>295</v>
      </c>
      <c r="C115" s="541"/>
      <c r="D115" s="541"/>
      <c r="E115" s="541"/>
      <c r="F115" s="542"/>
      <c r="G115" s="122">
        <v>1</v>
      </c>
      <c r="H115" s="123">
        <v>15000</v>
      </c>
      <c r="I115" s="99">
        <f t="shared" si="6"/>
        <v>15000</v>
      </c>
      <c r="M115" s="540" t="s">
        <v>295</v>
      </c>
      <c r="N115" s="541"/>
      <c r="O115" s="541"/>
      <c r="P115" s="541"/>
      <c r="Q115" s="542"/>
      <c r="R115" s="122">
        <v>1</v>
      </c>
      <c r="S115" s="123">
        <v>15000</v>
      </c>
      <c r="T115" s="99">
        <f t="shared" si="9"/>
        <v>15000</v>
      </c>
    </row>
    <row r="116" spans="2:23">
      <c r="B116" s="540" t="s">
        <v>330</v>
      </c>
      <c r="C116" s="541"/>
      <c r="D116" s="541"/>
      <c r="E116" s="541"/>
      <c r="F116" s="542"/>
      <c r="G116" s="122">
        <v>1</v>
      </c>
      <c r="H116" s="123">
        <v>15000</v>
      </c>
      <c r="I116" s="99">
        <f t="shared" si="6"/>
        <v>15000</v>
      </c>
      <c r="M116" s="540" t="s">
        <v>330</v>
      </c>
      <c r="N116" s="541"/>
      <c r="O116" s="541"/>
      <c r="P116" s="541"/>
      <c r="Q116" s="542"/>
      <c r="R116" s="122">
        <v>1</v>
      </c>
      <c r="S116" s="123">
        <v>15000</v>
      </c>
      <c r="T116" s="99">
        <f t="shared" si="9"/>
        <v>15000</v>
      </c>
    </row>
    <row r="117" spans="2:23">
      <c r="B117" s="540" t="s">
        <v>329</v>
      </c>
      <c r="C117" s="541"/>
      <c r="D117" s="541"/>
      <c r="E117" s="541"/>
      <c r="F117" s="542"/>
      <c r="G117" s="122">
        <v>2</v>
      </c>
      <c r="H117" s="123">
        <v>12000</v>
      </c>
      <c r="I117" s="99">
        <f t="shared" si="6"/>
        <v>24000</v>
      </c>
      <c r="M117" s="540" t="s">
        <v>329</v>
      </c>
      <c r="N117" s="541"/>
      <c r="O117" s="541"/>
      <c r="P117" s="541"/>
      <c r="Q117" s="542"/>
      <c r="R117" s="122">
        <v>4</v>
      </c>
      <c r="S117" s="123">
        <v>12000</v>
      </c>
      <c r="T117" s="99">
        <f t="shared" si="9"/>
        <v>48000</v>
      </c>
    </row>
    <row r="118" spans="2:23">
      <c r="B118" s="540" t="s">
        <v>331</v>
      </c>
      <c r="C118" s="541"/>
      <c r="D118" s="541"/>
      <c r="E118" s="541"/>
      <c r="F118" s="542"/>
      <c r="G118" s="122">
        <v>2</v>
      </c>
      <c r="H118" s="123">
        <v>28000</v>
      </c>
      <c r="I118" s="99">
        <f t="shared" si="6"/>
        <v>56000</v>
      </c>
      <c r="M118" s="540" t="s">
        <v>331</v>
      </c>
      <c r="N118" s="541"/>
      <c r="O118" s="541"/>
      <c r="P118" s="541"/>
      <c r="Q118" s="542"/>
      <c r="R118" s="122">
        <v>1</v>
      </c>
      <c r="S118" s="123">
        <v>28000</v>
      </c>
      <c r="T118" s="99">
        <f t="shared" si="9"/>
        <v>28000</v>
      </c>
    </row>
    <row r="119" spans="2:23">
      <c r="B119" s="145" t="s">
        <v>42</v>
      </c>
      <c r="C119" s="146"/>
      <c r="D119" s="146"/>
      <c r="E119" s="146"/>
      <c r="F119" s="147"/>
      <c r="G119" s="122">
        <v>1</v>
      </c>
      <c r="H119" s="123">
        <v>200000</v>
      </c>
      <c r="I119" s="99">
        <f t="shared" si="6"/>
        <v>200000</v>
      </c>
      <c r="M119" s="145" t="s">
        <v>42</v>
      </c>
      <c r="N119" s="146"/>
      <c r="O119" s="146"/>
      <c r="P119" s="146"/>
      <c r="Q119" s="147"/>
      <c r="R119" s="122">
        <v>1</v>
      </c>
      <c r="S119" s="123">
        <v>200000</v>
      </c>
      <c r="T119" s="99">
        <f t="shared" si="9"/>
        <v>200000</v>
      </c>
    </row>
    <row r="120" spans="2:23">
      <c r="B120" s="145" t="s">
        <v>41</v>
      </c>
      <c r="C120" s="146"/>
      <c r="D120" s="146"/>
      <c r="E120" s="146"/>
      <c r="F120" s="147"/>
      <c r="G120" s="122"/>
      <c r="H120" s="123">
        <v>150000</v>
      </c>
      <c r="I120" s="99">
        <f t="shared" si="6"/>
        <v>0</v>
      </c>
      <c r="M120" s="145" t="s">
        <v>41</v>
      </c>
      <c r="N120" s="146"/>
      <c r="O120" s="146"/>
      <c r="P120" s="146"/>
      <c r="Q120" s="147"/>
      <c r="R120" s="122"/>
      <c r="S120" s="123">
        <v>150000</v>
      </c>
      <c r="T120" s="99">
        <f t="shared" si="9"/>
        <v>0</v>
      </c>
    </row>
    <row r="121" spans="2:23">
      <c r="B121" s="145" t="s">
        <v>3</v>
      </c>
      <c r="C121" s="146"/>
      <c r="D121" s="146"/>
      <c r="E121" s="146"/>
      <c r="F121" s="147"/>
      <c r="G121" s="122">
        <v>2</v>
      </c>
      <c r="H121" s="123">
        <v>100000</v>
      </c>
      <c r="I121" s="99">
        <f t="shared" si="6"/>
        <v>200000</v>
      </c>
      <c r="M121" s="145" t="s">
        <v>3</v>
      </c>
      <c r="N121" s="146"/>
      <c r="O121" s="146"/>
      <c r="P121" s="146"/>
      <c r="Q121" s="147"/>
      <c r="R121" s="122">
        <v>2.5</v>
      </c>
      <c r="S121" s="123">
        <v>100000</v>
      </c>
      <c r="T121" s="99">
        <f t="shared" si="9"/>
        <v>250000</v>
      </c>
    </row>
    <row r="122" spans="2:23">
      <c r="B122" s="145" t="s">
        <v>4</v>
      </c>
      <c r="C122" s="146"/>
      <c r="D122" s="146"/>
      <c r="E122" s="146"/>
      <c r="F122" s="147"/>
      <c r="G122" s="122">
        <v>1</v>
      </c>
      <c r="H122" s="123">
        <v>75000</v>
      </c>
      <c r="I122" s="99">
        <f t="shared" si="6"/>
        <v>75000</v>
      </c>
      <c r="M122" s="145" t="s">
        <v>4</v>
      </c>
      <c r="N122" s="146"/>
      <c r="O122" s="146"/>
      <c r="P122" s="146"/>
      <c r="Q122" s="147"/>
      <c r="R122" s="122">
        <v>2</v>
      </c>
      <c r="S122" s="123">
        <v>75000</v>
      </c>
      <c r="T122" s="99">
        <f t="shared" si="9"/>
        <v>150000</v>
      </c>
    </row>
    <row r="123" spans="2:23">
      <c r="B123" s="145" t="s">
        <v>67</v>
      </c>
      <c r="C123" s="146"/>
      <c r="D123" s="146"/>
      <c r="E123" s="146"/>
      <c r="F123" s="147"/>
      <c r="G123" s="122">
        <v>4</v>
      </c>
      <c r="H123" s="123">
        <v>500</v>
      </c>
      <c r="I123" s="99">
        <f t="shared" si="6"/>
        <v>2000</v>
      </c>
      <c r="M123" s="145" t="s">
        <v>67</v>
      </c>
      <c r="N123" s="146"/>
      <c r="O123" s="146"/>
      <c r="P123" s="146"/>
      <c r="Q123" s="147"/>
      <c r="R123" s="122">
        <v>8</v>
      </c>
      <c r="S123" s="123">
        <v>500</v>
      </c>
      <c r="T123" s="99">
        <f t="shared" si="9"/>
        <v>4000</v>
      </c>
    </row>
    <row r="124" spans="2:23">
      <c r="B124" s="145" t="s">
        <v>68</v>
      </c>
      <c r="C124" s="146"/>
      <c r="D124" s="146"/>
      <c r="E124" s="146"/>
      <c r="F124" s="147"/>
      <c r="G124" s="122">
        <v>10</v>
      </c>
      <c r="H124" s="123">
        <v>500</v>
      </c>
      <c r="I124" s="99">
        <f t="shared" si="6"/>
        <v>5000</v>
      </c>
      <c r="M124" s="145" t="s">
        <v>68</v>
      </c>
      <c r="N124" s="146"/>
      <c r="O124" s="146"/>
      <c r="P124" s="146"/>
      <c r="Q124" s="147"/>
      <c r="R124" s="122">
        <v>10</v>
      </c>
      <c r="S124" s="123">
        <v>500</v>
      </c>
      <c r="T124" s="99">
        <f t="shared" si="9"/>
        <v>5000</v>
      </c>
    </row>
    <row r="125" spans="2:23">
      <c r="B125" s="540" t="s">
        <v>70</v>
      </c>
      <c r="C125" s="541"/>
      <c r="D125" s="541"/>
      <c r="E125" s="541"/>
      <c r="F125" s="542"/>
      <c r="G125" s="122">
        <v>10</v>
      </c>
      <c r="H125" s="123">
        <v>6000</v>
      </c>
      <c r="I125" s="99">
        <f t="shared" si="6"/>
        <v>60000</v>
      </c>
      <c r="M125" s="540" t="s">
        <v>70</v>
      </c>
      <c r="N125" s="541"/>
      <c r="O125" s="541"/>
      <c r="P125" s="541"/>
      <c r="Q125" s="542"/>
      <c r="R125" s="122">
        <v>18</v>
      </c>
      <c r="S125" s="123">
        <v>6000</v>
      </c>
      <c r="T125" s="99">
        <f t="shared" si="9"/>
        <v>108000</v>
      </c>
    </row>
    <row r="126" spans="2:23" ht="14.4" thickBot="1">
      <c r="B126" s="540" t="s">
        <v>380</v>
      </c>
      <c r="C126" s="541"/>
      <c r="D126" s="541"/>
      <c r="E126" s="541"/>
      <c r="F126" s="542"/>
      <c r="G126" s="122">
        <v>4</v>
      </c>
      <c r="H126" s="123">
        <v>15000</v>
      </c>
      <c r="I126" s="99">
        <f t="shared" si="6"/>
        <v>60000</v>
      </c>
      <c r="M126" s="540" t="s">
        <v>380</v>
      </c>
      <c r="N126" s="541"/>
      <c r="O126" s="541"/>
      <c r="P126" s="541"/>
      <c r="Q126" s="542"/>
      <c r="R126" s="122">
        <v>8</v>
      </c>
      <c r="S126" s="123">
        <v>15000</v>
      </c>
      <c r="T126" s="99">
        <f t="shared" si="9"/>
        <v>120000</v>
      </c>
    </row>
    <row r="127" spans="2:23" ht="15" customHeight="1">
      <c r="B127" s="540" t="s">
        <v>16</v>
      </c>
      <c r="C127" s="541"/>
      <c r="D127" s="541"/>
      <c r="E127" s="541"/>
      <c r="F127" s="542"/>
      <c r="G127" s="122">
        <v>1</v>
      </c>
      <c r="H127" s="123">
        <v>150000</v>
      </c>
      <c r="I127" s="99">
        <f t="shared" si="6"/>
        <v>150000</v>
      </c>
      <c r="J127" s="499" t="s">
        <v>275</v>
      </c>
      <c r="K127" s="500"/>
      <c r="L127" s="501"/>
      <c r="M127" s="540" t="s">
        <v>16</v>
      </c>
      <c r="N127" s="541"/>
      <c r="O127" s="541"/>
      <c r="P127" s="541"/>
      <c r="Q127" s="542"/>
      <c r="R127" s="122">
        <v>1</v>
      </c>
      <c r="S127" s="123">
        <v>150000</v>
      </c>
      <c r="T127" s="99">
        <f t="shared" si="9"/>
        <v>150000</v>
      </c>
      <c r="U127" s="499" t="s">
        <v>275</v>
      </c>
      <c r="V127" s="500"/>
      <c r="W127" s="501"/>
    </row>
    <row r="128" spans="2:23" ht="15.75" customHeight="1" thickBot="1">
      <c r="B128" s="540" t="s">
        <v>17</v>
      </c>
      <c r="C128" s="541"/>
      <c r="D128" s="541"/>
      <c r="E128" s="541"/>
      <c r="F128" s="542"/>
      <c r="G128" s="122">
        <v>1</v>
      </c>
      <c r="H128" s="123">
        <v>150000</v>
      </c>
      <c r="I128" s="99">
        <f t="shared" si="6"/>
        <v>150000</v>
      </c>
      <c r="J128" s="502"/>
      <c r="K128" s="503"/>
      <c r="L128" s="504"/>
      <c r="M128" s="540" t="s">
        <v>17</v>
      </c>
      <c r="N128" s="541"/>
      <c r="O128" s="541"/>
      <c r="P128" s="541"/>
      <c r="Q128" s="542"/>
      <c r="R128" s="122">
        <v>1</v>
      </c>
      <c r="S128" s="123">
        <v>150000</v>
      </c>
      <c r="T128" s="99">
        <f t="shared" si="9"/>
        <v>150000</v>
      </c>
      <c r="U128" s="502"/>
      <c r="V128" s="503"/>
      <c r="W128" s="504"/>
    </row>
    <row r="129" spans="2:23" ht="15" customHeight="1">
      <c r="B129" s="540"/>
      <c r="C129" s="541"/>
      <c r="D129" s="541"/>
      <c r="E129" s="541"/>
      <c r="F129" s="542"/>
      <c r="G129" s="122"/>
      <c r="H129" s="123"/>
      <c r="I129" s="99">
        <f t="shared" si="6"/>
        <v>0</v>
      </c>
      <c r="J129" s="491">
        <f>SUM(I114:I130)</f>
        <v>1062000</v>
      </c>
      <c r="K129" s="492"/>
      <c r="L129" s="493"/>
      <c r="M129" s="540"/>
      <c r="N129" s="541"/>
      <c r="O129" s="541"/>
      <c r="P129" s="541"/>
      <c r="Q129" s="542"/>
      <c r="R129" s="122"/>
      <c r="S129" s="123"/>
      <c r="T129" s="99">
        <f t="shared" si="9"/>
        <v>0</v>
      </c>
      <c r="U129" s="491">
        <f>SUM(T114:T130)</f>
        <v>1343000</v>
      </c>
      <c r="V129" s="492"/>
      <c r="W129" s="493"/>
    </row>
    <row r="130" spans="2:23" ht="15.75" customHeight="1" thickBot="1">
      <c r="B130" s="543"/>
      <c r="C130" s="544"/>
      <c r="D130" s="544"/>
      <c r="E130" s="544"/>
      <c r="F130" s="545"/>
      <c r="G130" s="124"/>
      <c r="H130" s="125"/>
      <c r="I130" s="100">
        <f t="shared" si="6"/>
        <v>0</v>
      </c>
      <c r="J130" s="494"/>
      <c r="K130" s="495"/>
      <c r="L130" s="496"/>
      <c r="M130" s="543"/>
      <c r="N130" s="544"/>
      <c r="O130" s="544"/>
      <c r="P130" s="544"/>
      <c r="Q130" s="545"/>
      <c r="R130" s="124"/>
      <c r="S130" s="125"/>
      <c r="T130" s="100">
        <f t="shared" si="9"/>
        <v>0</v>
      </c>
      <c r="U130" s="494"/>
      <c r="V130" s="495"/>
      <c r="W130" s="496"/>
    </row>
    <row r="131" spans="2:23" ht="14.4" thickBot="1">
      <c r="B131" s="546" t="s">
        <v>297</v>
      </c>
      <c r="C131" s="547"/>
      <c r="D131" s="547"/>
      <c r="E131" s="547"/>
      <c r="F131" s="547"/>
      <c r="G131" s="547"/>
      <c r="H131" s="547"/>
      <c r="I131" s="548"/>
      <c r="J131" s="132"/>
      <c r="K131" s="132"/>
      <c r="L131" s="132"/>
      <c r="M131" s="546" t="s">
        <v>297</v>
      </c>
      <c r="N131" s="547"/>
      <c r="O131" s="547"/>
      <c r="P131" s="547"/>
      <c r="Q131" s="547"/>
      <c r="R131" s="547"/>
      <c r="S131" s="547"/>
      <c r="T131" s="548"/>
      <c r="U131" s="132"/>
      <c r="V131" s="132"/>
      <c r="W131" s="132"/>
    </row>
    <row r="132" spans="2:23" ht="14.4" thickBot="1">
      <c r="B132" s="546" t="s">
        <v>267</v>
      </c>
      <c r="C132" s="547"/>
      <c r="D132" s="547"/>
      <c r="E132" s="547"/>
      <c r="F132" s="547"/>
      <c r="G132" s="148" t="s">
        <v>266</v>
      </c>
      <c r="H132" s="148" t="s">
        <v>0</v>
      </c>
      <c r="I132" s="105" t="s">
        <v>265</v>
      </c>
      <c r="J132" s="132"/>
      <c r="K132" s="132"/>
      <c r="L132" s="132"/>
      <c r="M132" s="546" t="s">
        <v>267</v>
      </c>
      <c r="N132" s="547"/>
      <c r="O132" s="547"/>
      <c r="P132" s="547"/>
      <c r="Q132" s="547"/>
      <c r="R132" s="148" t="s">
        <v>266</v>
      </c>
      <c r="S132" s="148" t="s">
        <v>0</v>
      </c>
      <c r="T132" s="105" t="s">
        <v>265</v>
      </c>
      <c r="U132" s="132"/>
      <c r="V132" s="132"/>
      <c r="W132" s="132"/>
    </row>
    <row r="133" spans="2:23">
      <c r="B133" s="549" t="s">
        <v>333</v>
      </c>
      <c r="C133" s="550"/>
      <c r="D133" s="550"/>
      <c r="E133" s="550"/>
      <c r="F133" s="551"/>
      <c r="G133" s="116">
        <v>1</v>
      </c>
      <c r="H133" s="117">
        <v>2000000</v>
      </c>
      <c r="I133" s="99">
        <f t="shared" si="6"/>
        <v>2000000</v>
      </c>
      <c r="M133" s="549" t="s">
        <v>333</v>
      </c>
      <c r="N133" s="550"/>
      <c r="O133" s="550"/>
      <c r="P133" s="550"/>
      <c r="Q133" s="551"/>
      <c r="R133" s="116">
        <v>1</v>
      </c>
      <c r="S133" s="117">
        <v>2500000</v>
      </c>
      <c r="T133" s="99">
        <f t="shared" ref="T133:T144" si="10">R133*S133</f>
        <v>2500000</v>
      </c>
    </row>
    <row r="134" spans="2:23">
      <c r="B134" s="552" t="s">
        <v>291</v>
      </c>
      <c r="C134" s="553"/>
      <c r="D134" s="553"/>
      <c r="E134" s="553"/>
      <c r="F134" s="554"/>
      <c r="G134" s="122">
        <v>1</v>
      </c>
      <c r="H134" s="123">
        <v>1000000</v>
      </c>
      <c r="I134" s="99">
        <f t="shared" si="6"/>
        <v>1000000</v>
      </c>
      <c r="M134" s="552" t="s">
        <v>291</v>
      </c>
      <c r="N134" s="553"/>
      <c r="O134" s="553"/>
      <c r="P134" s="553"/>
      <c r="Q134" s="554"/>
      <c r="R134" s="122">
        <v>1</v>
      </c>
      <c r="S134" s="123">
        <v>1000000</v>
      </c>
      <c r="T134" s="99">
        <f t="shared" si="10"/>
        <v>1000000</v>
      </c>
    </row>
    <row r="135" spans="2:23">
      <c r="B135" s="552" t="s">
        <v>292</v>
      </c>
      <c r="C135" s="553"/>
      <c r="D135" s="553"/>
      <c r="E135" s="553"/>
      <c r="F135" s="554"/>
      <c r="G135" s="122">
        <v>1</v>
      </c>
      <c r="H135" s="123">
        <v>200000</v>
      </c>
      <c r="I135" s="99">
        <f t="shared" si="6"/>
        <v>200000</v>
      </c>
      <c r="M135" s="552" t="s">
        <v>292</v>
      </c>
      <c r="N135" s="553"/>
      <c r="O135" s="553"/>
      <c r="P135" s="553"/>
      <c r="Q135" s="554"/>
      <c r="R135" s="122">
        <v>1</v>
      </c>
      <c r="S135" s="123">
        <v>200000</v>
      </c>
      <c r="T135" s="99">
        <f t="shared" si="10"/>
        <v>200000</v>
      </c>
    </row>
    <row r="136" spans="2:23">
      <c r="B136" s="552" t="s">
        <v>293</v>
      </c>
      <c r="C136" s="553"/>
      <c r="D136" s="553"/>
      <c r="E136" s="553"/>
      <c r="F136" s="554"/>
      <c r="G136" s="122">
        <v>1</v>
      </c>
      <c r="H136" s="123">
        <v>500000</v>
      </c>
      <c r="I136" s="99">
        <f t="shared" si="6"/>
        <v>500000</v>
      </c>
      <c r="M136" s="552" t="s">
        <v>293</v>
      </c>
      <c r="N136" s="553"/>
      <c r="O136" s="553"/>
      <c r="P136" s="553"/>
      <c r="Q136" s="554"/>
      <c r="R136" s="122">
        <v>1</v>
      </c>
      <c r="S136" s="123">
        <v>500000</v>
      </c>
      <c r="T136" s="99">
        <f t="shared" si="10"/>
        <v>500000</v>
      </c>
    </row>
    <row r="137" spans="2:23">
      <c r="B137" s="552" t="s">
        <v>193</v>
      </c>
      <c r="C137" s="553"/>
      <c r="D137" s="553"/>
      <c r="E137" s="553"/>
      <c r="F137" s="554"/>
      <c r="G137" s="122">
        <v>1</v>
      </c>
      <c r="H137" s="123">
        <v>650000</v>
      </c>
      <c r="I137" s="99">
        <f t="shared" si="6"/>
        <v>650000</v>
      </c>
      <c r="M137" s="552" t="s">
        <v>193</v>
      </c>
      <c r="N137" s="553"/>
      <c r="O137" s="553"/>
      <c r="P137" s="553"/>
      <c r="Q137" s="554"/>
      <c r="R137" s="122">
        <v>1</v>
      </c>
      <c r="S137" s="123">
        <v>650000</v>
      </c>
      <c r="T137" s="99">
        <f t="shared" si="10"/>
        <v>650000</v>
      </c>
    </row>
    <row r="138" spans="2:23">
      <c r="B138" s="552" t="s">
        <v>294</v>
      </c>
      <c r="C138" s="553"/>
      <c r="D138" s="553"/>
      <c r="E138" s="553"/>
      <c r="F138" s="554"/>
      <c r="G138" s="122">
        <v>1</v>
      </c>
      <c r="H138" s="123">
        <v>300000</v>
      </c>
      <c r="I138" s="99">
        <f t="shared" si="6"/>
        <v>300000</v>
      </c>
      <c r="M138" s="552" t="s">
        <v>294</v>
      </c>
      <c r="N138" s="553"/>
      <c r="O138" s="553"/>
      <c r="P138" s="553"/>
      <c r="Q138" s="554"/>
      <c r="R138" s="122">
        <v>1</v>
      </c>
      <c r="S138" s="123">
        <v>300000</v>
      </c>
      <c r="T138" s="99">
        <f t="shared" si="10"/>
        <v>300000</v>
      </c>
    </row>
    <row r="139" spans="2:23">
      <c r="B139" s="552"/>
      <c r="C139" s="553"/>
      <c r="D139" s="553"/>
      <c r="E139" s="553"/>
      <c r="F139" s="554"/>
      <c r="G139" s="122"/>
      <c r="H139" s="123"/>
      <c r="I139" s="99">
        <f t="shared" si="6"/>
        <v>0</v>
      </c>
      <c r="M139" s="552"/>
      <c r="N139" s="553"/>
      <c r="O139" s="553"/>
      <c r="P139" s="553"/>
      <c r="Q139" s="554"/>
      <c r="R139" s="122"/>
      <c r="S139" s="123"/>
      <c r="T139" s="99">
        <f t="shared" si="10"/>
        <v>0</v>
      </c>
    </row>
    <row r="140" spans="2:23" ht="15" customHeight="1" thickBot="1">
      <c r="B140" s="552"/>
      <c r="C140" s="553"/>
      <c r="D140" s="553"/>
      <c r="E140" s="553"/>
      <c r="F140" s="554"/>
      <c r="G140" s="122"/>
      <c r="H140" s="123"/>
      <c r="I140" s="99">
        <f t="shared" si="6"/>
        <v>0</v>
      </c>
      <c r="M140" s="552"/>
      <c r="N140" s="553"/>
      <c r="O140" s="553"/>
      <c r="P140" s="553"/>
      <c r="Q140" s="554"/>
      <c r="R140" s="122"/>
      <c r="S140" s="123"/>
      <c r="T140" s="99">
        <f t="shared" si="10"/>
        <v>0</v>
      </c>
    </row>
    <row r="141" spans="2:23" ht="15.75" customHeight="1">
      <c r="B141" s="552"/>
      <c r="C141" s="553"/>
      <c r="D141" s="553"/>
      <c r="E141" s="553"/>
      <c r="F141" s="554"/>
      <c r="G141" s="122"/>
      <c r="H141" s="123"/>
      <c r="I141" s="99">
        <f t="shared" si="6"/>
        <v>0</v>
      </c>
      <c r="J141" s="499" t="s">
        <v>275</v>
      </c>
      <c r="K141" s="500"/>
      <c r="L141" s="501"/>
      <c r="M141" s="552"/>
      <c r="N141" s="553"/>
      <c r="O141" s="553"/>
      <c r="P141" s="553"/>
      <c r="Q141" s="554"/>
      <c r="R141" s="122"/>
      <c r="S141" s="123"/>
      <c r="T141" s="99">
        <f t="shared" si="10"/>
        <v>0</v>
      </c>
      <c r="U141" s="499" t="s">
        <v>275</v>
      </c>
      <c r="V141" s="500"/>
      <c r="W141" s="501"/>
    </row>
    <row r="142" spans="2:23" ht="15" customHeight="1" thickBot="1">
      <c r="B142" s="557" t="s">
        <v>2</v>
      </c>
      <c r="C142" s="558"/>
      <c r="D142" s="558"/>
      <c r="E142" s="558"/>
      <c r="F142" s="559"/>
      <c r="G142" s="149">
        <v>1</v>
      </c>
      <c r="H142" s="150">
        <v>950000</v>
      </c>
      <c r="I142" s="100">
        <f t="shared" si="6"/>
        <v>950000</v>
      </c>
      <c r="J142" s="502"/>
      <c r="K142" s="503"/>
      <c r="L142" s="504"/>
      <c r="M142" s="557" t="s">
        <v>2</v>
      </c>
      <c r="N142" s="558"/>
      <c r="O142" s="558"/>
      <c r="P142" s="558"/>
      <c r="Q142" s="559"/>
      <c r="R142" s="149">
        <v>1</v>
      </c>
      <c r="S142" s="150">
        <v>950000</v>
      </c>
      <c r="T142" s="100">
        <f t="shared" si="10"/>
        <v>950000</v>
      </c>
      <c r="U142" s="502"/>
      <c r="V142" s="503"/>
      <c r="W142" s="504"/>
    </row>
    <row r="143" spans="2:23" ht="15.75" customHeight="1">
      <c r="B143" s="555" t="s">
        <v>22</v>
      </c>
      <c r="C143" s="556"/>
      <c r="D143" s="556"/>
      <c r="E143" s="556"/>
      <c r="F143" s="556"/>
      <c r="G143" s="122">
        <v>1</v>
      </c>
      <c r="H143" s="123">
        <v>650000</v>
      </c>
      <c r="I143" s="99">
        <f t="shared" si="6"/>
        <v>650000</v>
      </c>
      <c r="J143" s="491">
        <f>SUM(I133:I144)</f>
        <v>6550000</v>
      </c>
      <c r="K143" s="492"/>
      <c r="L143" s="493"/>
      <c r="M143" s="555" t="s">
        <v>22</v>
      </c>
      <c r="N143" s="556"/>
      <c r="O143" s="556"/>
      <c r="P143" s="556"/>
      <c r="Q143" s="556"/>
      <c r="R143" s="122">
        <v>1</v>
      </c>
      <c r="S143" s="123">
        <v>650000</v>
      </c>
      <c r="T143" s="99">
        <f t="shared" si="10"/>
        <v>650000</v>
      </c>
      <c r="U143" s="491">
        <f>SUM(T133:T144)</f>
        <v>7050000</v>
      </c>
      <c r="V143" s="492"/>
      <c r="W143" s="493"/>
    </row>
    <row r="144" spans="2:23" ht="15.75" customHeight="1" thickBot="1">
      <c r="B144" s="555" t="s">
        <v>21</v>
      </c>
      <c r="C144" s="556"/>
      <c r="D144" s="556"/>
      <c r="E144" s="556"/>
      <c r="F144" s="556"/>
      <c r="G144" s="122">
        <v>1</v>
      </c>
      <c r="H144" s="123">
        <v>300000</v>
      </c>
      <c r="I144" s="99">
        <f t="shared" si="6"/>
        <v>300000</v>
      </c>
      <c r="J144" s="494"/>
      <c r="K144" s="495"/>
      <c r="L144" s="496"/>
      <c r="M144" s="555" t="s">
        <v>21</v>
      </c>
      <c r="N144" s="556"/>
      <c r="O144" s="556"/>
      <c r="P144" s="556"/>
      <c r="Q144" s="556"/>
      <c r="R144" s="122">
        <v>1</v>
      </c>
      <c r="S144" s="123">
        <v>300000</v>
      </c>
      <c r="T144" s="99">
        <f t="shared" si="10"/>
        <v>300000</v>
      </c>
      <c r="U144" s="494"/>
      <c r="V144" s="495"/>
      <c r="W144" s="496"/>
    </row>
    <row r="145" spans="2:23" ht="14.4" thickBot="1">
      <c r="B145" s="560" t="s">
        <v>334</v>
      </c>
      <c r="C145" s="561"/>
      <c r="D145" s="561"/>
      <c r="E145" s="561"/>
      <c r="F145" s="561"/>
      <c r="G145" s="561"/>
      <c r="H145" s="561"/>
      <c r="I145" s="562"/>
      <c r="J145" s="151"/>
      <c r="K145" s="132"/>
      <c r="L145" s="132"/>
      <c r="M145" s="560" t="s">
        <v>334</v>
      </c>
      <c r="N145" s="561"/>
      <c r="O145" s="561"/>
      <c r="P145" s="561"/>
      <c r="Q145" s="561"/>
      <c r="R145" s="561"/>
      <c r="S145" s="561"/>
      <c r="T145" s="562"/>
      <c r="U145" s="151"/>
      <c r="V145" s="132"/>
      <c r="W145" s="132"/>
    </row>
    <row r="146" spans="2:23" ht="14.4" thickBot="1">
      <c r="B146" s="560" t="s">
        <v>267</v>
      </c>
      <c r="C146" s="561"/>
      <c r="D146" s="561"/>
      <c r="E146" s="561"/>
      <c r="F146" s="561"/>
      <c r="G146" s="152" t="s">
        <v>266</v>
      </c>
      <c r="H146" s="152" t="s">
        <v>0</v>
      </c>
      <c r="I146" s="106" t="s">
        <v>265</v>
      </c>
      <c r="J146" s="151"/>
      <c r="K146" s="132"/>
      <c r="L146" s="132"/>
      <c r="M146" s="560" t="s">
        <v>267</v>
      </c>
      <c r="N146" s="561"/>
      <c r="O146" s="561"/>
      <c r="P146" s="561"/>
      <c r="Q146" s="561"/>
      <c r="R146" s="152" t="s">
        <v>266</v>
      </c>
      <c r="S146" s="152" t="s">
        <v>0</v>
      </c>
      <c r="T146" s="106" t="s">
        <v>265</v>
      </c>
      <c r="U146" s="151"/>
      <c r="V146" s="132"/>
      <c r="W146" s="132"/>
    </row>
    <row r="147" spans="2:23" ht="15" customHeight="1">
      <c r="B147" s="563" t="s">
        <v>8</v>
      </c>
      <c r="C147" s="564"/>
      <c r="D147" s="564"/>
      <c r="E147" s="564"/>
      <c r="F147" s="564"/>
      <c r="G147" s="122">
        <v>1</v>
      </c>
      <c r="H147" s="123">
        <v>3500000</v>
      </c>
      <c r="I147" s="99">
        <f t="shared" si="6"/>
        <v>3500000</v>
      </c>
      <c r="J147" s="499" t="s">
        <v>275</v>
      </c>
      <c r="K147" s="500"/>
      <c r="L147" s="501"/>
      <c r="M147" s="563" t="s">
        <v>8</v>
      </c>
      <c r="N147" s="564"/>
      <c r="O147" s="564"/>
      <c r="P147" s="564"/>
      <c r="Q147" s="564"/>
      <c r="R147" s="122">
        <v>1</v>
      </c>
      <c r="S147" s="123">
        <v>4500000</v>
      </c>
      <c r="T147" s="99">
        <f t="shared" ref="T147:T150" si="11">R147*S147</f>
        <v>4500000</v>
      </c>
      <c r="U147" s="499" t="s">
        <v>275</v>
      </c>
      <c r="V147" s="500"/>
      <c r="W147" s="501"/>
    </row>
    <row r="148" spans="2:23" ht="15.75" customHeight="1" thickBot="1">
      <c r="B148" s="563" t="s">
        <v>9</v>
      </c>
      <c r="C148" s="564"/>
      <c r="D148" s="564"/>
      <c r="E148" s="564"/>
      <c r="F148" s="564"/>
      <c r="G148" s="122">
        <v>1</v>
      </c>
      <c r="H148" s="123">
        <v>600000</v>
      </c>
      <c r="I148" s="99">
        <f t="shared" si="6"/>
        <v>600000</v>
      </c>
      <c r="J148" s="502"/>
      <c r="K148" s="503"/>
      <c r="L148" s="504"/>
      <c r="M148" s="563" t="s">
        <v>9</v>
      </c>
      <c r="N148" s="564"/>
      <c r="O148" s="564"/>
      <c r="P148" s="564"/>
      <c r="Q148" s="564"/>
      <c r="R148" s="122">
        <v>1</v>
      </c>
      <c r="S148" s="123">
        <v>750000</v>
      </c>
      <c r="T148" s="99">
        <f t="shared" si="11"/>
        <v>750000</v>
      </c>
      <c r="U148" s="502"/>
      <c r="V148" s="503"/>
      <c r="W148" s="504"/>
    </row>
    <row r="149" spans="2:23" ht="15" customHeight="1">
      <c r="B149" s="563" t="s">
        <v>335</v>
      </c>
      <c r="C149" s="564"/>
      <c r="D149" s="564"/>
      <c r="E149" s="564"/>
      <c r="F149" s="564"/>
      <c r="G149" s="122">
        <v>1</v>
      </c>
      <c r="H149" s="123">
        <v>300000</v>
      </c>
      <c r="I149" s="99">
        <f t="shared" si="6"/>
        <v>300000</v>
      </c>
      <c r="J149" s="491">
        <f>SUM(I147:I150)</f>
        <v>4700000</v>
      </c>
      <c r="K149" s="492"/>
      <c r="L149" s="493"/>
      <c r="M149" s="563" t="s">
        <v>335</v>
      </c>
      <c r="N149" s="564"/>
      <c r="O149" s="564"/>
      <c r="P149" s="564"/>
      <c r="Q149" s="564"/>
      <c r="R149" s="122">
        <v>1</v>
      </c>
      <c r="S149" s="123">
        <v>500000</v>
      </c>
      <c r="T149" s="99">
        <f t="shared" si="11"/>
        <v>500000</v>
      </c>
      <c r="U149" s="491">
        <f>SUM(T147:T150)</f>
        <v>6050000</v>
      </c>
      <c r="V149" s="492"/>
      <c r="W149" s="493"/>
    </row>
    <row r="150" spans="2:23" ht="15.75" customHeight="1" thickBot="1">
      <c r="B150" s="583" t="s">
        <v>336</v>
      </c>
      <c r="C150" s="584"/>
      <c r="D150" s="584"/>
      <c r="E150" s="584"/>
      <c r="F150" s="584"/>
      <c r="G150" s="153">
        <v>1</v>
      </c>
      <c r="H150" s="154">
        <v>300000</v>
      </c>
      <c r="I150" s="107">
        <f t="shared" si="6"/>
        <v>300000</v>
      </c>
      <c r="J150" s="494"/>
      <c r="K150" s="495"/>
      <c r="L150" s="496"/>
      <c r="M150" s="583" t="s">
        <v>336</v>
      </c>
      <c r="N150" s="584"/>
      <c r="O150" s="584"/>
      <c r="P150" s="584"/>
      <c r="Q150" s="584"/>
      <c r="R150" s="153">
        <v>1</v>
      </c>
      <c r="S150" s="154">
        <v>300000</v>
      </c>
      <c r="T150" s="107">
        <f t="shared" si="11"/>
        <v>300000</v>
      </c>
      <c r="U150" s="494"/>
      <c r="V150" s="495"/>
      <c r="W150" s="496"/>
    </row>
    <row r="151" spans="2:23" ht="15" customHeight="1">
      <c r="B151" s="565" t="s">
        <v>379</v>
      </c>
      <c r="C151" s="566"/>
      <c r="D151" s="566"/>
      <c r="E151" s="566"/>
      <c r="F151" s="566"/>
      <c r="G151" s="566"/>
      <c r="H151" s="566"/>
      <c r="I151" s="567"/>
      <c r="J151" s="574">
        <f>SUM(J149,J143,J129,J110,J96,J82,J68)</f>
        <v>29089000</v>
      </c>
      <c r="K151" s="575"/>
      <c r="L151" s="576"/>
      <c r="M151" s="565" t="s">
        <v>381</v>
      </c>
      <c r="N151" s="566"/>
      <c r="O151" s="566"/>
      <c r="P151" s="566"/>
      <c r="Q151" s="566"/>
      <c r="R151" s="566"/>
      <c r="S151" s="566"/>
      <c r="T151" s="567"/>
      <c r="U151" s="574">
        <f>SUM(U149,U143,U129,U110,U96,U82,U68)</f>
        <v>38967000</v>
      </c>
      <c r="V151" s="575"/>
      <c r="W151" s="576"/>
    </row>
    <row r="152" spans="2:23" ht="15" customHeight="1">
      <c r="B152" s="568"/>
      <c r="C152" s="569"/>
      <c r="D152" s="569"/>
      <c r="E152" s="569"/>
      <c r="F152" s="569"/>
      <c r="G152" s="569"/>
      <c r="H152" s="569"/>
      <c r="I152" s="570"/>
      <c r="J152" s="577"/>
      <c r="K152" s="578"/>
      <c r="L152" s="579"/>
      <c r="M152" s="568"/>
      <c r="N152" s="569"/>
      <c r="O152" s="569"/>
      <c r="P152" s="569"/>
      <c r="Q152" s="569"/>
      <c r="R152" s="569"/>
      <c r="S152" s="569"/>
      <c r="T152" s="570"/>
      <c r="U152" s="577"/>
      <c r="V152" s="578"/>
      <c r="W152" s="579"/>
    </row>
    <row r="153" spans="2:23" ht="15.75" customHeight="1" thickBot="1">
      <c r="B153" s="571"/>
      <c r="C153" s="572"/>
      <c r="D153" s="572"/>
      <c r="E153" s="572"/>
      <c r="F153" s="572"/>
      <c r="G153" s="572"/>
      <c r="H153" s="572"/>
      <c r="I153" s="573"/>
      <c r="J153" s="580"/>
      <c r="K153" s="581"/>
      <c r="L153" s="582"/>
      <c r="M153" s="571"/>
      <c r="N153" s="572"/>
      <c r="O153" s="572"/>
      <c r="P153" s="572"/>
      <c r="Q153" s="572"/>
      <c r="R153" s="572"/>
      <c r="S153" s="572"/>
      <c r="T153" s="573"/>
      <c r="U153" s="580"/>
      <c r="V153" s="581"/>
      <c r="W153" s="582"/>
    </row>
    <row r="154" spans="2:23">
      <c r="B154" s="475" t="s">
        <v>202</v>
      </c>
      <c r="C154" s="476"/>
      <c r="D154" s="476"/>
      <c r="E154" s="476"/>
      <c r="F154" s="476"/>
      <c r="G154" s="476"/>
      <c r="H154" s="476"/>
      <c r="I154" s="477"/>
      <c r="M154" s="475" t="s">
        <v>377</v>
      </c>
      <c r="N154" s="476"/>
      <c r="O154" s="476"/>
      <c r="P154" s="476"/>
      <c r="Q154" s="476"/>
      <c r="R154" s="476"/>
      <c r="S154" s="476"/>
      <c r="T154" s="477"/>
    </row>
    <row r="155" spans="2:23">
      <c r="B155" s="478"/>
      <c r="C155" s="479"/>
      <c r="D155" s="479"/>
      <c r="E155" s="479"/>
      <c r="F155" s="479"/>
      <c r="G155" s="479"/>
      <c r="H155" s="479"/>
      <c r="I155" s="480"/>
      <c r="M155" s="478"/>
      <c r="N155" s="479"/>
      <c r="O155" s="479"/>
      <c r="P155" s="479"/>
      <c r="Q155" s="479"/>
      <c r="R155" s="479"/>
      <c r="S155" s="479"/>
      <c r="T155" s="480"/>
    </row>
    <row r="156" spans="2:23" ht="14.4" thickBot="1">
      <c r="B156" s="481"/>
      <c r="C156" s="482"/>
      <c r="D156" s="482"/>
      <c r="E156" s="482"/>
      <c r="F156" s="482"/>
      <c r="G156" s="482"/>
      <c r="H156" s="482"/>
      <c r="I156" s="483"/>
      <c r="M156" s="481"/>
      <c r="N156" s="482"/>
      <c r="O156" s="482"/>
      <c r="P156" s="482"/>
      <c r="Q156" s="482"/>
      <c r="R156" s="482"/>
      <c r="S156" s="482"/>
      <c r="T156" s="483"/>
    </row>
    <row r="157" spans="2:23" ht="14.4" thickBot="1">
      <c r="B157" s="467" t="s">
        <v>262</v>
      </c>
      <c r="C157" s="468"/>
      <c r="D157" s="468"/>
      <c r="E157" s="468"/>
      <c r="F157" s="468"/>
      <c r="G157" s="468"/>
      <c r="H157" s="468"/>
      <c r="I157" s="484"/>
      <c r="M157" s="467" t="s">
        <v>262</v>
      </c>
      <c r="N157" s="468"/>
      <c r="O157" s="468"/>
      <c r="P157" s="468"/>
      <c r="Q157" s="468"/>
      <c r="R157" s="468"/>
      <c r="S157" s="468"/>
      <c r="T157" s="484"/>
    </row>
    <row r="158" spans="2:23" ht="14.4" thickBot="1">
      <c r="B158" s="467" t="s">
        <v>267</v>
      </c>
      <c r="C158" s="468"/>
      <c r="D158" s="468"/>
      <c r="E158" s="468"/>
      <c r="F158" s="468"/>
      <c r="G158" s="114" t="s">
        <v>266</v>
      </c>
      <c r="H158" s="114" t="s">
        <v>0</v>
      </c>
      <c r="I158" s="97" t="s">
        <v>265</v>
      </c>
      <c r="M158" s="467" t="s">
        <v>267</v>
      </c>
      <c r="N158" s="468"/>
      <c r="O158" s="468"/>
      <c r="P158" s="468"/>
      <c r="Q158" s="468"/>
      <c r="R158" s="114" t="s">
        <v>266</v>
      </c>
      <c r="S158" s="114" t="s">
        <v>0</v>
      </c>
      <c r="T158" s="97" t="s">
        <v>265</v>
      </c>
    </row>
    <row r="159" spans="2:23">
      <c r="B159" s="469" t="s">
        <v>13</v>
      </c>
      <c r="C159" s="470"/>
      <c r="D159" s="470"/>
      <c r="E159" s="471"/>
      <c r="F159" s="115">
        <v>1</v>
      </c>
      <c r="G159" s="116">
        <v>13</v>
      </c>
      <c r="H159" s="117">
        <f>$I$4</f>
        <v>160000</v>
      </c>
      <c r="I159" s="98">
        <f>F159*G159*H159</f>
        <v>2080000</v>
      </c>
      <c r="M159" s="469" t="s">
        <v>13</v>
      </c>
      <c r="N159" s="470"/>
      <c r="O159" s="470"/>
      <c r="P159" s="471"/>
      <c r="Q159" s="115">
        <v>1</v>
      </c>
      <c r="R159" s="116"/>
      <c r="S159" s="117">
        <f>$I$4</f>
        <v>160000</v>
      </c>
      <c r="T159" s="98">
        <f>Q159*R159*S159</f>
        <v>0</v>
      </c>
    </row>
    <row r="160" spans="2:23">
      <c r="B160" s="118" t="s">
        <v>261</v>
      </c>
      <c r="C160" s="119"/>
      <c r="D160" s="119"/>
      <c r="E160" s="120"/>
      <c r="F160" s="121">
        <v>1</v>
      </c>
      <c r="G160" s="122"/>
      <c r="H160" s="123">
        <f>$I$5</f>
        <v>165000</v>
      </c>
      <c r="I160" s="99"/>
      <c r="M160" s="118" t="s">
        <v>261</v>
      </c>
      <c r="N160" s="119"/>
      <c r="O160" s="119"/>
      <c r="P160" s="120"/>
      <c r="Q160" s="121">
        <v>1</v>
      </c>
      <c r="R160" s="122"/>
      <c r="S160" s="123">
        <f>$I$5</f>
        <v>165000</v>
      </c>
      <c r="T160" s="99"/>
    </row>
    <row r="161" spans="2:23">
      <c r="B161" s="472" t="s">
        <v>14</v>
      </c>
      <c r="C161" s="473"/>
      <c r="D161" s="473"/>
      <c r="E161" s="474"/>
      <c r="F161" s="121">
        <v>1</v>
      </c>
      <c r="G161" s="122">
        <v>37</v>
      </c>
      <c r="H161" s="123">
        <f>$I$6</f>
        <v>140000</v>
      </c>
      <c r="I161" s="99">
        <f>F161*G161*H161</f>
        <v>5180000</v>
      </c>
      <c r="M161" s="472" t="s">
        <v>14</v>
      </c>
      <c r="N161" s="473"/>
      <c r="O161" s="473"/>
      <c r="P161" s="474"/>
      <c r="Q161" s="121">
        <v>1</v>
      </c>
      <c r="R161" s="122"/>
      <c r="S161" s="123">
        <f>$I$6</f>
        <v>140000</v>
      </c>
      <c r="T161" s="99">
        <f>Q161*R161*S161</f>
        <v>0</v>
      </c>
    </row>
    <row r="162" spans="2:23">
      <c r="B162" s="472" t="s">
        <v>23</v>
      </c>
      <c r="C162" s="473"/>
      <c r="D162" s="473"/>
      <c r="E162" s="474"/>
      <c r="F162" s="121">
        <v>1</v>
      </c>
      <c r="G162" s="122">
        <v>13</v>
      </c>
      <c r="H162" s="123">
        <f>$I$7</f>
        <v>150000</v>
      </c>
      <c r="I162" s="99">
        <f>F162*G162*H162</f>
        <v>1950000</v>
      </c>
      <c r="M162" s="472" t="s">
        <v>23</v>
      </c>
      <c r="N162" s="473"/>
      <c r="O162" s="473"/>
      <c r="P162" s="474"/>
      <c r="Q162" s="121">
        <v>1</v>
      </c>
      <c r="R162" s="122"/>
      <c r="S162" s="123">
        <f>$I$7</f>
        <v>150000</v>
      </c>
      <c r="T162" s="99">
        <f>Q162*R162*S162</f>
        <v>0</v>
      </c>
    </row>
    <row r="163" spans="2:23">
      <c r="B163" s="472"/>
      <c r="C163" s="473"/>
      <c r="D163" s="473"/>
      <c r="E163" s="474"/>
      <c r="F163" s="121"/>
      <c r="G163" s="122"/>
      <c r="H163" s="123"/>
      <c r="I163" s="99">
        <f>F163*G163*H163</f>
        <v>0</v>
      </c>
      <c r="M163" s="472"/>
      <c r="N163" s="473"/>
      <c r="O163" s="473"/>
      <c r="P163" s="474"/>
      <c r="Q163" s="121"/>
      <c r="R163" s="122"/>
      <c r="S163" s="123"/>
      <c r="T163" s="99">
        <f>Q163*R163*S163</f>
        <v>0</v>
      </c>
    </row>
    <row r="164" spans="2:23">
      <c r="B164" s="485" t="s">
        <v>18</v>
      </c>
      <c r="C164" s="486"/>
      <c r="D164" s="486"/>
      <c r="E164" s="486"/>
      <c r="F164" s="487"/>
      <c r="G164" s="122">
        <v>80</v>
      </c>
      <c r="H164" s="123">
        <f>$I$8</f>
        <v>12800</v>
      </c>
      <c r="I164" s="99">
        <f>G164*H164</f>
        <v>1024000</v>
      </c>
      <c r="M164" s="485" t="s">
        <v>18</v>
      </c>
      <c r="N164" s="486"/>
      <c r="O164" s="486"/>
      <c r="P164" s="486"/>
      <c r="Q164" s="487"/>
      <c r="R164" s="122"/>
      <c r="S164" s="123">
        <f>$I$8</f>
        <v>12800</v>
      </c>
      <c r="T164" s="99">
        <f>R164*S164</f>
        <v>0</v>
      </c>
    </row>
    <row r="165" spans="2:23">
      <c r="B165" s="485" t="s">
        <v>19</v>
      </c>
      <c r="C165" s="486"/>
      <c r="D165" s="486"/>
      <c r="E165" s="486"/>
      <c r="F165" s="487"/>
      <c r="G165" s="122">
        <v>85</v>
      </c>
      <c r="H165" s="123">
        <f>$I$9</f>
        <v>11100</v>
      </c>
      <c r="I165" s="99">
        <f>G165*H165</f>
        <v>943500</v>
      </c>
      <c r="M165" s="485" t="s">
        <v>19</v>
      </c>
      <c r="N165" s="486"/>
      <c r="O165" s="486"/>
      <c r="P165" s="486"/>
      <c r="Q165" s="487"/>
      <c r="R165" s="122"/>
      <c r="S165" s="123">
        <f>$I$9</f>
        <v>11100</v>
      </c>
      <c r="T165" s="99">
        <f>R165*S165</f>
        <v>0</v>
      </c>
    </row>
    <row r="166" spans="2:23">
      <c r="B166" s="488" t="s">
        <v>259</v>
      </c>
      <c r="C166" s="489"/>
      <c r="D166" s="489"/>
      <c r="E166" s="489"/>
      <c r="F166" s="490"/>
      <c r="G166" s="122">
        <v>2000</v>
      </c>
      <c r="H166" s="123">
        <f>$I$10</f>
        <v>58</v>
      </c>
      <c r="I166" s="99">
        <f t="shared" ref="I166:I178" si="12">G166*H166</f>
        <v>116000</v>
      </c>
      <c r="M166" s="488" t="s">
        <v>259</v>
      </c>
      <c r="N166" s="489"/>
      <c r="O166" s="489"/>
      <c r="P166" s="489"/>
      <c r="Q166" s="490"/>
      <c r="R166" s="122"/>
      <c r="S166" s="123">
        <f>$I$10</f>
        <v>58</v>
      </c>
      <c r="T166" s="99">
        <f t="shared" ref="T166:T178" si="13">R166*S166</f>
        <v>0</v>
      </c>
    </row>
    <row r="167" spans="2:23">
      <c r="B167" s="488" t="s">
        <v>260</v>
      </c>
      <c r="C167" s="489"/>
      <c r="D167" s="489"/>
      <c r="E167" s="489"/>
      <c r="F167" s="490"/>
      <c r="G167" s="122">
        <v>6000</v>
      </c>
      <c r="H167" s="123">
        <f>$I$11</f>
        <v>35</v>
      </c>
      <c r="I167" s="99">
        <f t="shared" si="12"/>
        <v>210000</v>
      </c>
      <c r="M167" s="488" t="s">
        <v>260</v>
      </c>
      <c r="N167" s="489"/>
      <c r="O167" s="489"/>
      <c r="P167" s="489"/>
      <c r="Q167" s="490"/>
      <c r="R167" s="122"/>
      <c r="S167" s="123">
        <f>$I$11</f>
        <v>35</v>
      </c>
      <c r="T167" s="99">
        <f t="shared" si="13"/>
        <v>0</v>
      </c>
    </row>
    <row r="168" spans="2:23">
      <c r="B168" s="488" t="s">
        <v>299</v>
      </c>
      <c r="C168" s="489"/>
      <c r="D168" s="489"/>
      <c r="E168" s="489"/>
      <c r="F168" s="490"/>
      <c r="G168" s="122"/>
      <c r="H168" s="123">
        <f>$I$12</f>
        <v>1250</v>
      </c>
      <c r="I168" s="99">
        <f t="shared" si="12"/>
        <v>0</v>
      </c>
      <c r="M168" s="488" t="s">
        <v>299</v>
      </c>
      <c r="N168" s="489"/>
      <c r="O168" s="489"/>
      <c r="P168" s="489"/>
      <c r="Q168" s="490"/>
      <c r="R168" s="122"/>
      <c r="S168" s="123">
        <f>$I$12</f>
        <v>1250</v>
      </c>
      <c r="T168" s="99">
        <f t="shared" si="13"/>
        <v>0</v>
      </c>
    </row>
    <row r="169" spans="2:23">
      <c r="B169" s="488" t="s">
        <v>300</v>
      </c>
      <c r="C169" s="489"/>
      <c r="D169" s="489"/>
      <c r="E169" s="489"/>
      <c r="F169" s="490"/>
      <c r="G169" s="122">
        <v>600</v>
      </c>
      <c r="H169" s="123">
        <f>$I$13</f>
        <v>1250</v>
      </c>
      <c r="I169" s="99">
        <f t="shared" si="12"/>
        <v>750000</v>
      </c>
      <c r="M169" s="488" t="s">
        <v>300</v>
      </c>
      <c r="N169" s="489"/>
      <c r="O169" s="489"/>
      <c r="P169" s="489"/>
      <c r="Q169" s="490"/>
      <c r="R169" s="122"/>
      <c r="S169" s="123">
        <f>$I$13</f>
        <v>1250</v>
      </c>
      <c r="T169" s="99">
        <f t="shared" si="13"/>
        <v>0</v>
      </c>
    </row>
    <row r="170" spans="2:23">
      <c r="B170" s="488" t="s">
        <v>220</v>
      </c>
      <c r="C170" s="489"/>
      <c r="D170" s="489"/>
      <c r="E170" s="489"/>
      <c r="F170" s="490"/>
      <c r="G170" s="122">
        <v>300</v>
      </c>
      <c r="H170" s="123">
        <f>$I$14</f>
        <v>750</v>
      </c>
      <c r="I170" s="99">
        <f t="shared" si="12"/>
        <v>225000</v>
      </c>
      <c r="M170" s="488" t="s">
        <v>220</v>
      </c>
      <c r="N170" s="489"/>
      <c r="O170" s="489"/>
      <c r="P170" s="489"/>
      <c r="Q170" s="490"/>
      <c r="R170" s="122"/>
      <c r="S170" s="123">
        <f>$I$14</f>
        <v>750</v>
      </c>
      <c r="T170" s="99">
        <f t="shared" si="13"/>
        <v>0</v>
      </c>
    </row>
    <row r="171" spans="2:23">
      <c r="B171" s="488" t="s">
        <v>268</v>
      </c>
      <c r="C171" s="489"/>
      <c r="D171" s="489"/>
      <c r="E171" s="489"/>
      <c r="F171" s="490"/>
      <c r="G171" s="122">
        <v>0</v>
      </c>
      <c r="H171" s="123">
        <f>$I$15</f>
        <v>175</v>
      </c>
      <c r="I171" s="99">
        <f t="shared" si="12"/>
        <v>0</v>
      </c>
      <c r="M171" s="488" t="s">
        <v>268</v>
      </c>
      <c r="N171" s="489"/>
      <c r="O171" s="489"/>
      <c r="P171" s="489"/>
      <c r="Q171" s="490"/>
      <c r="R171" s="122"/>
      <c r="S171" s="123">
        <f>$I$15</f>
        <v>175</v>
      </c>
      <c r="T171" s="99">
        <f t="shared" si="13"/>
        <v>0</v>
      </c>
    </row>
    <row r="172" spans="2:23">
      <c r="B172" s="488" t="s">
        <v>221</v>
      </c>
      <c r="C172" s="489"/>
      <c r="D172" s="489"/>
      <c r="E172" s="489"/>
      <c r="F172" s="490"/>
      <c r="G172" s="122">
        <v>400</v>
      </c>
      <c r="H172" s="123">
        <f>$I$16</f>
        <v>175</v>
      </c>
      <c r="I172" s="99">
        <f t="shared" si="12"/>
        <v>70000</v>
      </c>
      <c r="M172" s="488" t="s">
        <v>221</v>
      </c>
      <c r="N172" s="489"/>
      <c r="O172" s="489"/>
      <c r="P172" s="489"/>
      <c r="Q172" s="490"/>
      <c r="R172" s="122"/>
      <c r="S172" s="123">
        <f>$I$16</f>
        <v>175</v>
      </c>
      <c r="T172" s="99">
        <f t="shared" si="13"/>
        <v>0</v>
      </c>
    </row>
    <row r="173" spans="2:23">
      <c r="B173" s="472" t="s">
        <v>222</v>
      </c>
      <c r="C173" s="473"/>
      <c r="D173" s="473"/>
      <c r="E173" s="473"/>
      <c r="F173" s="474"/>
      <c r="G173" s="122">
        <v>3</v>
      </c>
      <c r="H173" s="123">
        <f>$I$17</f>
        <v>90000</v>
      </c>
      <c r="I173" s="99">
        <f t="shared" si="12"/>
        <v>270000</v>
      </c>
      <c r="M173" s="472" t="s">
        <v>222</v>
      </c>
      <c r="N173" s="473"/>
      <c r="O173" s="473"/>
      <c r="P173" s="473"/>
      <c r="Q173" s="474"/>
      <c r="R173" s="122"/>
      <c r="S173" s="123">
        <f>$I$17</f>
        <v>90000</v>
      </c>
      <c r="T173" s="99">
        <f t="shared" si="13"/>
        <v>0</v>
      </c>
    </row>
    <row r="174" spans="2:23" ht="14.4" thickBot="1">
      <c r="B174" s="485" t="s">
        <v>337</v>
      </c>
      <c r="C174" s="486"/>
      <c r="D174" s="486"/>
      <c r="E174" s="486"/>
      <c r="F174" s="487"/>
      <c r="G174" s="122">
        <v>36</v>
      </c>
      <c r="H174" s="123">
        <f>$I$18</f>
        <v>21000</v>
      </c>
      <c r="I174" s="99">
        <f t="shared" si="12"/>
        <v>756000</v>
      </c>
      <c r="M174" s="485" t="s">
        <v>337</v>
      </c>
      <c r="N174" s="486"/>
      <c r="O174" s="486"/>
      <c r="P174" s="486"/>
      <c r="Q174" s="487"/>
      <c r="R174" s="122"/>
      <c r="S174" s="123">
        <f>$I$18</f>
        <v>21000</v>
      </c>
      <c r="T174" s="99">
        <f t="shared" si="13"/>
        <v>0</v>
      </c>
    </row>
    <row r="175" spans="2:23">
      <c r="B175" s="485" t="s">
        <v>269</v>
      </c>
      <c r="C175" s="486"/>
      <c r="D175" s="486"/>
      <c r="E175" s="486"/>
      <c r="F175" s="487"/>
      <c r="G175" s="122">
        <v>7</v>
      </c>
      <c r="H175" s="123">
        <f>$I$19</f>
        <v>40000</v>
      </c>
      <c r="I175" s="99">
        <f t="shared" si="12"/>
        <v>280000</v>
      </c>
      <c r="J175" s="499" t="s">
        <v>275</v>
      </c>
      <c r="K175" s="500"/>
      <c r="L175" s="501"/>
      <c r="M175" s="485" t="s">
        <v>269</v>
      </c>
      <c r="N175" s="486"/>
      <c r="O175" s="486"/>
      <c r="P175" s="486"/>
      <c r="Q175" s="487"/>
      <c r="R175" s="122"/>
      <c r="S175" s="123">
        <f>$I$19</f>
        <v>40000</v>
      </c>
      <c r="T175" s="99">
        <f t="shared" si="13"/>
        <v>0</v>
      </c>
      <c r="U175" s="499" t="s">
        <v>275</v>
      </c>
      <c r="V175" s="500"/>
      <c r="W175" s="501"/>
    </row>
    <row r="176" spans="2:23" ht="14.4" thickBot="1">
      <c r="B176" s="485" t="s">
        <v>270</v>
      </c>
      <c r="C176" s="486"/>
      <c r="D176" s="486"/>
      <c r="E176" s="486"/>
      <c r="F176" s="487"/>
      <c r="G176" s="122">
        <v>7</v>
      </c>
      <c r="H176" s="123">
        <f>$I$20</f>
        <v>13000</v>
      </c>
      <c r="I176" s="99">
        <f t="shared" si="12"/>
        <v>91000</v>
      </c>
      <c r="J176" s="502"/>
      <c r="K176" s="503"/>
      <c r="L176" s="504"/>
      <c r="M176" s="485" t="s">
        <v>270</v>
      </c>
      <c r="N176" s="486"/>
      <c r="O176" s="486"/>
      <c r="P176" s="486"/>
      <c r="Q176" s="487"/>
      <c r="R176" s="122"/>
      <c r="S176" s="123">
        <f>$I$20</f>
        <v>13000</v>
      </c>
      <c r="T176" s="99">
        <f t="shared" si="13"/>
        <v>0</v>
      </c>
      <c r="U176" s="502"/>
      <c r="V176" s="503"/>
      <c r="W176" s="504"/>
    </row>
    <row r="177" spans="2:23">
      <c r="B177" s="488" t="s">
        <v>385</v>
      </c>
      <c r="C177" s="489"/>
      <c r="D177" s="489"/>
      <c r="E177" s="489"/>
      <c r="F177" s="490"/>
      <c r="G177" s="122">
        <v>19</v>
      </c>
      <c r="H177" s="123">
        <v>450000</v>
      </c>
      <c r="I177" s="99">
        <f t="shared" si="12"/>
        <v>8550000</v>
      </c>
      <c r="J177" s="491">
        <f>SUM(I159:I178)</f>
        <v>22495500</v>
      </c>
      <c r="K177" s="492"/>
      <c r="L177" s="493"/>
      <c r="M177" s="488"/>
      <c r="N177" s="489"/>
      <c r="O177" s="489"/>
      <c r="P177" s="489"/>
      <c r="Q177" s="490"/>
      <c r="R177" s="122"/>
      <c r="S177" s="123"/>
      <c r="T177" s="99">
        <f t="shared" si="13"/>
        <v>0</v>
      </c>
      <c r="U177" s="491">
        <f>SUM(T159:T178)</f>
        <v>0</v>
      </c>
      <c r="V177" s="492"/>
      <c r="W177" s="493"/>
    </row>
    <row r="178" spans="2:23" ht="14.4" thickBot="1">
      <c r="B178" s="497"/>
      <c r="C178" s="498"/>
      <c r="D178" s="498"/>
      <c r="E178" s="498"/>
      <c r="F178" s="498"/>
      <c r="G178" s="124"/>
      <c r="H178" s="125"/>
      <c r="I178" s="100">
        <f t="shared" si="12"/>
        <v>0</v>
      </c>
      <c r="J178" s="494"/>
      <c r="K178" s="495"/>
      <c r="L178" s="496"/>
      <c r="M178" s="497"/>
      <c r="N178" s="498"/>
      <c r="O178" s="498"/>
      <c r="P178" s="498"/>
      <c r="Q178" s="498"/>
      <c r="R178" s="124"/>
      <c r="S178" s="125"/>
      <c r="T178" s="100">
        <f t="shared" si="13"/>
        <v>0</v>
      </c>
      <c r="U178" s="494"/>
      <c r="V178" s="495"/>
      <c r="W178" s="496"/>
    </row>
    <row r="179" spans="2:23" ht="14.4" thickBot="1">
      <c r="B179" s="505" t="s">
        <v>271</v>
      </c>
      <c r="C179" s="506"/>
      <c r="D179" s="506"/>
      <c r="E179" s="506"/>
      <c r="F179" s="506"/>
      <c r="G179" s="506"/>
      <c r="H179" s="506"/>
      <c r="I179" s="507"/>
      <c r="M179" s="505" t="s">
        <v>271</v>
      </c>
      <c r="N179" s="506"/>
      <c r="O179" s="506"/>
      <c r="P179" s="506"/>
      <c r="Q179" s="506"/>
      <c r="R179" s="506"/>
      <c r="S179" s="506"/>
      <c r="T179" s="507"/>
    </row>
    <row r="180" spans="2:23" ht="14.4" thickBot="1">
      <c r="B180" s="467" t="s">
        <v>267</v>
      </c>
      <c r="C180" s="468"/>
      <c r="D180" s="468"/>
      <c r="E180" s="468"/>
      <c r="F180" s="468"/>
      <c r="G180" s="114" t="s">
        <v>266</v>
      </c>
      <c r="H180" s="114" t="s">
        <v>0</v>
      </c>
      <c r="I180" s="97" t="s">
        <v>265</v>
      </c>
      <c r="M180" s="467" t="s">
        <v>267</v>
      </c>
      <c r="N180" s="468"/>
      <c r="O180" s="468"/>
      <c r="P180" s="468"/>
      <c r="Q180" s="468"/>
      <c r="R180" s="114" t="s">
        <v>266</v>
      </c>
      <c r="S180" s="114" t="s">
        <v>0</v>
      </c>
      <c r="T180" s="97" t="s">
        <v>265</v>
      </c>
    </row>
    <row r="181" spans="2:23">
      <c r="B181" s="508" t="s">
        <v>272</v>
      </c>
      <c r="C181" s="509"/>
      <c r="D181" s="509"/>
      <c r="E181" s="509"/>
      <c r="F181" s="510"/>
      <c r="G181" s="116">
        <v>3</v>
      </c>
      <c r="H181" s="117">
        <f>$I$23</f>
        <v>220000</v>
      </c>
      <c r="I181" s="98">
        <f t="shared" ref="I181:I186" si="14">G181*H181</f>
        <v>660000</v>
      </c>
      <c r="M181" s="508" t="s">
        <v>272</v>
      </c>
      <c r="N181" s="509"/>
      <c r="O181" s="509"/>
      <c r="P181" s="509"/>
      <c r="Q181" s="510"/>
      <c r="R181" s="116"/>
      <c r="S181" s="117">
        <f>$I$23</f>
        <v>220000</v>
      </c>
      <c r="T181" s="98">
        <f t="shared" ref="T181:T186" si="15">R181*S181</f>
        <v>0</v>
      </c>
    </row>
    <row r="182" spans="2:23">
      <c r="B182" s="485" t="s">
        <v>273</v>
      </c>
      <c r="C182" s="486"/>
      <c r="D182" s="486"/>
      <c r="E182" s="486"/>
      <c r="F182" s="487"/>
      <c r="G182" s="122">
        <v>5</v>
      </c>
      <c r="H182" s="117">
        <f>$I$26</f>
        <v>90000</v>
      </c>
      <c r="I182" s="99">
        <f t="shared" si="14"/>
        <v>450000</v>
      </c>
      <c r="M182" s="485" t="s">
        <v>273</v>
      </c>
      <c r="N182" s="486"/>
      <c r="O182" s="486"/>
      <c r="P182" s="486"/>
      <c r="Q182" s="487"/>
      <c r="R182" s="122"/>
      <c r="S182" s="117">
        <f>$I$26</f>
        <v>90000</v>
      </c>
      <c r="T182" s="99">
        <f t="shared" si="15"/>
        <v>0</v>
      </c>
    </row>
    <row r="183" spans="2:23">
      <c r="B183" s="485" t="s">
        <v>224</v>
      </c>
      <c r="C183" s="486"/>
      <c r="D183" s="486"/>
      <c r="E183" s="486"/>
      <c r="F183" s="487"/>
      <c r="G183" s="122">
        <v>11</v>
      </c>
      <c r="H183" s="117">
        <f>$I$27</f>
        <v>60000</v>
      </c>
      <c r="I183" s="99">
        <f t="shared" si="14"/>
        <v>660000</v>
      </c>
      <c r="M183" s="485" t="s">
        <v>224</v>
      </c>
      <c r="N183" s="486"/>
      <c r="O183" s="486"/>
      <c r="P183" s="486"/>
      <c r="Q183" s="487"/>
      <c r="R183" s="122"/>
      <c r="S183" s="117">
        <f>$I$27</f>
        <v>60000</v>
      </c>
      <c r="T183" s="99">
        <f t="shared" si="15"/>
        <v>0</v>
      </c>
    </row>
    <row r="184" spans="2:23">
      <c r="B184" s="485" t="s">
        <v>274</v>
      </c>
      <c r="C184" s="486"/>
      <c r="D184" s="486"/>
      <c r="E184" s="486"/>
      <c r="F184" s="487"/>
      <c r="G184" s="122"/>
      <c r="H184" s="117">
        <f>$I$26</f>
        <v>90000</v>
      </c>
      <c r="I184" s="99">
        <f t="shared" si="14"/>
        <v>0</v>
      </c>
      <c r="M184" s="485" t="s">
        <v>274</v>
      </c>
      <c r="N184" s="486"/>
      <c r="O184" s="486"/>
      <c r="P184" s="486"/>
      <c r="Q184" s="487"/>
      <c r="R184" s="122"/>
      <c r="S184" s="117">
        <f>$I$26</f>
        <v>90000</v>
      </c>
      <c r="T184" s="99">
        <f t="shared" si="15"/>
        <v>0</v>
      </c>
    </row>
    <row r="185" spans="2:23">
      <c r="B185" s="485" t="s">
        <v>226</v>
      </c>
      <c r="C185" s="486"/>
      <c r="D185" s="486"/>
      <c r="E185" s="486"/>
      <c r="F185" s="487"/>
      <c r="G185" s="122"/>
      <c r="H185" s="117"/>
      <c r="I185" s="99">
        <f t="shared" si="14"/>
        <v>0</v>
      </c>
      <c r="M185" s="485" t="s">
        <v>226</v>
      </c>
      <c r="N185" s="486"/>
      <c r="O185" s="486"/>
      <c r="P185" s="486"/>
      <c r="Q185" s="487"/>
      <c r="R185" s="122"/>
      <c r="S185" s="117"/>
      <c r="T185" s="99">
        <f t="shared" si="15"/>
        <v>0</v>
      </c>
    </row>
    <row r="186" spans="2:23">
      <c r="B186" s="126" t="s">
        <v>227</v>
      </c>
      <c r="C186" s="127"/>
      <c r="D186" s="127"/>
      <c r="E186" s="127"/>
      <c r="F186" s="128"/>
      <c r="G186" s="122"/>
      <c r="H186" s="117"/>
      <c r="I186" s="99">
        <f t="shared" si="14"/>
        <v>0</v>
      </c>
      <c r="M186" s="126" t="s">
        <v>227</v>
      </c>
      <c r="N186" s="127"/>
      <c r="O186" s="127"/>
      <c r="P186" s="127"/>
      <c r="Q186" s="128"/>
      <c r="R186" s="122"/>
      <c r="S186" s="117"/>
      <c r="T186" s="99">
        <f t="shared" si="15"/>
        <v>0</v>
      </c>
    </row>
    <row r="187" spans="2:23">
      <c r="B187" s="126" t="s">
        <v>225</v>
      </c>
      <c r="C187" s="127"/>
      <c r="D187" s="127"/>
      <c r="E187" s="127"/>
      <c r="F187" s="128"/>
      <c r="G187" s="122"/>
      <c r="H187" s="117"/>
      <c r="I187" s="99"/>
      <c r="M187" s="126" t="s">
        <v>225</v>
      </c>
      <c r="N187" s="127"/>
      <c r="O187" s="127"/>
      <c r="P187" s="127"/>
      <c r="Q187" s="128"/>
      <c r="R187" s="122"/>
      <c r="S187" s="117"/>
      <c r="T187" s="99"/>
    </row>
    <row r="188" spans="2:23" ht="14.4" thickBot="1">
      <c r="B188" s="126"/>
      <c r="C188" s="127"/>
      <c r="D188" s="127"/>
      <c r="E188" s="127"/>
      <c r="F188" s="128"/>
      <c r="G188" s="122"/>
      <c r="H188" s="123"/>
      <c r="I188" s="99">
        <f t="shared" ref="I188:I192" si="16">G188*H188</f>
        <v>0</v>
      </c>
      <c r="M188" s="126"/>
      <c r="N188" s="127"/>
      <c r="O188" s="127"/>
      <c r="P188" s="127"/>
      <c r="Q188" s="128"/>
      <c r="R188" s="122"/>
      <c r="S188" s="123"/>
      <c r="T188" s="99">
        <f t="shared" ref="T188:T192" si="17">R188*S188</f>
        <v>0</v>
      </c>
    </row>
    <row r="189" spans="2:23">
      <c r="B189" s="485"/>
      <c r="C189" s="486"/>
      <c r="D189" s="486"/>
      <c r="E189" s="486"/>
      <c r="F189" s="487"/>
      <c r="G189" s="122"/>
      <c r="H189" s="123"/>
      <c r="I189" s="99">
        <f t="shared" si="16"/>
        <v>0</v>
      </c>
      <c r="J189" s="499" t="s">
        <v>275</v>
      </c>
      <c r="K189" s="500"/>
      <c r="L189" s="501"/>
      <c r="M189" s="485"/>
      <c r="N189" s="486"/>
      <c r="O189" s="486"/>
      <c r="P189" s="486"/>
      <c r="Q189" s="487"/>
      <c r="R189" s="122"/>
      <c r="S189" s="123"/>
      <c r="T189" s="99">
        <f t="shared" si="17"/>
        <v>0</v>
      </c>
      <c r="U189" s="499" t="s">
        <v>275</v>
      </c>
      <c r="V189" s="500"/>
      <c r="W189" s="501"/>
    </row>
    <row r="190" spans="2:23" ht="14.4" thickBot="1">
      <c r="B190" s="485"/>
      <c r="C190" s="486"/>
      <c r="D190" s="486"/>
      <c r="E190" s="486"/>
      <c r="F190" s="487"/>
      <c r="G190" s="122"/>
      <c r="H190" s="123"/>
      <c r="I190" s="99">
        <f t="shared" si="16"/>
        <v>0</v>
      </c>
      <c r="J190" s="502"/>
      <c r="K190" s="503"/>
      <c r="L190" s="504"/>
      <c r="M190" s="485"/>
      <c r="N190" s="486"/>
      <c r="O190" s="486"/>
      <c r="P190" s="486"/>
      <c r="Q190" s="487"/>
      <c r="R190" s="122"/>
      <c r="S190" s="123"/>
      <c r="T190" s="99">
        <f t="shared" si="17"/>
        <v>0</v>
      </c>
      <c r="U190" s="502"/>
      <c r="V190" s="503"/>
      <c r="W190" s="504"/>
    </row>
    <row r="191" spans="2:23">
      <c r="B191" s="485"/>
      <c r="C191" s="486"/>
      <c r="D191" s="486"/>
      <c r="E191" s="486"/>
      <c r="F191" s="487"/>
      <c r="G191" s="122"/>
      <c r="H191" s="123"/>
      <c r="I191" s="99">
        <f t="shared" si="16"/>
        <v>0</v>
      </c>
      <c r="J191" s="491">
        <f>SUM(I181:I192)</f>
        <v>1770000</v>
      </c>
      <c r="K191" s="492"/>
      <c r="L191" s="493"/>
      <c r="M191" s="485"/>
      <c r="N191" s="486"/>
      <c r="O191" s="486"/>
      <c r="P191" s="486"/>
      <c r="Q191" s="487"/>
      <c r="R191" s="122"/>
      <c r="S191" s="123"/>
      <c r="T191" s="99">
        <f t="shared" si="17"/>
        <v>0</v>
      </c>
      <c r="U191" s="491">
        <f>SUM(T181:T192)</f>
        <v>0</v>
      </c>
      <c r="V191" s="492"/>
      <c r="W191" s="493"/>
    </row>
    <row r="192" spans="2:23" ht="14.4" thickBot="1">
      <c r="B192" s="129"/>
      <c r="C192" s="130"/>
      <c r="D192" s="130"/>
      <c r="E192" s="130"/>
      <c r="F192" s="131"/>
      <c r="G192" s="124"/>
      <c r="H192" s="125"/>
      <c r="I192" s="100">
        <f t="shared" si="16"/>
        <v>0</v>
      </c>
      <c r="J192" s="494"/>
      <c r="K192" s="495"/>
      <c r="L192" s="496"/>
      <c r="M192" s="129"/>
      <c r="N192" s="130"/>
      <c r="O192" s="130"/>
      <c r="P192" s="130"/>
      <c r="Q192" s="131"/>
      <c r="R192" s="124"/>
      <c r="S192" s="125"/>
      <c r="T192" s="100">
        <f t="shared" si="17"/>
        <v>0</v>
      </c>
      <c r="U192" s="494"/>
      <c r="V192" s="495"/>
      <c r="W192" s="496"/>
    </row>
    <row r="193" spans="2:23" ht="14.4" thickBot="1">
      <c r="B193" s="511" t="s">
        <v>25</v>
      </c>
      <c r="C193" s="512"/>
      <c r="D193" s="512"/>
      <c r="E193" s="512"/>
      <c r="F193" s="512"/>
      <c r="G193" s="512"/>
      <c r="H193" s="512"/>
      <c r="I193" s="513"/>
      <c r="J193" s="132"/>
      <c r="K193" s="132"/>
      <c r="L193" s="132"/>
      <c r="M193" s="511" t="s">
        <v>25</v>
      </c>
      <c r="N193" s="512"/>
      <c r="O193" s="512"/>
      <c r="P193" s="512"/>
      <c r="Q193" s="512"/>
      <c r="R193" s="512"/>
      <c r="S193" s="512"/>
      <c r="T193" s="513"/>
      <c r="U193" s="132"/>
      <c r="V193" s="132"/>
      <c r="W193" s="132"/>
    </row>
    <row r="194" spans="2:23" ht="14.4" thickBot="1">
      <c r="B194" s="514" t="s">
        <v>267</v>
      </c>
      <c r="C194" s="515"/>
      <c r="D194" s="515"/>
      <c r="E194" s="515"/>
      <c r="F194" s="515"/>
      <c r="G194" s="133" t="s">
        <v>266</v>
      </c>
      <c r="H194" s="134" t="s">
        <v>0</v>
      </c>
      <c r="I194" s="101" t="s">
        <v>265</v>
      </c>
      <c r="J194" s="132"/>
      <c r="K194" s="132"/>
      <c r="L194" s="132"/>
      <c r="M194" s="514" t="s">
        <v>267</v>
      </c>
      <c r="N194" s="515"/>
      <c r="O194" s="515"/>
      <c r="P194" s="515"/>
      <c r="Q194" s="515"/>
      <c r="R194" s="133" t="s">
        <v>266</v>
      </c>
      <c r="S194" s="134" t="s">
        <v>0</v>
      </c>
      <c r="T194" s="101" t="s">
        <v>265</v>
      </c>
      <c r="U194" s="132"/>
      <c r="V194" s="132"/>
      <c r="W194" s="132"/>
    </row>
    <row r="195" spans="2:23">
      <c r="B195" s="516" t="s">
        <v>31</v>
      </c>
      <c r="C195" s="517"/>
      <c r="D195" s="517"/>
      <c r="E195" s="517"/>
      <c r="F195" s="518"/>
      <c r="G195" s="116">
        <v>1</v>
      </c>
      <c r="H195" s="117">
        <f>$R$4</f>
        <v>300000</v>
      </c>
      <c r="I195" s="99">
        <f t="shared" ref="I195:I197" si="18">G195*H195</f>
        <v>300000</v>
      </c>
      <c r="J195" s="132"/>
      <c r="K195" s="132"/>
      <c r="L195" s="132"/>
      <c r="M195" s="516" t="s">
        <v>31</v>
      </c>
      <c r="N195" s="517"/>
      <c r="O195" s="517"/>
      <c r="P195" s="517"/>
      <c r="Q195" s="518"/>
      <c r="R195" s="116"/>
      <c r="S195" s="117">
        <f>$R$4</f>
        <v>300000</v>
      </c>
      <c r="T195" s="99">
        <f t="shared" ref="T195:T197" si="19">R195*S195</f>
        <v>0</v>
      </c>
      <c r="U195" s="132"/>
      <c r="V195" s="132"/>
      <c r="W195" s="132"/>
    </row>
    <row r="196" spans="2:23">
      <c r="B196" s="519" t="s">
        <v>11</v>
      </c>
      <c r="C196" s="520"/>
      <c r="D196" s="520"/>
      <c r="E196" s="520"/>
      <c r="F196" s="521"/>
      <c r="G196" s="122">
        <v>1</v>
      </c>
      <c r="H196" s="117">
        <f>$R$5</f>
        <v>65000</v>
      </c>
      <c r="I196" s="99">
        <f t="shared" si="18"/>
        <v>65000</v>
      </c>
      <c r="J196" s="132"/>
      <c r="K196" s="132"/>
      <c r="L196" s="132"/>
      <c r="M196" s="519" t="s">
        <v>11</v>
      </c>
      <c r="N196" s="520"/>
      <c r="O196" s="520"/>
      <c r="P196" s="520"/>
      <c r="Q196" s="521"/>
      <c r="R196" s="122"/>
      <c r="S196" s="117">
        <f>$R$5</f>
        <v>65000</v>
      </c>
      <c r="T196" s="99">
        <f t="shared" si="19"/>
        <v>0</v>
      </c>
      <c r="U196" s="132"/>
      <c r="V196" s="132"/>
      <c r="W196" s="132"/>
    </row>
    <row r="197" spans="2:23">
      <c r="B197" s="519" t="s">
        <v>32</v>
      </c>
      <c r="C197" s="520"/>
      <c r="D197" s="520"/>
      <c r="E197" s="520"/>
      <c r="F197" s="521"/>
      <c r="G197" s="122">
        <v>1</v>
      </c>
      <c r="H197" s="117">
        <f>$R$6</f>
        <v>250000</v>
      </c>
      <c r="I197" s="99">
        <f t="shared" si="18"/>
        <v>250000</v>
      </c>
      <c r="J197" s="132"/>
      <c r="K197" s="132"/>
      <c r="L197" s="132"/>
      <c r="M197" s="519" t="s">
        <v>32</v>
      </c>
      <c r="N197" s="520"/>
      <c r="O197" s="520"/>
      <c r="P197" s="520"/>
      <c r="Q197" s="521"/>
      <c r="R197" s="122"/>
      <c r="S197" s="117">
        <f>$R$6</f>
        <v>250000</v>
      </c>
      <c r="T197" s="99">
        <f t="shared" si="19"/>
        <v>0</v>
      </c>
      <c r="U197" s="132"/>
      <c r="V197" s="132"/>
      <c r="W197" s="132"/>
    </row>
    <row r="198" spans="2:23">
      <c r="B198" s="519" t="s">
        <v>327</v>
      </c>
      <c r="C198" s="520"/>
      <c r="D198" s="520"/>
      <c r="E198" s="520"/>
      <c r="F198" s="521"/>
      <c r="G198" s="122">
        <v>130</v>
      </c>
      <c r="H198" s="117">
        <f>$R$7</f>
        <v>30000</v>
      </c>
      <c r="I198" s="99">
        <f>G198*H198</f>
        <v>3900000</v>
      </c>
      <c r="M198" s="519" t="s">
        <v>327</v>
      </c>
      <c r="N198" s="520"/>
      <c r="O198" s="520"/>
      <c r="P198" s="520"/>
      <c r="Q198" s="521"/>
      <c r="R198" s="122"/>
      <c r="S198" s="117">
        <f>$R$7</f>
        <v>30000</v>
      </c>
      <c r="T198" s="99">
        <f>R198*S198</f>
        <v>0</v>
      </c>
    </row>
    <row r="199" spans="2:23">
      <c r="B199" s="519" t="s">
        <v>100</v>
      </c>
      <c r="C199" s="520"/>
      <c r="D199" s="520"/>
      <c r="E199" s="520"/>
      <c r="F199" s="521"/>
      <c r="G199" s="122"/>
      <c r="H199" s="117">
        <f>$R$8</f>
        <v>30000</v>
      </c>
      <c r="I199" s="99">
        <f t="shared" ref="I199:I206" si="20">G199*H199</f>
        <v>0</v>
      </c>
      <c r="M199" s="519" t="s">
        <v>100</v>
      </c>
      <c r="N199" s="520"/>
      <c r="O199" s="520"/>
      <c r="P199" s="520"/>
      <c r="Q199" s="521"/>
      <c r="R199" s="122"/>
      <c r="S199" s="117">
        <f>$R$8</f>
        <v>30000</v>
      </c>
      <c r="T199" s="99">
        <f t="shared" ref="T199:T206" si="21">R199*S199</f>
        <v>0</v>
      </c>
    </row>
    <row r="200" spans="2:23">
      <c r="B200" s="519" t="s">
        <v>328</v>
      </c>
      <c r="C200" s="520"/>
      <c r="D200" s="520"/>
      <c r="E200" s="520"/>
      <c r="F200" s="521"/>
      <c r="G200" s="122"/>
      <c r="H200" s="117">
        <f>$R$9</f>
        <v>50000</v>
      </c>
      <c r="I200" s="99">
        <f t="shared" si="20"/>
        <v>0</v>
      </c>
      <c r="M200" s="519" t="s">
        <v>328</v>
      </c>
      <c r="N200" s="520"/>
      <c r="O200" s="520"/>
      <c r="P200" s="520"/>
      <c r="Q200" s="521"/>
      <c r="R200" s="122"/>
      <c r="S200" s="117">
        <f>$R$9</f>
        <v>50000</v>
      </c>
      <c r="T200" s="99">
        <f t="shared" si="21"/>
        <v>0</v>
      </c>
    </row>
    <row r="201" spans="2:23">
      <c r="B201" s="519" t="s">
        <v>325</v>
      </c>
      <c r="C201" s="520"/>
      <c r="D201" s="520"/>
      <c r="E201" s="520"/>
      <c r="F201" s="521"/>
      <c r="G201" s="122">
        <v>75</v>
      </c>
      <c r="H201" s="117">
        <f>$R$10</f>
        <v>15000</v>
      </c>
      <c r="I201" s="99">
        <f t="shared" si="20"/>
        <v>1125000</v>
      </c>
      <c r="M201" s="519" t="s">
        <v>325</v>
      </c>
      <c r="N201" s="520"/>
      <c r="O201" s="520"/>
      <c r="P201" s="520"/>
      <c r="Q201" s="521"/>
      <c r="R201" s="122"/>
      <c r="S201" s="117">
        <f>$R$10</f>
        <v>15000</v>
      </c>
      <c r="T201" s="99">
        <f t="shared" si="21"/>
        <v>0</v>
      </c>
    </row>
    <row r="202" spans="2:23" ht="14.4" thickBot="1">
      <c r="B202" s="519" t="s">
        <v>326</v>
      </c>
      <c r="C202" s="520"/>
      <c r="D202" s="520"/>
      <c r="E202" s="520"/>
      <c r="F202" s="521"/>
      <c r="G202" s="122">
        <v>75</v>
      </c>
      <c r="H202" s="117">
        <f>$R$11</f>
        <v>15000</v>
      </c>
      <c r="I202" s="99">
        <f t="shared" si="20"/>
        <v>1125000</v>
      </c>
      <c r="M202" s="519" t="s">
        <v>326</v>
      </c>
      <c r="N202" s="520"/>
      <c r="O202" s="520"/>
      <c r="P202" s="520"/>
      <c r="Q202" s="521"/>
      <c r="R202" s="122"/>
      <c r="S202" s="117">
        <f>$R$11</f>
        <v>15000</v>
      </c>
      <c r="T202" s="99">
        <f t="shared" si="21"/>
        <v>0</v>
      </c>
    </row>
    <row r="203" spans="2:23">
      <c r="B203" s="135" t="s">
        <v>276</v>
      </c>
      <c r="C203" s="136"/>
      <c r="D203" s="136"/>
      <c r="E203" s="136"/>
      <c r="F203" s="137"/>
      <c r="G203" s="122">
        <v>6</v>
      </c>
      <c r="H203" s="117">
        <f>$R$12</f>
        <v>75000</v>
      </c>
      <c r="I203" s="99">
        <f t="shared" si="20"/>
        <v>450000</v>
      </c>
      <c r="J203" s="499" t="s">
        <v>275</v>
      </c>
      <c r="K203" s="500"/>
      <c r="L203" s="501"/>
      <c r="M203" s="135" t="s">
        <v>276</v>
      </c>
      <c r="N203" s="136"/>
      <c r="O203" s="136"/>
      <c r="P203" s="136"/>
      <c r="Q203" s="137"/>
      <c r="R203" s="122"/>
      <c r="S203" s="117">
        <f>$R$12</f>
        <v>75000</v>
      </c>
      <c r="T203" s="99">
        <f t="shared" si="21"/>
        <v>0</v>
      </c>
      <c r="U203" s="499" t="s">
        <v>275</v>
      </c>
      <c r="V203" s="500"/>
      <c r="W203" s="501"/>
    </row>
    <row r="204" spans="2:23" ht="14.4" thickBot="1">
      <c r="B204" s="135" t="s">
        <v>277</v>
      </c>
      <c r="C204" s="136"/>
      <c r="D204" s="136"/>
      <c r="E204" s="136"/>
      <c r="F204" s="137"/>
      <c r="G204" s="122">
        <v>2</v>
      </c>
      <c r="H204" s="117">
        <f>$R$13</f>
        <v>75000</v>
      </c>
      <c r="I204" s="99">
        <f t="shared" si="20"/>
        <v>150000</v>
      </c>
      <c r="J204" s="502"/>
      <c r="K204" s="503"/>
      <c r="L204" s="504"/>
      <c r="M204" s="135" t="s">
        <v>277</v>
      </c>
      <c r="N204" s="136"/>
      <c r="O204" s="136"/>
      <c r="P204" s="136"/>
      <c r="Q204" s="137"/>
      <c r="R204" s="122"/>
      <c r="S204" s="117">
        <f>$R$13</f>
        <v>75000</v>
      </c>
      <c r="T204" s="99">
        <f t="shared" si="21"/>
        <v>0</v>
      </c>
      <c r="U204" s="502"/>
      <c r="V204" s="503"/>
      <c r="W204" s="504"/>
    </row>
    <row r="205" spans="2:23">
      <c r="B205" s="519" t="s">
        <v>75</v>
      </c>
      <c r="C205" s="520"/>
      <c r="D205" s="520"/>
      <c r="E205" s="520"/>
      <c r="F205" s="521"/>
      <c r="G205" s="122">
        <v>36</v>
      </c>
      <c r="H205" s="117">
        <f>$R$14</f>
        <v>30000</v>
      </c>
      <c r="I205" s="99">
        <f t="shared" si="20"/>
        <v>1080000</v>
      </c>
      <c r="J205" s="491">
        <f>SUM(I195:I206)</f>
        <v>8685000</v>
      </c>
      <c r="K205" s="492"/>
      <c r="L205" s="493"/>
      <c r="M205" s="519" t="s">
        <v>347</v>
      </c>
      <c r="N205" s="520"/>
      <c r="O205" s="520"/>
      <c r="P205" s="520"/>
      <c r="Q205" s="521"/>
      <c r="R205" s="122"/>
      <c r="S205" s="117">
        <f>$R$14</f>
        <v>30000</v>
      </c>
      <c r="T205" s="99">
        <f t="shared" si="21"/>
        <v>0</v>
      </c>
      <c r="U205" s="491">
        <f>SUM(T195:T206)</f>
        <v>0</v>
      </c>
      <c r="V205" s="492"/>
      <c r="W205" s="493"/>
    </row>
    <row r="206" spans="2:23" ht="14.4" thickBot="1">
      <c r="B206" s="519" t="s">
        <v>12</v>
      </c>
      <c r="C206" s="520"/>
      <c r="D206" s="520"/>
      <c r="E206" s="520"/>
      <c r="F206" s="521"/>
      <c r="G206" s="124">
        <v>20</v>
      </c>
      <c r="H206" s="117">
        <f>$R$15</f>
        <v>12000</v>
      </c>
      <c r="I206" s="99">
        <f t="shared" si="20"/>
        <v>240000</v>
      </c>
      <c r="J206" s="494"/>
      <c r="K206" s="495"/>
      <c r="L206" s="496"/>
      <c r="M206" s="519" t="s">
        <v>12</v>
      </c>
      <c r="N206" s="520"/>
      <c r="O206" s="520"/>
      <c r="P206" s="520"/>
      <c r="Q206" s="521"/>
      <c r="R206" s="124"/>
      <c r="S206" s="117">
        <f>$R$15</f>
        <v>12000</v>
      </c>
      <c r="T206" s="99">
        <f t="shared" si="21"/>
        <v>0</v>
      </c>
      <c r="U206" s="494"/>
      <c r="V206" s="495"/>
      <c r="W206" s="496"/>
    </row>
    <row r="207" spans="2:23" ht="14.4" thickBot="1">
      <c r="B207" s="522" t="s">
        <v>27</v>
      </c>
      <c r="C207" s="523"/>
      <c r="D207" s="523"/>
      <c r="E207" s="523"/>
      <c r="F207" s="523"/>
      <c r="G207" s="523"/>
      <c r="H207" s="523"/>
      <c r="I207" s="524"/>
      <c r="M207" s="522" t="s">
        <v>27</v>
      </c>
      <c r="N207" s="523"/>
      <c r="O207" s="523"/>
      <c r="P207" s="523"/>
      <c r="Q207" s="523"/>
      <c r="R207" s="523"/>
      <c r="S207" s="523"/>
      <c r="T207" s="524"/>
    </row>
    <row r="208" spans="2:23" ht="14.4" thickBot="1">
      <c r="B208" s="522" t="s">
        <v>267</v>
      </c>
      <c r="C208" s="523"/>
      <c r="D208" s="523"/>
      <c r="E208" s="523"/>
      <c r="F208" s="523"/>
      <c r="G208" s="138" t="s">
        <v>266</v>
      </c>
      <c r="H208" s="138" t="s">
        <v>0</v>
      </c>
      <c r="I208" s="102" t="s">
        <v>265</v>
      </c>
      <c r="M208" s="522" t="s">
        <v>267</v>
      </c>
      <c r="N208" s="523"/>
      <c r="O208" s="523"/>
      <c r="P208" s="523"/>
      <c r="Q208" s="523"/>
      <c r="R208" s="138" t="s">
        <v>266</v>
      </c>
      <c r="S208" s="138" t="s">
        <v>0</v>
      </c>
      <c r="T208" s="102" t="s">
        <v>265</v>
      </c>
    </row>
    <row r="209" spans="2:23">
      <c r="B209" s="525" t="s">
        <v>278</v>
      </c>
      <c r="C209" s="526"/>
      <c r="D209" s="526"/>
      <c r="E209" s="526"/>
      <c r="F209" s="527"/>
      <c r="G209" s="116">
        <v>1</v>
      </c>
      <c r="H209" s="117">
        <v>1500000</v>
      </c>
      <c r="I209" s="99">
        <f t="shared" ref="I209:I220" si="22">G209*H209</f>
        <v>1500000</v>
      </c>
      <c r="M209" s="525" t="s">
        <v>348</v>
      </c>
      <c r="N209" s="526"/>
      <c r="O209" s="526"/>
      <c r="P209" s="526"/>
      <c r="Q209" s="527"/>
      <c r="R209" s="116"/>
      <c r="S209" s="117"/>
      <c r="T209" s="99">
        <f t="shared" ref="T209:T220" si="23">R209*S209</f>
        <v>0</v>
      </c>
    </row>
    <row r="210" spans="2:23">
      <c r="B210" s="525" t="s">
        <v>279</v>
      </c>
      <c r="C210" s="526"/>
      <c r="D210" s="526"/>
      <c r="E210" s="526"/>
      <c r="F210" s="527"/>
      <c r="G210" s="122"/>
      <c r="H210" s="123"/>
      <c r="I210" s="99">
        <f t="shared" si="22"/>
        <v>0</v>
      </c>
      <c r="M210" s="525" t="s">
        <v>349</v>
      </c>
      <c r="N210" s="526"/>
      <c r="O210" s="526"/>
      <c r="P210" s="526"/>
      <c r="Q210" s="527"/>
      <c r="R210" s="122"/>
      <c r="S210" s="123"/>
      <c r="T210" s="99">
        <f t="shared" si="23"/>
        <v>0</v>
      </c>
    </row>
    <row r="211" spans="2:23">
      <c r="B211" s="528" t="s">
        <v>280</v>
      </c>
      <c r="C211" s="529"/>
      <c r="D211" s="529"/>
      <c r="E211" s="529"/>
      <c r="F211" s="530"/>
      <c r="G211" s="122">
        <v>1</v>
      </c>
      <c r="H211" s="123">
        <v>1000000</v>
      </c>
      <c r="I211" s="99">
        <f t="shared" si="22"/>
        <v>1000000</v>
      </c>
      <c r="M211" s="528" t="s">
        <v>280</v>
      </c>
      <c r="N211" s="529"/>
      <c r="O211" s="529"/>
      <c r="P211" s="529"/>
      <c r="Q211" s="530"/>
      <c r="R211" s="122"/>
      <c r="S211" s="123"/>
      <c r="T211" s="99">
        <f t="shared" si="23"/>
        <v>0</v>
      </c>
    </row>
    <row r="212" spans="2:23">
      <c r="B212" s="528" t="s">
        <v>94</v>
      </c>
      <c r="C212" s="529"/>
      <c r="D212" s="529"/>
      <c r="E212" s="529"/>
      <c r="F212" s="530"/>
      <c r="G212" s="122"/>
      <c r="H212" s="123"/>
      <c r="I212" s="99">
        <f t="shared" si="22"/>
        <v>0</v>
      </c>
      <c r="M212" s="528" t="s">
        <v>94</v>
      </c>
      <c r="N212" s="529"/>
      <c r="O212" s="529"/>
      <c r="P212" s="529"/>
      <c r="Q212" s="530"/>
      <c r="R212" s="122"/>
      <c r="S212" s="123"/>
      <c r="T212" s="99">
        <f t="shared" si="23"/>
        <v>0</v>
      </c>
    </row>
    <row r="213" spans="2:23">
      <c r="B213" s="139" t="s">
        <v>281</v>
      </c>
      <c r="C213" s="140"/>
      <c r="D213" s="140"/>
      <c r="E213" s="140"/>
      <c r="F213" s="141"/>
      <c r="G213" s="122">
        <v>1</v>
      </c>
      <c r="H213" s="123">
        <v>850000</v>
      </c>
      <c r="I213" s="99">
        <f t="shared" si="22"/>
        <v>850000</v>
      </c>
      <c r="M213" s="139" t="s">
        <v>283</v>
      </c>
      <c r="N213" s="140"/>
      <c r="O213" s="140"/>
      <c r="P213" s="140"/>
      <c r="Q213" s="141"/>
      <c r="R213" s="122"/>
      <c r="S213" s="123"/>
      <c r="T213" s="99">
        <f t="shared" si="23"/>
        <v>0</v>
      </c>
    </row>
    <row r="214" spans="2:23">
      <c r="B214" s="528" t="s">
        <v>284</v>
      </c>
      <c r="C214" s="529"/>
      <c r="D214" s="529"/>
      <c r="E214" s="529"/>
      <c r="F214" s="530"/>
      <c r="G214" s="122">
        <v>2</v>
      </c>
      <c r="H214" s="123">
        <v>600000</v>
      </c>
      <c r="I214" s="99">
        <f t="shared" si="22"/>
        <v>1200000</v>
      </c>
      <c r="M214" s="528" t="s">
        <v>350</v>
      </c>
      <c r="N214" s="529"/>
      <c r="O214" s="529"/>
      <c r="P214" s="529"/>
      <c r="Q214" s="530"/>
      <c r="R214" s="122"/>
      <c r="S214" s="123"/>
      <c r="T214" s="99">
        <f t="shared" si="23"/>
        <v>0</v>
      </c>
    </row>
    <row r="215" spans="2:23">
      <c r="B215" s="528" t="s">
        <v>285</v>
      </c>
      <c r="C215" s="529"/>
      <c r="D215" s="529"/>
      <c r="E215" s="529"/>
      <c r="F215" s="530"/>
      <c r="G215" s="122"/>
      <c r="H215" s="123"/>
      <c r="I215" s="99">
        <f t="shared" si="22"/>
        <v>0</v>
      </c>
      <c r="M215" s="528" t="s">
        <v>287</v>
      </c>
      <c r="N215" s="529"/>
      <c r="O215" s="529"/>
      <c r="P215" s="529"/>
      <c r="Q215" s="530"/>
      <c r="R215" s="122"/>
      <c r="S215" s="123"/>
      <c r="T215" s="99">
        <f t="shared" si="23"/>
        <v>0</v>
      </c>
    </row>
    <row r="216" spans="2:23" ht="14.4" thickBot="1">
      <c r="B216" s="139" t="s">
        <v>288</v>
      </c>
      <c r="C216" s="140"/>
      <c r="D216" s="140"/>
      <c r="E216" s="140"/>
      <c r="F216" s="141"/>
      <c r="G216" s="122"/>
      <c r="H216" s="123"/>
      <c r="I216" s="99">
        <f t="shared" si="22"/>
        <v>0</v>
      </c>
      <c r="M216" s="139" t="s">
        <v>351</v>
      </c>
      <c r="N216" s="140"/>
      <c r="O216" s="140"/>
      <c r="P216" s="140"/>
      <c r="Q216" s="141"/>
      <c r="R216" s="122"/>
      <c r="S216" s="123"/>
      <c r="T216" s="99">
        <f t="shared" si="23"/>
        <v>0</v>
      </c>
    </row>
    <row r="217" spans="2:23">
      <c r="B217" s="528" t="s">
        <v>289</v>
      </c>
      <c r="C217" s="529"/>
      <c r="D217" s="529"/>
      <c r="E217" s="529"/>
      <c r="F217" s="530"/>
      <c r="G217" s="122">
        <v>2</v>
      </c>
      <c r="H217" s="123">
        <v>600000</v>
      </c>
      <c r="I217" s="99">
        <f t="shared" si="22"/>
        <v>1200000</v>
      </c>
      <c r="J217" s="499" t="s">
        <v>275</v>
      </c>
      <c r="K217" s="500"/>
      <c r="L217" s="501"/>
      <c r="M217" s="528" t="s">
        <v>352</v>
      </c>
      <c r="N217" s="529"/>
      <c r="O217" s="529"/>
      <c r="P217" s="529"/>
      <c r="Q217" s="530"/>
      <c r="R217" s="122"/>
      <c r="S217" s="123"/>
      <c r="T217" s="99">
        <f t="shared" si="23"/>
        <v>0</v>
      </c>
      <c r="U217" s="499" t="s">
        <v>275</v>
      </c>
      <c r="V217" s="500"/>
      <c r="W217" s="501"/>
    </row>
    <row r="218" spans="2:23" ht="14.4" thickBot="1">
      <c r="B218" s="528" t="s">
        <v>290</v>
      </c>
      <c r="C218" s="529"/>
      <c r="D218" s="529"/>
      <c r="E218" s="529"/>
      <c r="F218" s="530"/>
      <c r="G218" s="122">
        <v>1</v>
      </c>
      <c r="H218" s="123">
        <v>250000</v>
      </c>
      <c r="I218" s="99">
        <f t="shared" si="22"/>
        <v>250000</v>
      </c>
      <c r="J218" s="502"/>
      <c r="K218" s="503"/>
      <c r="L218" s="504"/>
      <c r="M218" s="528" t="s">
        <v>353</v>
      </c>
      <c r="N218" s="529"/>
      <c r="O218" s="529"/>
      <c r="P218" s="529"/>
      <c r="Q218" s="530"/>
      <c r="R218" s="122"/>
      <c r="S218" s="123"/>
      <c r="T218" s="99">
        <f t="shared" si="23"/>
        <v>0</v>
      </c>
      <c r="U218" s="502"/>
      <c r="V218" s="503"/>
      <c r="W218" s="504"/>
    </row>
    <row r="219" spans="2:23">
      <c r="B219" s="528"/>
      <c r="C219" s="529"/>
      <c r="D219" s="529"/>
      <c r="E219" s="529"/>
      <c r="F219" s="530"/>
      <c r="G219" s="122"/>
      <c r="H219" s="123"/>
      <c r="I219" s="99">
        <f t="shared" si="22"/>
        <v>0</v>
      </c>
      <c r="J219" s="491">
        <f>SUM(I209:I220)</f>
        <v>6000000</v>
      </c>
      <c r="K219" s="492"/>
      <c r="L219" s="493"/>
      <c r="M219" s="528"/>
      <c r="N219" s="529"/>
      <c r="O219" s="529"/>
      <c r="P219" s="529"/>
      <c r="Q219" s="530"/>
      <c r="R219" s="122"/>
      <c r="S219" s="123"/>
      <c r="T219" s="99">
        <f t="shared" si="23"/>
        <v>0</v>
      </c>
      <c r="U219" s="491">
        <f>SUM(T209:T220)</f>
        <v>0</v>
      </c>
      <c r="V219" s="492"/>
      <c r="W219" s="493"/>
    </row>
    <row r="220" spans="2:23" ht="14.4" thickBot="1">
      <c r="B220" s="537"/>
      <c r="C220" s="538"/>
      <c r="D220" s="538"/>
      <c r="E220" s="538"/>
      <c r="F220" s="539"/>
      <c r="G220" s="124"/>
      <c r="H220" s="125"/>
      <c r="I220" s="100">
        <f t="shared" si="22"/>
        <v>0</v>
      </c>
      <c r="J220" s="494"/>
      <c r="K220" s="495"/>
      <c r="L220" s="496"/>
      <c r="M220" s="537"/>
      <c r="N220" s="538"/>
      <c r="O220" s="538"/>
      <c r="P220" s="538"/>
      <c r="Q220" s="539"/>
      <c r="R220" s="124"/>
      <c r="S220" s="125"/>
      <c r="T220" s="100">
        <f t="shared" si="23"/>
        <v>0</v>
      </c>
      <c r="U220" s="494"/>
      <c r="V220" s="495"/>
      <c r="W220" s="496"/>
    </row>
    <row r="221" spans="2:23" ht="14.4" thickBot="1">
      <c r="B221" s="531" t="s">
        <v>26</v>
      </c>
      <c r="C221" s="532"/>
      <c r="D221" s="532"/>
      <c r="E221" s="532"/>
      <c r="F221" s="532"/>
      <c r="G221" s="532"/>
      <c r="H221" s="532"/>
      <c r="I221" s="533"/>
      <c r="J221" s="132"/>
      <c r="K221" s="132"/>
      <c r="L221" s="132"/>
      <c r="M221" s="531" t="s">
        <v>26</v>
      </c>
      <c r="N221" s="532"/>
      <c r="O221" s="532"/>
      <c r="P221" s="532"/>
      <c r="Q221" s="532"/>
      <c r="R221" s="532"/>
      <c r="S221" s="532"/>
      <c r="T221" s="533"/>
      <c r="U221" s="132"/>
      <c r="V221" s="132"/>
      <c r="W221" s="132"/>
    </row>
    <row r="222" spans="2:23" ht="14.4" thickBot="1">
      <c r="B222" s="531" t="s">
        <v>267</v>
      </c>
      <c r="C222" s="532"/>
      <c r="D222" s="532"/>
      <c r="E222" s="532"/>
      <c r="F222" s="532"/>
      <c r="G222" s="142" t="s">
        <v>266</v>
      </c>
      <c r="H222" s="142" t="s">
        <v>0</v>
      </c>
      <c r="I222" s="103" t="s">
        <v>265</v>
      </c>
      <c r="J222" s="132"/>
      <c r="K222" s="132"/>
      <c r="L222" s="132"/>
      <c r="M222" s="531" t="s">
        <v>267</v>
      </c>
      <c r="N222" s="532"/>
      <c r="O222" s="532"/>
      <c r="P222" s="532"/>
      <c r="Q222" s="532"/>
      <c r="R222" s="142" t="s">
        <v>266</v>
      </c>
      <c r="S222" s="142" t="s">
        <v>0</v>
      </c>
      <c r="T222" s="103" t="s">
        <v>265</v>
      </c>
      <c r="U222" s="132"/>
      <c r="V222" s="132"/>
      <c r="W222" s="132"/>
    </row>
    <row r="223" spans="2:23">
      <c r="B223" s="534" t="s">
        <v>296</v>
      </c>
      <c r="C223" s="535"/>
      <c r="D223" s="535"/>
      <c r="E223" s="535"/>
      <c r="F223" s="536"/>
      <c r="G223" s="143">
        <v>3</v>
      </c>
      <c r="H223" s="144">
        <v>50000</v>
      </c>
      <c r="I223" s="104">
        <f t="shared" ref="I223:I239" si="24">G223*H223</f>
        <v>150000</v>
      </c>
      <c r="M223" s="534" t="s">
        <v>296</v>
      </c>
      <c r="N223" s="535"/>
      <c r="O223" s="535"/>
      <c r="P223" s="535"/>
      <c r="Q223" s="536"/>
      <c r="R223" s="143"/>
      <c r="S223" s="144"/>
      <c r="T223" s="104">
        <f t="shared" ref="T223:T239" si="25">R223*S223</f>
        <v>0</v>
      </c>
    </row>
    <row r="224" spans="2:23">
      <c r="B224" s="540" t="s">
        <v>295</v>
      </c>
      <c r="C224" s="541"/>
      <c r="D224" s="541"/>
      <c r="E224" s="541"/>
      <c r="F224" s="542"/>
      <c r="G224" s="122">
        <v>1</v>
      </c>
      <c r="H224" s="123">
        <v>15000</v>
      </c>
      <c r="I224" s="99">
        <f t="shared" si="24"/>
        <v>15000</v>
      </c>
      <c r="M224" s="540" t="s">
        <v>295</v>
      </c>
      <c r="N224" s="541"/>
      <c r="O224" s="541"/>
      <c r="P224" s="541"/>
      <c r="Q224" s="542"/>
      <c r="R224" s="122"/>
      <c r="S224" s="123"/>
      <c r="T224" s="99">
        <f t="shared" si="25"/>
        <v>0</v>
      </c>
    </row>
    <row r="225" spans="2:23">
      <c r="B225" s="540" t="s">
        <v>330</v>
      </c>
      <c r="C225" s="541"/>
      <c r="D225" s="541"/>
      <c r="E225" s="541"/>
      <c r="F225" s="542"/>
      <c r="G225" s="122">
        <v>2</v>
      </c>
      <c r="H225" s="123">
        <v>15000</v>
      </c>
      <c r="I225" s="99">
        <f t="shared" si="24"/>
        <v>30000</v>
      </c>
      <c r="M225" s="540" t="s">
        <v>330</v>
      </c>
      <c r="N225" s="541"/>
      <c r="O225" s="541"/>
      <c r="P225" s="541"/>
      <c r="Q225" s="542"/>
      <c r="R225" s="122"/>
      <c r="S225" s="123"/>
      <c r="T225" s="99">
        <f t="shared" si="25"/>
        <v>0</v>
      </c>
    </row>
    <row r="226" spans="2:23">
      <c r="B226" s="540" t="s">
        <v>329</v>
      </c>
      <c r="C226" s="541"/>
      <c r="D226" s="541"/>
      <c r="E226" s="541"/>
      <c r="F226" s="542"/>
      <c r="G226" s="122">
        <v>4</v>
      </c>
      <c r="H226" s="123">
        <v>12000</v>
      </c>
      <c r="I226" s="99">
        <f t="shared" si="24"/>
        <v>48000</v>
      </c>
      <c r="M226" s="540" t="s">
        <v>329</v>
      </c>
      <c r="N226" s="541"/>
      <c r="O226" s="541"/>
      <c r="P226" s="541"/>
      <c r="Q226" s="542"/>
      <c r="R226" s="122"/>
      <c r="S226" s="123"/>
      <c r="T226" s="99">
        <f t="shared" si="25"/>
        <v>0</v>
      </c>
    </row>
    <row r="227" spans="2:23">
      <c r="B227" s="540" t="s">
        <v>331</v>
      </c>
      <c r="C227" s="541"/>
      <c r="D227" s="541"/>
      <c r="E227" s="541"/>
      <c r="F227" s="542"/>
      <c r="G227" s="122">
        <v>1</v>
      </c>
      <c r="H227" s="123">
        <v>28000</v>
      </c>
      <c r="I227" s="99">
        <f t="shared" si="24"/>
        <v>28000</v>
      </c>
      <c r="M227" s="540" t="s">
        <v>331</v>
      </c>
      <c r="N227" s="541"/>
      <c r="O227" s="541"/>
      <c r="P227" s="541"/>
      <c r="Q227" s="542"/>
      <c r="R227" s="122"/>
      <c r="S227" s="123"/>
      <c r="T227" s="99">
        <f t="shared" si="25"/>
        <v>0</v>
      </c>
    </row>
    <row r="228" spans="2:23">
      <c r="B228" s="145" t="s">
        <v>42</v>
      </c>
      <c r="C228" s="146"/>
      <c r="D228" s="146"/>
      <c r="E228" s="146"/>
      <c r="F228" s="147"/>
      <c r="G228" s="122">
        <v>2</v>
      </c>
      <c r="H228" s="123">
        <v>200000</v>
      </c>
      <c r="I228" s="99">
        <f t="shared" si="24"/>
        <v>400000</v>
      </c>
      <c r="M228" s="145" t="s">
        <v>42</v>
      </c>
      <c r="N228" s="146"/>
      <c r="O228" s="146"/>
      <c r="P228" s="146"/>
      <c r="Q228" s="147"/>
      <c r="R228" s="122"/>
      <c r="S228" s="123"/>
      <c r="T228" s="99">
        <f t="shared" si="25"/>
        <v>0</v>
      </c>
    </row>
    <row r="229" spans="2:23">
      <c r="B229" s="145" t="s">
        <v>41</v>
      </c>
      <c r="C229" s="146"/>
      <c r="D229" s="146"/>
      <c r="E229" s="146"/>
      <c r="F229" s="147"/>
      <c r="G229" s="122"/>
      <c r="H229" s="123">
        <v>150000</v>
      </c>
      <c r="I229" s="99">
        <f t="shared" si="24"/>
        <v>0</v>
      </c>
      <c r="M229" s="145" t="s">
        <v>41</v>
      </c>
      <c r="N229" s="146"/>
      <c r="O229" s="146"/>
      <c r="P229" s="146"/>
      <c r="Q229" s="147"/>
      <c r="R229" s="122"/>
      <c r="S229" s="123"/>
      <c r="T229" s="99">
        <f t="shared" si="25"/>
        <v>0</v>
      </c>
    </row>
    <row r="230" spans="2:23">
      <c r="B230" s="145" t="s">
        <v>3</v>
      </c>
      <c r="C230" s="146"/>
      <c r="D230" s="146"/>
      <c r="E230" s="146"/>
      <c r="F230" s="147"/>
      <c r="G230" s="122">
        <v>3</v>
      </c>
      <c r="H230" s="123">
        <v>100000</v>
      </c>
      <c r="I230" s="99">
        <f t="shared" si="24"/>
        <v>300000</v>
      </c>
      <c r="M230" s="145" t="s">
        <v>3</v>
      </c>
      <c r="N230" s="146"/>
      <c r="O230" s="146"/>
      <c r="P230" s="146"/>
      <c r="Q230" s="147"/>
      <c r="R230" s="122"/>
      <c r="S230" s="123"/>
      <c r="T230" s="99">
        <f t="shared" si="25"/>
        <v>0</v>
      </c>
    </row>
    <row r="231" spans="2:23">
      <c r="B231" s="145" t="s">
        <v>4</v>
      </c>
      <c r="C231" s="146"/>
      <c r="D231" s="146"/>
      <c r="E231" s="146"/>
      <c r="F231" s="147"/>
      <c r="G231" s="122">
        <v>3</v>
      </c>
      <c r="H231" s="123">
        <v>75000</v>
      </c>
      <c r="I231" s="99">
        <f t="shared" si="24"/>
        <v>225000</v>
      </c>
      <c r="M231" s="145" t="s">
        <v>4</v>
      </c>
      <c r="N231" s="146"/>
      <c r="O231" s="146"/>
      <c r="P231" s="146"/>
      <c r="Q231" s="147"/>
      <c r="R231" s="122"/>
      <c r="S231" s="123"/>
      <c r="T231" s="99">
        <f t="shared" si="25"/>
        <v>0</v>
      </c>
    </row>
    <row r="232" spans="2:23">
      <c r="B232" s="145" t="s">
        <v>67</v>
      </c>
      <c r="C232" s="146"/>
      <c r="D232" s="146"/>
      <c r="E232" s="146"/>
      <c r="F232" s="147"/>
      <c r="G232" s="122">
        <v>8</v>
      </c>
      <c r="H232" s="123">
        <v>500</v>
      </c>
      <c r="I232" s="99">
        <f t="shared" si="24"/>
        <v>4000</v>
      </c>
      <c r="M232" s="145" t="s">
        <v>67</v>
      </c>
      <c r="N232" s="146"/>
      <c r="O232" s="146"/>
      <c r="P232" s="146"/>
      <c r="Q232" s="147"/>
      <c r="R232" s="122"/>
      <c r="S232" s="123"/>
      <c r="T232" s="99">
        <f t="shared" si="25"/>
        <v>0</v>
      </c>
    </row>
    <row r="233" spans="2:23">
      <c r="B233" s="145" t="s">
        <v>68</v>
      </c>
      <c r="C233" s="146"/>
      <c r="D233" s="146"/>
      <c r="E233" s="146"/>
      <c r="F233" s="147"/>
      <c r="G233" s="122">
        <v>18</v>
      </c>
      <c r="H233" s="123">
        <v>500</v>
      </c>
      <c r="I233" s="99">
        <f t="shared" si="24"/>
        <v>9000</v>
      </c>
      <c r="M233" s="145" t="s">
        <v>68</v>
      </c>
      <c r="N233" s="146"/>
      <c r="O233" s="146"/>
      <c r="P233" s="146"/>
      <c r="Q233" s="147"/>
      <c r="R233" s="122"/>
      <c r="S233" s="123"/>
      <c r="T233" s="99">
        <f t="shared" si="25"/>
        <v>0</v>
      </c>
    </row>
    <row r="234" spans="2:23">
      <c r="B234" s="540" t="s">
        <v>70</v>
      </c>
      <c r="C234" s="541"/>
      <c r="D234" s="541"/>
      <c r="E234" s="541"/>
      <c r="F234" s="542"/>
      <c r="G234" s="122">
        <v>18</v>
      </c>
      <c r="H234" s="123">
        <v>6000</v>
      </c>
      <c r="I234" s="99">
        <f t="shared" si="24"/>
        <v>108000</v>
      </c>
      <c r="M234" s="540" t="s">
        <v>70</v>
      </c>
      <c r="N234" s="541"/>
      <c r="O234" s="541"/>
      <c r="P234" s="541"/>
      <c r="Q234" s="542"/>
      <c r="R234" s="122"/>
      <c r="S234" s="123"/>
      <c r="T234" s="99">
        <f t="shared" si="25"/>
        <v>0</v>
      </c>
    </row>
    <row r="235" spans="2:23" ht="14.4" thickBot="1">
      <c r="B235" s="540" t="s">
        <v>380</v>
      </c>
      <c r="C235" s="541"/>
      <c r="D235" s="541"/>
      <c r="E235" s="541"/>
      <c r="F235" s="542"/>
      <c r="G235" s="122">
        <v>12</v>
      </c>
      <c r="H235" s="123">
        <v>15000</v>
      </c>
      <c r="I235" s="99">
        <f t="shared" si="24"/>
        <v>180000</v>
      </c>
      <c r="M235" s="540" t="s">
        <v>380</v>
      </c>
      <c r="N235" s="541"/>
      <c r="O235" s="541"/>
      <c r="P235" s="541"/>
      <c r="Q235" s="542"/>
      <c r="R235" s="122"/>
      <c r="S235" s="123"/>
      <c r="T235" s="99">
        <f t="shared" si="25"/>
        <v>0</v>
      </c>
    </row>
    <row r="236" spans="2:23">
      <c r="B236" s="540" t="s">
        <v>16</v>
      </c>
      <c r="C236" s="541"/>
      <c r="D236" s="541"/>
      <c r="E236" s="541"/>
      <c r="F236" s="542"/>
      <c r="G236" s="122">
        <v>1</v>
      </c>
      <c r="H236" s="123">
        <v>150000</v>
      </c>
      <c r="I236" s="99">
        <f t="shared" si="24"/>
        <v>150000</v>
      </c>
      <c r="J236" s="499" t="s">
        <v>275</v>
      </c>
      <c r="K236" s="500"/>
      <c r="L236" s="501"/>
      <c r="M236" s="540" t="s">
        <v>16</v>
      </c>
      <c r="N236" s="541"/>
      <c r="O236" s="541"/>
      <c r="P236" s="541"/>
      <c r="Q236" s="542"/>
      <c r="R236" s="122"/>
      <c r="S236" s="123"/>
      <c r="T236" s="99">
        <f t="shared" si="25"/>
        <v>0</v>
      </c>
      <c r="U236" s="499" t="s">
        <v>275</v>
      </c>
      <c r="V236" s="500"/>
      <c r="W236" s="501"/>
    </row>
    <row r="237" spans="2:23" ht="14.4" thickBot="1">
      <c r="B237" s="540" t="s">
        <v>17</v>
      </c>
      <c r="C237" s="541"/>
      <c r="D237" s="541"/>
      <c r="E237" s="541"/>
      <c r="F237" s="542"/>
      <c r="G237" s="122">
        <v>1</v>
      </c>
      <c r="H237" s="123">
        <v>150000</v>
      </c>
      <c r="I237" s="99">
        <f t="shared" si="24"/>
        <v>150000</v>
      </c>
      <c r="J237" s="502"/>
      <c r="K237" s="503"/>
      <c r="L237" s="504"/>
      <c r="M237" s="540" t="s">
        <v>17</v>
      </c>
      <c r="N237" s="541"/>
      <c r="O237" s="541"/>
      <c r="P237" s="541"/>
      <c r="Q237" s="542"/>
      <c r="R237" s="122"/>
      <c r="S237" s="123"/>
      <c r="T237" s="99">
        <f t="shared" si="25"/>
        <v>0</v>
      </c>
      <c r="U237" s="502"/>
      <c r="V237" s="503"/>
      <c r="W237" s="504"/>
    </row>
    <row r="238" spans="2:23">
      <c r="B238" s="540"/>
      <c r="C238" s="541"/>
      <c r="D238" s="541"/>
      <c r="E238" s="541"/>
      <c r="F238" s="542"/>
      <c r="G238" s="122"/>
      <c r="H238" s="123"/>
      <c r="I238" s="99">
        <f t="shared" si="24"/>
        <v>0</v>
      </c>
      <c r="J238" s="491">
        <f>SUM(I223:I239)</f>
        <v>1797000</v>
      </c>
      <c r="K238" s="492"/>
      <c r="L238" s="493"/>
      <c r="M238" s="540"/>
      <c r="N238" s="541"/>
      <c r="O238" s="541"/>
      <c r="P238" s="541"/>
      <c r="Q238" s="542"/>
      <c r="R238" s="122"/>
      <c r="S238" s="123"/>
      <c r="T238" s="99">
        <f t="shared" si="25"/>
        <v>0</v>
      </c>
      <c r="U238" s="491">
        <f>SUM(T223:T239)</f>
        <v>0</v>
      </c>
      <c r="V238" s="492"/>
      <c r="W238" s="493"/>
    </row>
    <row r="239" spans="2:23" ht="14.4" thickBot="1">
      <c r="B239" s="543"/>
      <c r="C239" s="544"/>
      <c r="D239" s="544"/>
      <c r="E239" s="544"/>
      <c r="F239" s="545"/>
      <c r="G239" s="124"/>
      <c r="H239" s="125"/>
      <c r="I239" s="100">
        <f t="shared" si="24"/>
        <v>0</v>
      </c>
      <c r="J239" s="494"/>
      <c r="K239" s="495"/>
      <c r="L239" s="496"/>
      <c r="M239" s="543"/>
      <c r="N239" s="544"/>
      <c r="O239" s="544"/>
      <c r="P239" s="544"/>
      <c r="Q239" s="545"/>
      <c r="R239" s="124"/>
      <c r="S239" s="125"/>
      <c r="T239" s="100">
        <f t="shared" si="25"/>
        <v>0</v>
      </c>
      <c r="U239" s="494"/>
      <c r="V239" s="495"/>
      <c r="W239" s="496"/>
    </row>
    <row r="240" spans="2:23" ht="14.4" thickBot="1">
      <c r="B240" s="546" t="s">
        <v>297</v>
      </c>
      <c r="C240" s="547"/>
      <c r="D240" s="547"/>
      <c r="E240" s="547"/>
      <c r="F240" s="547"/>
      <c r="G240" s="547"/>
      <c r="H240" s="547"/>
      <c r="I240" s="548"/>
      <c r="J240" s="132"/>
      <c r="K240" s="132"/>
      <c r="L240" s="132"/>
      <c r="M240" s="546" t="s">
        <v>297</v>
      </c>
      <c r="N240" s="547"/>
      <c r="O240" s="547"/>
      <c r="P240" s="547"/>
      <c r="Q240" s="547"/>
      <c r="R240" s="547"/>
      <c r="S240" s="547"/>
      <c r="T240" s="548"/>
      <c r="U240" s="132"/>
      <c r="V240" s="132"/>
      <c r="W240" s="132"/>
    </row>
    <row r="241" spans="2:23" ht="14.4" thickBot="1">
      <c r="B241" s="546" t="s">
        <v>267</v>
      </c>
      <c r="C241" s="547"/>
      <c r="D241" s="547"/>
      <c r="E241" s="547"/>
      <c r="F241" s="547"/>
      <c r="G241" s="148" t="s">
        <v>266</v>
      </c>
      <c r="H241" s="148" t="s">
        <v>0</v>
      </c>
      <c r="I241" s="105" t="s">
        <v>265</v>
      </c>
      <c r="J241" s="132"/>
      <c r="K241" s="132"/>
      <c r="L241" s="132"/>
      <c r="M241" s="546" t="s">
        <v>267</v>
      </c>
      <c r="N241" s="547"/>
      <c r="O241" s="547"/>
      <c r="P241" s="547"/>
      <c r="Q241" s="547"/>
      <c r="R241" s="148" t="s">
        <v>266</v>
      </c>
      <c r="S241" s="148" t="s">
        <v>0</v>
      </c>
      <c r="T241" s="105" t="s">
        <v>265</v>
      </c>
      <c r="U241" s="132"/>
      <c r="V241" s="132"/>
      <c r="W241" s="132"/>
    </row>
    <row r="242" spans="2:23">
      <c r="B242" s="549" t="s">
        <v>333</v>
      </c>
      <c r="C242" s="550"/>
      <c r="D242" s="550"/>
      <c r="E242" s="550"/>
      <c r="F242" s="551"/>
      <c r="G242" s="116">
        <v>1</v>
      </c>
      <c r="H242" s="117">
        <v>2500000</v>
      </c>
      <c r="I242" s="99">
        <f t="shared" ref="I242:I253" si="26">G242*H242</f>
        <v>2500000</v>
      </c>
      <c r="M242" s="549" t="s">
        <v>333</v>
      </c>
      <c r="N242" s="550"/>
      <c r="O242" s="550"/>
      <c r="P242" s="550"/>
      <c r="Q242" s="551"/>
      <c r="R242" s="116"/>
      <c r="S242" s="117"/>
      <c r="T242" s="98"/>
    </row>
    <row r="243" spans="2:23">
      <c r="B243" s="552" t="s">
        <v>291</v>
      </c>
      <c r="C243" s="553"/>
      <c r="D243" s="553"/>
      <c r="E243" s="553"/>
      <c r="F243" s="554"/>
      <c r="G243" s="122">
        <v>1</v>
      </c>
      <c r="H243" s="123">
        <v>1000000</v>
      </c>
      <c r="I243" s="99">
        <f t="shared" si="26"/>
        <v>1000000</v>
      </c>
      <c r="M243" s="552" t="s">
        <v>291</v>
      </c>
      <c r="N243" s="553"/>
      <c r="O243" s="553"/>
      <c r="P243" s="553"/>
      <c r="Q243" s="554"/>
      <c r="R243" s="122"/>
      <c r="S243" s="123"/>
      <c r="T243" s="99">
        <f t="shared" ref="T243:T253" si="27">R243*S243</f>
        <v>0</v>
      </c>
    </row>
    <row r="244" spans="2:23">
      <c r="B244" s="552" t="s">
        <v>292</v>
      </c>
      <c r="C244" s="553"/>
      <c r="D244" s="553"/>
      <c r="E244" s="553"/>
      <c r="F244" s="554"/>
      <c r="G244" s="122">
        <v>1</v>
      </c>
      <c r="H244" s="123">
        <v>200000</v>
      </c>
      <c r="I244" s="99">
        <f t="shared" si="26"/>
        <v>200000</v>
      </c>
      <c r="M244" s="552" t="s">
        <v>292</v>
      </c>
      <c r="N244" s="553"/>
      <c r="O244" s="553"/>
      <c r="P244" s="553"/>
      <c r="Q244" s="554"/>
      <c r="R244" s="122"/>
      <c r="S244" s="123"/>
      <c r="T244" s="99">
        <f t="shared" si="27"/>
        <v>0</v>
      </c>
    </row>
    <row r="245" spans="2:23">
      <c r="B245" s="552" t="s">
        <v>293</v>
      </c>
      <c r="C245" s="553"/>
      <c r="D245" s="553"/>
      <c r="E245" s="553"/>
      <c r="F245" s="554"/>
      <c r="G245" s="122">
        <v>1</v>
      </c>
      <c r="H245" s="123">
        <v>500000</v>
      </c>
      <c r="I245" s="99">
        <f t="shared" si="26"/>
        <v>500000</v>
      </c>
      <c r="M245" s="552" t="s">
        <v>293</v>
      </c>
      <c r="N245" s="553"/>
      <c r="O245" s="553"/>
      <c r="P245" s="553"/>
      <c r="Q245" s="554"/>
      <c r="R245" s="122"/>
      <c r="S245" s="123"/>
      <c r="T245" s="99">
        <f t="shared" si="27"/>
        <v>0</v>
      </c>
    </row>
    <row r="246" spans="2:23">
      <c r="B246" s="552" t="s">
        <v>193</v>
      </c>
      <c r="C246" s="553"/>
      <c r="D246" s="553"/>
      <c r="E246" s="553"/>
      <c r="F246" s="554"/>
      <c r="G246" s="122">
        <v>1</v>
      </c>
      <c r="H246" s="123">
        <v>650000</v>
      </c>
      <c r="I246" s="99">
        <f t="shared" si="26"/>
        <v>650000</v>
      </c>
      <c r="M246" s="552" t="s">
        <v>193</v>
      </c>
      <c r="N246" s="553"/>
      <c r="O246" s="553"/>
      <c r="P246" s="553"/>
      <c r="Q246" s="554"/>
      <c r="R246" s="122"/>
      <c r="S246" s="123"/>
      <c r="T246" s="99">
        <f t="shared" si="27"/>
        <v>0</v>
      </c>
    </row>
    <row r="247" spans="2:23">
      <c r="B247" s="552" t="s">
        <v>294</v>
      </c>
      <c r="C247" s="553"/>
      <c r="D247" s="553"/>
      <c r="E247" s="553"/>
      <c r="F247" s="554"/>
      <c r="G247" s="122">
        <v>1</v>
      </c>
      <c r="H247" s="123">
        <v>300000</v>
      </c>
      <c r="I247" s="99">
        <f t="shared" si="26"/>
        <v>300000</v>
      </c>
      <c r="M247" s="552" t="s">
        <v>294</v>
      </c>
      <c r="N247" s="553"/>
      <c r="O247" s="553"/>
      <c r="P247" s="553"/>
      <c r="Q247" s="554"/>
      <c r="R247" s="122"/>
      <c r="S247" s="123"/>
      <c r="T247" s="99">
        <f t="shared" si="27"/>
        <v>0</v>
      </c>
    </row>
    <row r="248" spans="2:23">
      <c r="B248" s="552"/>
      <c r="C248" s="553"/>
      <c r="D248" s="553"/>
      <c r="E248" s="553"/>
      <c r="F248" s="554"/>
      <c r="G248" s="122"/>
      <c r="H248" s="123"/>
      <c r="I248" s="99">
        <f t="shared" si="26"/>
        <v>0</v>
      </c>
      <c r="M248" s="552"/>
      <c r="N248" s="553"/>
      <c r="O248" s="553"/>
      <c r="P248" s="553"/>
      <c r="Q248" s="554"/>
      <c r="R248" s="122"/>
      <c r="S248" s="123"/>
      <c r="T248" s="99">
        <f t="shared" si="27"/>
        <v>0</v>
      </c>
    </row>
    <row r="249" spans="2:23" ht="14.4" thickBot="1">
      <c r="B249" s="552"/>
      <c r="C249" s="553"/>
      <c r="D249" s="553"/>
      <c r="E249" s="553"/>
      <c r="F249" s="554"/>
      <c r="G249" s="122"/>
      <c r="H249" s="123"/>
      <c r="I249" s="99">
        <f t="shared" si="26"/>
        <v>0</v>
      </c>
      <c r="M249" s="552"/>
      <c r="N249" s="553"/>
      <c r="O249" s="553"/>
      <c r="P249" s="553"/>
      <c r="Q249" s="554"/>
      <c r="R249" s="122"/>
      <c r="S249" s="123"/>
      <c r="T249" s="99">
        <f t="shared" si="27"/>
        <v>0</v>
      </c>
    </row>
    <row r="250" spans="2:23">
      <c r="B250" s="552"/>
      <c r="C250" s="553"/>
      <c r="D250" s="553"/>
      <c r="E250" s="553"/>
      <c r="F250" s="554"/>
      <c r="G250" s="122"/>
      <c r="H250" s="123"/>
      <c r="I250" s="99">
        <f t="shared" si="26"/>
        <v>0</v>
      </c>
      <c r="J250" s="499" t="s">
        <v>275</v>
      </c>
      <c r="K250" s="500"/>
      <c r="L250" s="501"/>
      <c r="M250" s="552"/>
      <c r="N250" s="553"/>
      <c r="O250" s="553"/>
      <c r="P250" s="553"/>
      <c r="Q250" s="554"/>
      <c r="R250" s="122"/>
      <c r="S250" s="123"/>
      <c r="T250" s="99">
        <f t="shared" si="27"/>
        <v>0</v>
      </c>
      <c r="U250" s="499" t="s">
        <v>275</v>
      </c>
      <c r="V250" s="500"/>
      <c r="W250" s="501"/>
    </row>
    <row r="251" spans="2:23" ht="14.4" thickBot="1">
      <c r="B251" s="557" t="s">
        <v>2</v>
      </c>
      <c r="C251" s="558"/>
      <c r="D251" s="558"/>
      <c r="E251" s="558"/>
      <c r="F251" s="559"/>
      <c r="G251" s="149">
        <v>1</v>
      </c>
      <c r="H251" s="150">
        <v>950000</v>
      </c>
      <c r="I251" s="100">
        <f t="shared" si="26"/>
        <v>950000</v>
      </c>
      <c r="J251" s="502"/>
      <c r="K251" s="503"/>
      <c r="L251" s="504"/>
      <c r="M251" s="557" t="s">
        <v>2</v>
      </c>
      <c r="N251" s="558"/>
      <c r="O251" s="558"/>
      <c r="P251" s="558"/>
      <c r="Q251" s="559"/>
      <c r="R251" s="149"/>
      <c r="S251" s="150"/>
      <c r="T251" s="100">
        <f t="shared" si="27"/>
        <v>0</v>
      </c>
      <c r="U251" s="502"/>
      <c r="V251" s="503"/>
      <c r="W251" s="504"/>
    </row>
    <row r="252" spans="2:23">
      <c r="B252" s="555" t="s">
        <v>22</v>
      </c>
      <c r="C252" s="556"/>
      <c r="D252" s="556"/>
      <c r="E252" s="556"/>
      <c r="F252" s="556"/>
      <c r="G252" s="122">
        <v>1</v>
      </c>
      <c r="H252" s="123">
        <v>1000000</v>
      </c>
      <c r="I252" s="99">
        <f t="shared" si="26"/>
        <v>1000000</v>
      </c>
      <c r="J252" s="491">
        <f>SUM(I242:I253)</f>
        <v>7450000</v>
      </c>
      <c r="K252" s="492"/>
      <c r="L252" s="493"/>
      <c r="M252" s="555" t="s">
        <v>22</v>
      </c>
      <c r="N252" s="556"/>
      <c r="O252" s="556"/>
      <c r="P252" s="556"/>
      <c r="Q252" s="556"/>
      <c r="R252" s="122"/>
      <c r="S252" s="123"/>
      <c r="T252" s="99">
        <f t="shared" si="27"/>
        <v>0</v>
      </c>
      <c r="U252" s="491">
        <f>SUM(T242:T253)</f>
        <v>0</v>
      </c>
      <c r="V252" s="492"/>
      <c r="W252" s="493"/>
    </row>
    <row r="253" spans="2:23" ht="14.4" thickBot="1">
      <c r="B253" s="555" t="s">
        <v>21</v>
      </c>
      <c r="C253" s="556"/>
      <c r="D253" s="556"/>
      <c r="E253" s="556"/>
      <c r="F253" s="556"/>
      <c r="G253" s="122">
        <v>1</v>
      </c>
      <c r="H253" s="123">
        <v>350000</v>
      </c>
      <c r="I253" s="99">
        <f t="shared" si="26"/>
        <v>350000</v>
      </c>
      <c r="J253" s="494"/>
      <c r="K253" s="495"/>
      <c r="L253" s="496"/>
      <c r="M253" s="555" t="s">
        <v>21</v>
      </c>
      <c r="N253" s="556"/>
      <c r="O253" s="556"/>
      <c r="P253" s="556"/>
      <c r="Q253" s="556"/>
      <c r="R253" s="122"/>
      <c r="S253" s="123"/>
      <c r="T253" s="99">
        <f t="shared" si="27"/>
        <v>0</v>
      </c>
      <c r="U253" s="494"/>
      <c r="V253" s="495"/>
      <c r="W253" s="496"/>
    </row>
    <row r="254" spans="2:23" ht="14.4" thickBot="1">
      <c r="B254" s="560" t="s">
        <v>334</v>
      </c>
      <c r="C254" s="561"/>
      <c r="D254" s="561"/>
      <c r="E254" s="561"/>
      <c r="F254" s="561"/>
      <c r="G254" s="561"/>
      <c r="H254" s="561"/>
      <c r="I254" s="562"/>
      <c r="J254" s="151"/>
      <c r="K254" s="132"/>
      <c r="L254" s="132"/>
      <c r="M254" s="560" t="s">
        <v>334</v>
      </c>
      <c r="N254" s="561"/>
      <c r="O254" s="561"/>
      <c r="P254" s="561"/>
      <c r="Q254" s="561"/>
      <c r="R254" s="561"/>
      <c r="S254" s="561"/>
      <c r="T254" s="562"/>
      <c r="U254" s="151"/>
      <c r="V254" s="132"/>
      <c r="W254" s="132"/>
    </row>
    <row r="255" spans="2:23" ht="14.4" thickBot="1">
      <c r="B255" s="560" t="s">
        <v>267</v>
      </c>
      <c r="C255" s="561"/>
      <c r="D255" s="561"/>
      <c r="E255" s="561"/>
      <c r="F255" s="561"/>
      <c r="G255" s="152" t="s">
        <v>266</v>
      </c>
      <c r="H255" s="152" t="s">
        <v>0</v>
      </c>
      <c r="I255" s="106" t="s">
        <v>265</v>
      </c>
      <c r="J255" s="151"/>
      <c r="K255" s="132"/>
      <c r="L255" s="132"/>
      <c r="M255" s="560" t="s">
        <v>267</v>
      </c>
      <c r="N255" s="561"/>
      <c r="O255" s="561"/>
      <c r="P255" s="561"/>
      <c r="Q255" s="561"/>
      <c r="R255" s="152" t="s">
        <v>266</v>
      </c>
      <c r="S255" s="152" t="s">
        <v>0</v>
      </c>
      <c r="T255" s="106" t="s">
        <v>265</v>
      </c>
      <c r="U255" s="151"/>
      <c r="V255" s="132"/>
      <c r="W255" s="132"/>
    </row>
    <row r="256" spans="2:23">
      <c r="B256" s="563" t="s">
        <v>8</v>
      </c>
      <c r="C256" s="564"/>
      <c r="D256" s="564"/>
      <c r="E256" s="564"/>
      <c r="F256" s="564"/>
      <c r="G256" s="122">
        <v>1</v>
      </c>
      <c r="H256" s="123">
        <v>7000000</v>
      </c>
      <c r="I256" s="99">
        <f t="shared" ref="I256:I259" si="28">G256*H256</f>
        <v>7000000</v>
      </c>
      <c r="J256" s="499" t="s">
        <v>275</v>
      </c>
      <c r="K256" s="500"/>
      <c r="L256" s="501"/>
      <c r="M256" s="563" t="s">
        <v>8</v>
      </c>
      <c r="N256" s="564"/>
      <c r="O256" s="564"/>
      <c r="P256" s="564"/>
      <c r="Q256" s="564"/>
      <c r="R256" s="122"/>
      <c r="S256" s="123"/>
      <c r="T256" s="99">
        <f t="shared" ref="T256:T259" si="29">R256*S256</f>
        <v>0</v>
      </c>
      <c r="U256" s="499" t="s">
        <v>275</v>
      </c>
      <c r="V256" s="500"/>
      <c r="W256" s="501"/>
    </row>
    <row r="257" spans="2:23" ht="14.4" thickBot="1">
      <c r="B257" s="563" t="s">
        <v>9</v>
      </c>
      <c r="C257" s="564"/>
      <c r="D257" s="564"/>
      <c r="E257" s="564"/>
      <c r="F257" s="564"/>
      <c r="G257" s="122">
        <v>1</v>
      </c>
      <c r="H257" s="123">
        <v>900000</v>
      </c>
      <c r="I257" s="99">
        <f t="shared" si="28"/>
        <v>900000</v>
      </c>
      <c r="J257" s="502"/>
      <c r="K257" s="503"/>
      <c r="L257" s="504"/>
      <c r="M257" s="563" t="s">
        <v>9</v>
      </c>
      <c r="N257" s="564"/>
      <c r="O257" s="564"/>
      <c r="P257" s="564"/>
      <c r="Q257" s="564"/>
      <c r="R257" s="122"/>
      <c r="S257" s="123"/>
      <c r="T257" s="99">
        <f t="shared" si="29"/>
        <v>0</v>
      </c>
      <c r="U257" s="502"/>
      <c r="V257" s="503"/>
      <c r="W257" s="504"/>
    </row>
    <row r="258" spans="2:23">
      <c r="B258" s="563" t="s">
        <v>335</v>
      </c>
      <c r="C258" s="564"/>
      <c r="D258" s="564"/>
      <c r="E258" s="564"/>
      <c r="F258" s="564"/>
      <c r="G258" s="122">
        <v>1</v>
      </c>
      <c r="H258" s="123">
        <v>500000</v>
      </c>
      <c r="I258" s="99">
        <f t="shared" si="28"/>
        <v>500000</v>
      </c>
      <c r="J258" s="491">
        <f>SUM(I256:I259)</f>
        <v>8900000</v>
      </c>
      <c r="K258" s="492"/>
      <c r="L258" s="493"/>
      <c r="M258" s="563" t="s">
        <v>335</v>
      </c>
      <c r="N258" s="564"/>
      <c r="O258" s="564"/>
      <c r="P258" s="564"/>
      <c r="Q258" s="564"/>
      <c r="R258" s="122"/>
      <c r="S258" s="123"/>
      <c r="T258" s="99">
        <f t="shared" si="29"/>
        <v>0</v>
      </c>
      <c r="U258" s="491">
        <f>SUM(T256:T259)</f>
        <v>0</v>
      </c>
      <c r="V258" s="492"/>
      <c r="W258" s="493"/>
    </row>
    <row r="259" spans="2:23" ht="14.4" thickBot="1">
      <c r="B259" s="583" t="s">
        <v>336</v>
      </c>
      <c r="C259" s="584"/>
      <c r="D259" s="584"/>
      <c r="E259" s="584"/>
      <c r="F259" s="584"/>
      <c r="G259" s="153">
        <v>1</v>
      </c>
      <c r="H259" s="154">
        <v>500000</v>
      </c>
      <c r="I259" s="107">
        <f t="shared" si="28"/>
        <v>500000</v>
      </c>
      <c r="J259" s="494"/>
      <c r="K259" s="495"/>
      <c r="L259" s="496"/>
      <c r="M259" s="583" t="s">
        <v>336</v>
      </c>
      <c r="N259" s="584"/>
      <c r="O259" s="584"/>
      <c r="P259" s="584"/>
      <c r="Q259" s="584"/>
      <c r="R259" s="153"/>
      <c r="S259" s="154"/>
      <c r="T259" s="107">
        <f t="shared" si="29"/>
        <v>0</v>
      </c>
      <c r="U259" s="494"/>
      <c r="V259" s="495"/>
      <c r="W259" s="496"/>
    </row>
    <row r="260" spans="2:23">
      <c r="B260" s="565" t="s">
        <v>298</v>
      </c>
      <c r="C260" s="566"/>
      <c r="D260" s="566"/>
      <c r="E260" s="566"/>
      <c r="F260" s="566"/>
      <c r="G260" s="566"/>
      <c r="H260" s="566"/>
      <c r="I260" s="567"/>
      <c r="J260" s="574">
        <f>SUM(J258,J252,J238,J219,J205,J191,J177)</f>
        <v>57097500</v>
      </c>
      <c r="K260" s="575"/>
      <c r="L260" s="576"/>
      <c r="M260" s="565" t="s">
        <v>298</v>
      </c>
      <c r="N260" s="566"/>
      <c r="O260" s="566"/>
      <c r="P260" s="566"/>
      <c r="Q260" s="566"/>
      <c r="R260" s="566"/>
      <c r="S260" s="566"/>
      <c r="T260" s="567"/>
      <c r="U260" s="574">
        <f>SUM(U258,U252,U238,U219,U205,U191,U177)</f>
        <v>0</v>
      </c>
      <c r="V260" s="575"/>
      <c r="W260" s="576"/>
    </row>
    <row r="261" spans="2:23">
      <c r="B261" s="568"/>
      <c r="C261" s="569"/>
      <c r="D261" s="569"/>
      <c r="E261" s="569"/>
      <c r="F261" s="569"/>
      <c r="G261" s="569"/>
      <c r="H261" s="569"/>
      <c r="I261" s="570"/>
      <c r="J261" s="577"/>
      <c r="K261" s="578"/>
      <c r="L261" s="579"/>
      <c r="M261" s="568"/>
      <c r="N261" s="569"/>
      <c r="O261" s="569"/>
      <c r="P261" s="569"/>
      <c r="Q261" s="569"/>
      <c r="R261" s="569"/>
      <c r="S261" s="569"/>
      <c r="T261" s="570"/>
      <c r="U261" s="577"/>
      <c r="V261" s="578"/>
      <c r="W261" s="579"/>
    </row>
    <row r="262" spans="2:23" ht="14.4" thickBot="1">
      <c r="B262" s="571"/>
      <c r="C262" s="572"/>
      <c r="D262" s="572"/>
      <c r="E262" s="572"/>
      <c r="F262" s="572"/>
      <c r="G262" s="572"/>
      <c r="H262" s="572"/>
      <c r="I262" s="573"/>
      <c r="J262" s="580"/>
      <c r="K262" s="581"/>
      <c r="L262" s="582"/>
      <c r="M262" s="571"/>
      <c r="N262" s="572"/>
      <c r="O262" s="572"/>
      <c r="P262" s="572"/>
      <c r="Q262" s="572"/>
      <c r="R262" s="572"/>
      <c r="S262" s="572"/>
      <c r="T262" s="573"/>
      <c r="U262" s="580"/>
      <c r="V262" s="581"/>
      <c r="W262" s="582"/>
    </row>
    <row r="263" spans="2:23" ht="14.4" thickBot="1"/>
    <row r="264" spans="2:23">
      <c r="B264" s="475" t="s">
        <v>378</v>
      </c>
      <c r="C264" s="476"/>
      <c r="D264" s="476"/>
      <c r="E264" s="476"/>
      <c r="F264" s="476"/>
      <c r="G264" s="476"/>
      <c r="H264" s="476"/>
      <c r="I264" s="477"/>
      <c r="M264" s="475" t="s">
        <v>217</v>
      </c>
      <c r="N264" s="476"/>
      <c r="O264" s="476"/>
      <c r="P264" s="476"/>
      <c r="Q264" s="476"/>
      <c r="R264" s="476"/>
      <c r="S264" s="476"/>
      <c r="T264" s="477"/>
    </row>
    <row r="265" spans="2:23">
      <c r="B265" s="478"/>
      <c r="C265" s="479"/>
      <c r="D265" s="479"/>
      <c r="E265" s="479"/>
      <c r="F265" s="479"/>
      <c r="G265" s="479"/>
      <c r="H265" s="479"/>
      <c r="I265" s="480"/>
      <c r="M265" s="478"/>
      <c r="N265" s="479"/>
      <c r="O265" s="479"/>
      <c r="P265" s="479"/>
      <c r="Q265" s="479"/>
      <c r="R265" s="479"/>
      <c r="S265" s="479"/>
      <c r="T265" s="480"/>
    </row>
    <row r="266" spans="2:23" ht="14.4" thickBot="1">
      <c r="B266" s="481"/>
      <c r="C266" s="482"/>
      <c r="D266" s="482"/>
      <c r="E266" s="482"/>
      <c r="F266" s="482"/>
      <c r="G266" s="482"/>
      <c r="H266" s="482"/>
      <c r="I266" s="483"/>
      <c r="M266" s="481"/>
      <c r="N266" s="482"/>
      <c r="O266" s="482"/>
      <c r="P266" s="482"/>
      <c r="Q266" s="482"/>
      <c r="R266" s="482"/>
      <c r="S266" s="482"/>
      <c r="T266" s="483"/>
    </row>
    <row r="267" spans="2:23" ht="14.4" thickBot="1">
      <c r="B267" s="467" t="s">
        <v>262</v>
      </c>
      <c r="C267" s="468"/>
      <c r="D267" s="468"/>
      <c r="E267" s="468"/>
      <c r="F267" s="468"/>
      <c r="G267" s="468"/>
      <c r="H267" s="468"/>
      <c r="I267" s="484"/>
      <c r="M267" s="467" t="s">
        <v>262</v>
      </c>
      <c r="N267" s="468"/>
      <c r="O267" s="468"/>
      <c r="P267" s="468"/>
      <c r="Q267" s="468"/>
      <c r="R267" s="468"/>
      <c r="S267" s="468"/>
      <c r="T267" s="484"/>
    </row>
    <row r="268" spans="2:23" ht="14.4" thickBot="1">
      <c r="B268" s="467" t="s">
        <v>267</v>
      </c>
      <c r="C268" s="468"/>
      <c r="D268" s="468"/>
      <c r="E268" s="468"/>
      <c r="F268" s="468"/>
      <c r="G268" s="114" t="s">
        <v>266</v>
      </c>
      <c r="H268" s="114" t="s">
        <v>0</v>
      </c>
      <c r="I268" s="97" t="s">
        <v>265</v>
      </c>
      <c r="M268" s="467" t="s">
        <v>267</v>
      </c>
      <c r="N268" s="468"/>
      <c r="O268" s="468"/>
      <c r="P268" s="468"/>
      <c r="Q268" s="468"/>
      <c r="R268" s="114" t="s">
        <v>266</v>
      </c>
      <c r="S268" s="114" t="s">
        <v>0</v>
      </c>
      <c r="T268" s="97" t="s">
        <v>265</v>
      </c>
    </row>
    <row r="269" spans="2:23">
      <c r="B269" s="469" t="s">
        <v>13</v>
      </c>
      <c r="C269" s="470"/>
      <c r="D269" s="470"/>
      <c r="E269" s="471"/>
      <c r="F269" s="115">
        <v>1</v>
      </c>
      <c r="G269" s="116"/>
      <c r="H269" s="117">
        <f>$I$4</f>
        <v>160000</v>
      </c>
      <c r="I269" s="98">
        <f>F269*G269*H269</f>
        <v>0</v>
      </c>
      <c r="M269" s="469" t="s">
        <v>13</v>
      </c>
      <c r="N269" s="470"/>
      <c r="O269" s="470"/>
      <c r="P269" s="471"/>
      <c r="Q269" s="115">
        <v>1</v>
      </c>
      <c r="R269" s="116"/>
      <c r="S269" s="117">
        <f>$I$4</f>
        <v>160000</v>
      </c>
      <c r="T269" s="98">
        <f>Q269*R269*S269</f>
        <v>0</v>
      </c>
    </row>
    <row r="270" spans="2:23">
      <c r="B270" s="118" t="s">
        <v>261</v>
      </c>
      <c r="C270" s="119"/>
      <c r="D270" s="119"/>
      <c r="E270" s="120"/>
      <c r="F270" s="121">
        <v>1</v>
      </c>
      <c r="G270" s="122"/>
      <c r="H270" s="123">
        <f>$I$5</f>
        <v>165000</v>
      </c>
      <c r="I270" s="99"/>
      <c r="M270" s="118" t="s">
        <v>261</v>
      </c>
      <c r="N270" s="119"/>
      <c r="O270" s="119"/>
      <c r="P270" s="120"/>
      <c r="Q270" s="121">
        <v>1</v>
      </c>
      <c r="R270" s="122"/>
      <c r="S270" s="123">
        <f>$I$5</f>
        <v>165000</v>
      </c>
      <c r="T270" s="99"/>
    </row>
    <row r="271" spans="2:23">
      <c r="B271" s="472" t="s">
        <v>14</v>
      </c>
      <c r="C271" s="473"/>
      <c r="D271" s="473"/>
      <c r="E271" s="474"/>
      <c r="F271" s="121">
        <v>1</v>
      </c>
      <c r="G271" s="122"/>
      <c r="H271" s="123">
        <f>$I$6</f>
        <v>140000</v>
      </c>
      <c r="I271" s="99">
        <f>F271*G271*H271</f>
        <v>0</v>
      </c>
      <c r="M271" s="472" t="s">
        <v>14</v>
      </c>
      <c r="N271" s="473"/>
      <c r="O271" s="473"/>
      <c r="P271" s="474"/>
      <c r="Q271" s="121">
        <v>1</v>
      </c>
      <c r="R271" s="122"/>
      <c r="S271" s="123">
        <f>$I$6</f>
        <v>140000</v>
      </c>
      <c r="T271" s="99">
        <f>Q271*R271*S271</f>
        <v>0</v>
      </c>
    </row>
    <row r="272" spans="2:23">
      <c r="B272" s="472" t="s">
        <v>23</v>
      </c>
      <c r="C272" s="473"/>
      <c r="D272" s="473"/>
      <c r="E272" s="474"/>
      <c r="F272" s="121">
        <v>1</v>
      </c>
      <c r="G272" s="122"/>
      <c r="H272" s="123">
        <f>$I$7</f>
        <v>150000</v>
      </c>
      <c r="I272" s="99">
        <f>F272*G272*H272</f>
        <v>0</v>
      </c>
      <c r="M272" s="472" t="s">
        <v>23</v>
      </c>
      <c r="N272" s="473"/>
      <c r="O272" s="473"/>
      <c r="P272" s="474"/>
      <c r="Q272" s="121">
        <v>1</v>
      </c>
      <c r="R272" s="122"/>
      <c r="S272" s="123">
        <f>$I$7</f>
        <v>150000</v>
      </c>
      <c r="T272" s="99">
        <f>Q272*R272*S272</f>
        <v>0</v>
      </c>
    </row>
    <row r="273" spans="2:23">
      <c r="B273" s="472"/>
      <c r="C273" s="473"/>
      <c r="D273" s="473"/>
      <c r="E273" s="474"/>
      <c r="F273" s="121"/>
      <c r="G273" s="122"/>
      <c r="H273" s="123"/>
      <c r="I273" s="99">
        <f>F273*G273*H273</f>
        <v>0</v>
      </c>
      <c r="M273" s="472"/>
      <c r="N273" s="473"/>
      <c r="O273" s="473"/>
      <c r="P273" s="474"/>
      <c r="Q273" s="121"/>
      <c r="R273" s="122"/>
      <c r="S273" s="123"/>
      <c r="T273" s="99">
        <f>Q273*R273*S273</f>
        <v>0</v>
      </c>
    </row>
    <row r="274" spans="2:23">
      <c r="B274" s="485" t="s">
        <v>18</v>
      </c>
      <c r="C274" s="486"/>
      <c r="D274" s="486"/>
      <c r="E274" s="486"/>
      <c r="F274" s="487"/>
      <c r="G274" s="122"/>
      <c r="H274" s="123">
        <f>$I$8</f>
        <v>12800</v>
      </c>
      <c r="I274" s="99">
        <f>G274*H274</f>
        <v>0</v>
      </c>
      <c r="M274" s="485" t="s">
        <v>18</v>
      </c>
      <c r="N274" s="486"/>
      <c r="O274" s="486"/>
      <c r="P274" s="486"/>
      <c r="Q274" s="487"/>
      <c r="R274" s="122"/>
      <c r="S274" s="123">
        <f>$I$8</f>
        <v>12800</v>
      </c>
      <c r="T274" s="99">
        <f>R274*S274</f>
        <v>0</v>
      </c>
    </row>
    <row r="275" spans="2:23">
      <c r="B275" s="485" t="s">
        <v>19</v>
      </c>
      <c r="C275" s="486"/>
      <c r="D275" s="486"/>
      <c r="E275" s="486"/>
      <c r="F275" s="487"/>
      <c r="G275" s="122"/>
      <c r="H275" s="123">
        <f>$I$9</f>
        <v>11100</v>
      </c>
      <c r="I275" s="99">
        <f>G275*H275</f>
        <v>0</v>
      </c>
      <c r="M275" s="485" t="s">
        <v>19</v>
      </c>
      <c r="N275" s="486"/>
      <c r="O275" s="486"/>
      <c r="P275" s="486"/>
      <c r="Q275" s="487"/>
      <c r="R275" s="122"/>
      <c r="S275" s="123">
        <f>$I$9</f>
        <v>11100</v>
      </c>
      <c r="T275" s="99">
        <f>R275*S275</f>
        <v>0</v>
      </c>
    </row>
    <row r="276" spans="2:23">
      <c r="B276" s="488" t="s">
        <v>259</v>
      </c>
      <c r="C276" s="489"/>
      <c r="D276" s="489"/>
      <c r="E276" s="489"/>
      <c r="F276" s="490"/>
      <c r="G276" s="122"/>
      <c r="H276" s="123">
        <f>$I$10</f>
        <v>58</v>
      </c>
      <c r="I276" s="99">
        <f t="shared" ref="I276:I288" si="30">G276*H276</f>
        <v>0</v>
      </c>
      <c r="M276" s="488" t="s">
        <v>259</v>
      </c>
      <c r="N276" s="489"/>
      <c r="O276" s="489"/>
      <c r="P276" s="489"/>
      <c r="Q276" s="490"/>
      <c r="R276" s="122"/>
      <c r="S276" s="123">
        <f>$I$10</f>
        <v>58</v>
      </c>
      <c r="T276" s="99">
        <f t="shared" ref="T276:T288" si="31">R276*S276</f>
        <v>0</v>
      </c>
    </row>
    <row r="277" spans="2:23">
      <c r="B277" s="488" t="s">
        <v>260</v>
      </c>
      <c r="C277" s="489"/>
      <c r="D277" s="489"/>
      <c r="E277" s="489"/>
      <c r="F277" s="490"/>
      <c r="G277" s="122"/>
      <c r="H277" s="123">
        <f>$I$11</f>
        <v>35</v>
      </c>
      <c r="I277" s="99">
        <f t="shared" si="30"/>
        <v>0</v>
      </c>
      <c r="M277" s="488" t="s">
        <v>260</v>
      </c>
      <c r="N277" s="489"/>
      <c r="O277" s="489"/>
      <c r="P277" s="489"/>
      <c r="Q277" s="490"/>
      <c r="R277" s="122"/>
      <c r="S277" s="123">
        <f>$I$11</f>
        <v>35</v>
      </c>
      <c r="T277" s="99">
        <f t="shared" si="31"/>
        <v>0</v>
      </c>
    </row>
    <row r="278" spans="2:23">
      <c r="B278" s="488" t="s">
        <v>299</v>
      </c>
      <c r="C278" s="489"/>
      <c r="D278" s="489"/>
      <c r="E278" s="489"/>
      <c r="F278" s="490"/>
      <c r="G278" s="122"/>
      <c r="H278" s="123">
        <f>$I$12</f>
        <v>1250</v>
      </c>
      <c r="I278" s="99">
        <f t="shared" si="30"/>
        <v>0</v>
      </c>
      <c r="M278" s="488" t="s">
        <v>299</v>
      </c>
      <c r="N278" s="489"/>
      <c r="O278" s="489"/>
      <c r="P278" s="489"/>
      <c r="Q278" s="490"/>
      <c r="R278" s="122"/>
      <c r="S278" s="123">
        <f>$I$12</f>
        <v>1250</v>
      </c>
      <c r="T278" s="99">
        <f t="shared" si="31"/>
        <v>0</v>
      </c>
    </row>
    <row r="279" spans="2:23">
      <c r="B279" s="488" t="s">
        <v>300</v>
      </c>
      <c r="C279" s="489"/>
      <c r="D279" s="489"/>
      <c r="E279" s="489"/>
      <c r="F279" s="490"/>
      <c r="G279" s="122"/>
      <c r="H279" s="123">
        <f>$I$13</f>
        <v>1250</v>
      </c>
      <c r="I279" s="99">
        <f t="shared" si="30"/>
        <v>0</v>
      </c>
      <c r="M279" s="488" t="s">
        <v>300</v>
      </c>
      <c r="N279" s="489"/>
      <c r="O279" s="489"/>
      <c r="P279" s="489"/>
      <c r="Q279" s="490"/>
      <c r="R279" s="122"/>
      <c r="S279" s="123">
        <f>$I$13</f>
        <v>1250</v>
      </c>
      <c r="T279" s="99">
        <f t="shared" si="31"/>
        <v>0</v>
      </c>
    </row>
    <row r="280" spans="2:23">
      <c r="B280" s="488" t="s">
        <v>220</v>
      </c>
      <c r="C280" s="489"/>
      <c r="D280" s="489"/>
      <c r="E280" s="489"/>
      <c r="F280" s="490"/>
      <c r="G280" s="122"/>
      <c r="H280" s="123">
        <f>$I$14</f>
        <v>750</v>
      </c>
      <c r="I280" s="99">
        <f t="shared" si="30"/>
        <v>0</v>
      </c>
      <c r="M280" s="488" t="s">
        <v>220</v>
      </c>
      <c r="N280" s="489"/>
      <c r="O280" s="489"/>
      <c r="P280" s="489"/>
      <c r="Q280" s="490"/>
      <c r="R280" s="122"/>
      <c r="S280" s="123">
        <f>$I$14</f>
        <v>750</v>
      </c>
      <c r="T280" s="99">
        <f t="shared" si="31"/>
        <v>0</v>
      </c>
    </row>
    <row r="281" spans="2:23">
      <c r="B281" s="488" t="s">
        <v>268</v>
      </c>
      <c r="C281" s="489"/>
      <c r="D281" s="489"/>
      <c r="E281" s="489"/>
      <c r="F281" s="490"/>
      <c r="G281" s="122"/>
      <c r="H281" s="123">
        <f>$I$15</f>
        <v>175</v>
      </c>
      <c r="I281" s="99">
        <f t="shared" si="30"/>
        <v>0</v>
      </c>
      <c r="M281" s="488" t="s">
        <v>268</v>
      </c>
      <c r="N281" s="489"/>
      <c r="O281" s="489"/>
      <c r="P281" s="489"/>
      <c r="Q281" s="490"/>
      <c r="R281" s="122"/>
      <c r="S281" s="123">
        <f>$I$15</f>
        <v>175</v>
      </c>
      <c r="T281" s="99">
        <f t="shared" si="31"/>
        <v>0</v>
      </c>
    </row>
    <row r="282" spans="2:23">
      <c r="B282" s="488" t="s">
        <v>221</v>
      </c>
      <c r="C282" s="489"/>
      <c r="D282" s="489"/>
      <c r="E282" s="489"/>
      <c r="F282" s="490"/>
      <c r="G282" s="122"/>
      <c r="H282" s="123">
        <f>$I$16</f>
        <v>175</v>
      </c>
      <c r="I282" s="99">
        <f t="shared" si="30"/>
        <v>0</v>
      </c>
      <c r="M282" s="488" t="s">
        <v>221</v>
      </c>
      <c r="N282" s="489"/>
      <c r="O282" s="489"/>
      <c r="P282" s="489"/>
      <c r="Q282" s="490"/>
      <c r="R282" s="122"/>
      <c r="S282" s="123">
        <f>$I$16</f>
        <v>175</v>
      </c>
      <c r="T282" s="99">
        <f t="shared" si="31"/>
        <v>0</v>
      </c>
    </row>
    <row r="283" spans="2:23">
      <c r="B283" s="472" t="s">
        <v>222</v>
      </c>
      <c r="C283" s="473"/>
      <c r="D283" s="473"/>
      <c r="E283" s="473"/>
      <c r="F283" s="474"/>
      <c r="G283" s="122"/>
      <c r="H283" s="123">
        <f>$I$17</f>
        <v>90000</v>
      </c>
      <c r="I283" s="99">
        <f t="shared" si="30"/>
        <v>0</v>
      </c>
      <c r="M283" s="472" t="s">
        <v>222</v>
      </c>
      <c r="N283" s="473"/>
      <c r="O283" s="473"/>
      <c r="P283" s="473"/>
      <c r="Q283" s="474"/>
      <c r="R283" s="122"/>
      <c r="S283" s="123">
        <f>$I$17</f>
        <v>90000</v>
      </c>
      <c r="T283" s="99">
        <f t="shared" si="31"/>
        <v>0</v>
      </c>
    </row>
    <row r="284" spans="2:23" ht="14.4" thickBot="1">
      <c r="B284" s="485" t="s">
        <v>337</v>
      </c>
      <c r="C284" s="486"/>
      <c r="D284" s="486"/>
      <c r="E284" s="486"/>
      <c r="F284" s="487"/>
      <c r="G284" s="122"/>
      <c r="H284" s="123">
        <f>$I$18</f>
        <v>21000</v>
      </c>
      <c r="I284" s="99">
        <f t="shared" si="30"/>
        <v>0</v>
      </c>
      <c r="M284" s="485" t="s">
        <v>337</v>
      </c>
      <c r="N284" s="486"/>
      <c r="O284" s="486"/>
      <c r="P284" s="486"/>
      <c r="Q284" s="487"/>
      <c r="R284" s="122"/>
      <c r="S284" s="123">
        <f>$I$18</f>
        <v>21000</v>
      </c>
      <c r="T284" s="99">
        <f t="shared" si="31"/>
        <v>0</v>
      </c>
    </row>
    <row r="285" spans="2:23">
      <c r="B285" s="485" t="s">
        <v>269</v>
      </c>
      <c r="C285" s="486"/>
      <c r="D285" s="486"/>
      <c r="E285" s="486"/>
      <c r="F285" s="487"/>
      <c r="G285" s="122"/>
      <c r="H285" s="123">
        <f>$I$19</f>
        <v>40000</v>
      </c>
      <c r="I285" s="99">
        <f t="shared" si="30"/>
        <v>0</v>
      </c>
      <c r="J285" s="499" t="s">
        <v>275</v>
      </c>
      <c r="K285" s="500"/>
      <c r="L285" s="501"/>
      <c r="M285" s="485" t="s">
        <v>269</v>
      </c>
      <c r="N285" s="486"/>
      <c r="O285" s="486"/>
      <c r="P285" s="486"/>
      <c r="Q285" s="487"/>
      <c r="R285" s="122"/>
      <c r="S285" s="123">
        <f>$I$19</f>
        <v>40000</v>
      </c>
      <c r="T285" s="99">
        <f t="shared" si="31"/>
        <v>0</v>
      </c>
      <c r="U285" s="499" t="s">
        <v>275</v>
      </c>
      <c r="V285" s="500"/>
      <c r="W285" s="501"/>
    </row>
    <row r="286" spans="2:23" ht="14.4" thickBot="1">
      <c r="B286" s="485" t="s">
        <v>270</v>
      </c>
      <c r="C286" s="486"/>
      <c r="D286" s="486"/>
      <c r="E286" s="486"/>
      <c r="F286" s="487"/>
      <c r="G286" s="122"/>
      <c r="H286" s="123">
        <f>$I$20</f>
        <v>13000</v>
      </c>
      <c r="I286" s="99">
        <f t="shared" si="30"/>
        <v>0</v>
      </c>
      <c r="J286" s="502"/>
      <c r="K286" s="503"/>
      <c r="L286" s="504"/>
      <c r="M286" s="485" t="s">
        <v>270</v>
      </c>
      <c r="N286" s="486"/>
      <c r="O286" s="486"/>
      <c r="P286" s="486"/>
      <c r="Q286" s="487"/>
      <c r="R286" s="122"/>
      <c r="S286" s="123">
        <f>$I$20</f>
        <v>13000</v>
      </c>
      <c r="T286" s="99">
        <f t="shared" si="31"/>
        <v>0</v>
      </c>
      <c r="U286" s="502"/>
      <c r="V286" s="503"/>
      <c r="W286" s="504"/>
    </row>
    <row r="287" spans="2:23">
      <c r="B287" s="488"/>
      <c r="C287" s="489"/>
      <c r="D287" s="489"/>
      <c r="E287" s="489"/>
      <c r="F287" s="490"/>
      <c r="G287" s="122"/>
      <c r="H287" s="123"/>
      <c r="I287" s="99">
        <f t="shared" si="30"/>
        <v>0</v>
      </c>
      <c r="J287" s="491">
        <f>SUM(I269:I288)</f>
        <v>0</v>
      </c>
      <c r="K287" s="492"/>
      <c r="L287" s="493"/>
      <c r="M287" s="488"/>
      <c r="N287" s="489"/>
      <c r="O287" s="489"/>
      <c r="P287" s="489"/>
      <c r="Q287" s="490"/>
      <c r="R287" s="122"/>
      <c r="S287" s="123"/>
      <c r="T287" s="99">
        <f t="shared" si="31"/>
        <v>0</v>
      </c>
      <c r="U287" s="491">
        <f>SUM(T269:T288)</f>
        <v>0</v>
      </c>
      <c r="V287" s="492"/>
      <c r="W287" s="493"/>
    </row>
    <row r="288" spans="2:23" ht="14.4" thickBot="1">
      <c r="B288" s="497"/>
      <c r="C288" s="498"/>
      <c r="D288" s="498"/>
      <c r="E288" s="498"/>
      <c r="F288" s="498"/>
      <c r="G288" s="124"/>
      <c r="H288" s="125"/>
      <c r="I288" s="100">
        <f t="shared" si="30"/>
        <v>0</v>
      </c>
      <c r="J288" s="494"/>
      <c r="K288" s="495"/>
      <c r="L288" s="496"/>
      <c r="M288" s="497"/>
      <c r="N288" s="498"/>
      <c r="O288" s="498"/>
      <c r="P288" s="498"/>
      <c r="Q288" s="498"/>
      <c r="R288" s="124"/>
      <c r="S288" s="125"/>
      <c r="T288" s="100">
        <f t="shared" si="31"/>
        <v>0</v>
      </c>
      <c r="U288" s="494"/>
      <c r="V288" s="495"/>
      <c r="W288" s="496"/>
    </row>
    <row r="289" spans="2:23" ht="14.4" thickBot="1">
      <c r="B289" s="505" t="s">
        <v>271</v>
      </c>
      <c r="C289" s="506"/>
      <c r="D289" s="506"/>
      <c r="E289" s="506"/>
      <c r="F289" s="506"/>
      <c r="G289" s="506"/>
      <c r="H289" s="506"/>
      <c r="I289" s="507"/>
      <c r="M289" s="505" t="s">
        <v>271</v>
      </c>
      <c r="N289" s="506"/>
      <c r="O289" s="506"/>
      <c r="P289" s="506"/>
      <c r="Q289" s="506"/>
      <c r="R289" s="506"/>
      <c r="S289" s="506"/>
      <c r="T289" s="507"/>
    </row>
    <row r="290" spans="2:23" ht="14.4" thickBot="1">
      <c r="B290" s="467" t="s">
        <v>267</v>
      </c>
      <c r="C290" s="468"/>
      <c r="D290" s="468"/>
      <c r="E290" s="468"/>
      <c r="F290" s="468"/>
      <c r="G290" s="114" t="s">
        <v>266</v>
      </c>
      <c r="H290" s="114" t="s">
        <v>0</v>
      </c>
      <c r="I290" s="97" t="s">
        <v>265</v>
      </c>
      <c r="M290" s="467" t="s">
        <v>267</v>
      </c>
      <c r="N290" s="468"/>
      <c r="O290" s="468"/>
      <c r="P290" s="468"/>
      <c r="Q290" s="468"/>
      <c r="R290" s="114" t="s">
        <v>266</v>
      </c>
      <c r="S290" s="114" t="s">
        <v>0</v>
      </c>
      <c r="T290" s="97" t="s">
        <v>265</v>
      </c>
    </row>
    <row r="291" spans="2:23">
      <c r="B291" s="508" t="s">
        <v>272</v>
      </c>
      <c r="C291" s="509"/>
      <c r="D291" s="509"/>
      <c r="E291" s="509"/>
      <c r="F291" s="510"/>
      <c r="G291" s="116"/>
      <c r="H291" s="117">
        <f>$I$23</f>
        <v>220000</v>
      </c>
      <c r="I291" s="98">
        <f t="shared" ref="I291:I296" si="32">G291*H291</f>
        <v>0</v>
      </c>
      <c r="M291" s="508" t="s">
        <v>272</v>
      </c>
      <c r="N291" s="509"/>
      <c r="O291" s="509"/>
      <c r="P291" s="509"/>
      <c r="Q291" s="510"/>
      <c r="R291" s="116"/>
      <c r="S291" s="117">
        <f>$I$23</f>
        <v>220000</v>
      </c>
      <c r="T291" s="98">
        <f t="shared" ref="T291:T296" si="33">R291*S291</f>
        <v>0</v>
      </c>
    </row>
    <row r="292" spans="2:23">
      <c r="B292" s="485" t="s">
        <v>273</v>
      </c>
      <c r="C292" s="486"/>
      <c r="D292" s="486"/>
      <c r="E292" s="486"/>
      <c r="F292" s="487"/>
      <c r="G292" s="122"/>
      <c r="H292" s="117">
        <f>$I$26</f>
        <v>90000</v>
      </c>
      <c r="I292" s="99">
        <f t="shared" si="32"/>
        <v>0</v>
      </c>
      <c r="M292" s="485" t="s">
        <v>273</v>
      </c>
      <c r="N292" s="486"/>
      <c r="O292" s="486"/>
      <c r="P292" s="486"/>
      <c r="Q292" s="487"/>
      <c r="R292" s="122"/>
      <c r="S292" s="117">
        <f>$I$26</f>
        <v>90000</v>
      </c>
      <c r="T292" s="99">
        <f t="shared" si="33"/>
        <v>0</v>
      </c>
    </row>
    <row r="293" spans="2:23">
      <c r="B293" s="485" t="s">
        <v>224</v>
      </c>
      <c r="C293" s="486"/>
      <c r="D293" s="486"/>
      <c r="E293" s="486"/>
      <c r="F293" s="487"/>
      <c r="G293" s="122"/>
      <c r="H293" s="117">
        <f>$I$27</f>
        <v>60000</v>
      </c>
      <c r="I293" s="99">
        <f t="shared" si="32"/>
        <v>0</v>
      </c>
      <c r="M293" s="485" t="s">
        <v>224</v>
      </c>
      <c r="N293" s="486"/>
      <c r="O293" s="486"/>
      <c r="P293" s="486"/>
      <c r="Q293" s="487"/>
      <c r="R293" s="122"/>
      <c r="S293" s="117">
        <f>$I$27</f>
        <v>60000</v>
      </c>
      <c r="T293" s="99">
        <f t="shared" si="33"/>
        <v>0</v>
      </c>
    </row>
    <row r="294" spans="2:23">
      <c r="B294" s="485" t="s">
        <v>274</v>
      </c>
      <c r="C294" s="486"/>
      <c r="D294" s="486"/>
      <c r="E294" s="486"/>
      <c r="F294" s="487"/>
      <c r="G294" s="122"/>
      <c r="H294" s="117">
        <f>$I$26</f>
        <v>90000</v>
      </c>
      <c r="I294" s="99">
        <f t="shared" si="32"/>
        <v>0</v>
      </c>
      <c r="M294" s="485" t="s">
        <v>274</v>
      </c>
      <c r="N294" s="486"/>
      <c r="O294" s="486"/>
      <c r="P294" s="486"/>
      <c r="Q294" s="487"/>
      <c r="R294" s="122"/>
      <c r="S294" s="117">
        <f>$I$26</f>
        <v>90000</v>
      </c>
      <c r="T294" s="99">
        <f t="shared" si="33"/>
        <v>0</v>
      </c>
    </row>
    <row r="295" spans="2:23">
      <c r="B295" s="485" t="s">
        <v>226</v>
      </c>
      <c r="C295" s="486"/>
      <c r="D295" s="486"/>
      <c r="E295" s="486"/>
      <c r="F295" s="487"/>
      <c r="G295" s="122"/>
      <c r="H295" s="117"/>
      <c r="I295" s="99">
        <f t="shared" si="32"/>
        <v>0</v>
      </c>
      <c r="M295" s="485" t="s">
        <v>226</v>
      </c>
      <c r="N295" s="486"/>
      <c r="O295" s="486"/>
      <c r="P295" s="486"/>
      <c r="Q295" s="487"/>
      <c r="R295" s="122"/>
      <c r="S295" s="117"/>
      <c r="T295" s="99">
        <f t="shared" si="33"/>
        <v>0</v>
      </c>
    </row>
    <row r="296" spans="2:23">
      <c r="B296" s="126" t="s">
        <v>227</v>
      </c>
      <c r="C296" s="127"/>
      <c r="D296" s="127"/>
      <c r="E296" s="127"/>
      <c r="F296" s="128"/>
      <c r="G296" s="122"/>
      <c r="H296" s="117"/>
      <c r="I296" s="99">
        <f t="shared" si="32"/>
        <v>0</v>
      </c>
      <c r="M296" s="126" t="s">
        <v>227</v>
      </c>
      <c r="N296" s="127"/>
      <c r="O296" s="127"/>
      <c r="P296" s="127"/>
      <c r="Q296" s="128"/>
      <c r="R296" s="122"/>
      <c r="S296" s="117"/>
      <c r="T296" s="99">
        <f t="shared" si="33"/>
        <v>0</v>
      </c>
    </row>
    <row r="297" spans="2:23">
      <c r="B297" s="126" t="s">
        <v>225</v>
      </c>
      <c r="C297" s="127"/>
      <c r="D297" s="127"/>
      <c r="E297" s="127"/>
      <c r="F297" s="128"/>
      <c r="G297" s="122"/>
      <c r="H297" s="117"/>
      <c r="I297" s="99"/>
      <c r="M297" s="126" t="s">
        <v>225</v>
      </c>
      <c r="N297" s="127"/>
      <c r="O297" s="127"/>
      <c r="P297" s="127"/>
      <c r="Q297" s="128"/>
      <c r="R297" s="122"/>
      <c r="S297" s="117"/>
      <c r="T297" s="99"/>
    </row>
    <row r="298" spans="2:23" ht="14.4" thickBot="1">
      <c r="B298" s="126"/>
      <c r="C298" s="127"/>
      <c r="D298" s="127"/>
      <c r="E298" s="127"/>
      <c r="F298" s="128"/>
      <c r="G298" s="122"/>
      <c r="H298" s="123"/>
      <c r="I298" s="99">
        <f t="shared" ref="I298:I302" si="34">G298*H298</f>
        <v>0</v>
      </c>
      <c r="M298" s="126"/>
      <c r="N298" s="127"/>
      <c r="O298" s="127"/>
      <c r="P298" s="127"/>
      <c r="Q298" s="128"/>
      <c r="R298" s="122"/>
      <c r="S298" s="123"/>
      <c r="T298" s="99">
        <f t="shared" ref="T298:T302" si="35">R298*S298</f>
        <v>0</v>
      </c>
    </row>
    <row r="299" spans="2:23">
      <c r="B299" s="485"/>
      <c r="C299" s="486"/>
      <c r="D299" s="486"/>
      <c r="E299" s="486"/>
      <c r="F299" s="487"/>
      <c r="G299" s="122"/>
      <c r="H299" s="123"/>
      <c r="I299" s="99">
        <f t="shared" si="34"/>
        <v>0</v>
      </c>
      <c r="J299" s="499" t="s">
        <v>275</v>
      </c>
      <c r="K299" s="500"/>
      <c r="L299" s="501"/>
      <c r="M299" s="485"/>
      <c r="N299" s="486"/>
      <c r="O299" s="486"/>
      <c r="P299" s="486"/>
      <c r="Q299" s="487"/>
      <c r="R299" s="122"/>
      <c r="S299" s="123"/>
      <c r="T299" s="99">
        <f t="shared" si="35"/>
        <v>0</v>
      </c>
      <c r="U299" s="499" t="s">
        <v>275</v>
      </c>
      <c r="V299" s="500"/>
      <c r="W299" s="501"/>
    </row>
    <row r="300" spans="2:23" ht="14.4" thickBot="1">
      <c r="B300" s="485"/>
      <c r="C300" s="486"/>
      <c r="D300" s="486"/>
      <c r="E300" s="486"/>
      <c r="F300" s="487"/>
      <c r="G300" s="122"/>
      <c r="H300" s="123"/>
      <c r="I300" s="99">
        <f t="shared" si="34"/>
        <v>0</v>
      </c>
      <c r="J300" s="502"/>
      <c r="K300" s="503"/>
      <c r="L300" s="504"/>
      <c r="M300" s="485"/>
      <c r="N300" s="486"/>
      <c r="O300" s="486"/>
      <c r="P300" s="486"/>
      <c r="Q300" s="487"/>
      <c r="R300" s="122"/>
      <c r="S300" s="123"/>
      <c r="T300" s="99">
        <f t="shared" si="35"/>
        <v>0</v>
      </c>
      <c r="U300" s="502"/>
      <c r="V300" s="503"/>
      <c r="W300" s="504"/>
    </row>
    <row r="301" spans="2:23">
      <c r="B301" s="485"/>
      <c r="C301" s="486"/>
      <c r="D301" s="486"/>
      <c r="E301" s="486"/>
      <c r="F301" s="487"/>
      <c r="G301" s="122"/>
      <c r="H301" s="123"/>
      <c r="I301" s="99">
        <f t="shared" si="34"/>
        <v>0</v>
      </c>
      <c r="J301" s="491">
        <f>SUM(I291:I302)</f>
        <v>0</v>
      </c>
      <c r="K301" s="492"/>
      <c r="L301" s="493"/>
      <c r="M301" s="485"/>
      <c r="N301" s="486"/>
      <c r="O301" s="486"/>
      <c r="P301" s="486"/>
      <c r="Q301" s="487"/>
      <c r="R301" s="122"/>
      <c r="S301" s="123"/>
      <c r="T301" s="99">
        <f t="shared" si="35"/>
        <v>0</v>
      </c>
      <c r="U301" s="491">
        <f>SUM(T291:T302)</f>
        <v>0</v>
      </c>
      <c r="V301" s="492"/>
      <c r="W301" s="493"/>
    </row>
    <row r="302" spans="2:23" ht="14.4" thickBot="1">
      <c r="B302" s="129"/>
      <c r="C302" s="130"/>
      <c r="D302" s="130"/>
      <c r="E302" s="130"/>
      <c r="F302" s="131"/>
      <c r="G302" s="124"/>
      <c r="H302" s="125"/>
      <c r="I302" s="100">
        <f t="shared" si="34"/>
        <v>0</v>
      </c>
      <c r="J302" s="494"/>
      <c r="K302" s="495"/>
      <c r="L302" s="496"/>
      <c r="M302" s="129"/>
      <c r="N302" s="130"/>
      <c r="O302" s="130"/>
      <c r="P302" s="130"/>
      <c r="Q302" s="131"/>
      <c r="R302" s="124"/>
      <c r="S302" s="125"/>
      <c r="T302" s="100">
        <f t="shared" si="35"/>
        <v>0</v>
      </c>
      <c r="U302" s="494"/>
      <c r="V302" s="495"/>
      <c r="W302" s="496"/>
    </row>
    <row r="303" spans="2:23" ht="14.4" thickBot="1">
      <c r="B303" s="511" t="s">
        <v>25</v>
      </c>
      <c r="C303" s="512"/>
      <c r="D303" s="512"/>
      <c r="E303" s="512"/>
      <c r="F303" s="512"/>
      <c r="G303" s="512"/>
      <c r="H303" s="512"/>
      <c r="I303" s="513"/>
      <c r="J303" s="132"/>
      <c r="K303" s="132"/>
      <c r="L303" s="132"/>
      <c r="M303" s="511" t="s">
        <v>25</v>
      </c>
      <c r="N303" s="512"/>
      <c r="O303" s="512"/>
      <c r="P303" s="512"/>
      <c r="Q303" s="512"/>
      <c r="R303" s="512"/>
      <c r="S303" s="512"/>
      <c r="T303" s="513"/>
      <c r="U303" s="132"/>
      <c r="V303" s="132"/>
      <c r="W303" s="132"/>
    </row>
    <row r="304" spans="2:23" ht="14.4" thickBot="1">
      <c r="B304" s="514" t="s">
        <v>267</v>
      </c>
      <c r="C304" s="515"/>
      <c r="D304" s="515"/>
      <c r="E304" s="515"/>
      <c r="F304" s="515"/>
      <c r="G304" s="133" t="s">
        <v>266</v>
      </c>
      <c r="H304" s="134" t="s">
        <v>0</v>
      </c>
      <c r="I304" s="101" t="s">
        <v>265</v>
      </c>
      <c r="J304" s="132"/>
      <c r="K304" s="132"/>
      <c r="L304" s="132"/>
      <c r="M304" s="514" t="s">
        <v>267</v>
      </c>
      <c r="N304" s="515"/>
      <c r="O304" s="515"/>
      <c r="P304" s="515"/>
      <c r="Q304" s="515"/>
      <c r="R304" s="133" t="s">
        <v>266</v>
      </c>
      <c r="S304" s="134" t="s">
        <v>0</v>
      </c>
      <c r="T304" s="101" t="s">
        <v>265</v>
      </c>
      <c r="U304" s="132"/>
      <c r="V304" s="132"/>
      <c r="W304" s="132"/>
    </row>
    <row r="305" spans="2:23">
      <c r="B305" s="516" t="s">
        <v>31</v>
      </c>
      <c r="C305" s="517"/>
      <c r="D305" s="517"/>
      <c r="E305" s="517"/>
      <c r="F305" s="518"/>
      <c r="G305" s="116"/>
      <c r="H305" s="117">
        <f>$R$4</f>
        <v>300000</v>
      </c>
      <c r="I305" s="99">
        <f t="shared" ref="I305:I307" si="36">G305*H305</f>
        <v>0</v>
      </c>
      <c r="J305" s="132"/>
      <c r="K305" s="132"/>
      <c r="L305" s="132"/>
      <c r="M305" s="516" t="s">
        <v>31</v>
      </c>
      <c r="N305" s="517"/>
      <c r="O305" s="517"/>
      <c r="P305" s="517"/>
      <c r="Q305" s="518"/>
      <c r="R305" s="116"/>
      <c r="S305" s="117">
        <f>$R$4</f>
        <v>300000</v>
      </c>
      <c r="T305" s="99">
        <f t="shared" ref="T305:T307" si="37">R305*S305</f>
        <v>0</v>
      </c>
      <c r="U305" s="132"/>
      <c r="V305" s="132"/>
      <c r="W305" s="132"/>
    </row>
    <row r="306" spans="2:23">
      <c r="B306" s="519" t="s">
        <v>11</v>
      </c>
      <c r="C306" s="520"/>
      <c r="D306" s="520"/>
      <c r="E306" s="520"/>
      <c r="F306" s="521"/>
      <c r="G306" s="122"/>
      <c r="H306" s="117">
        <f>$R$5</f>
        <v>65000</v>
      </c>
      <c r="I306" s="99">
        <f t="shared" si="36"/>
        <v>0</v>
      </c>
      <c r="J306" s="132"/>
      <c r="K306" s="132"/>
      <c r="L306" s="132"/>
      <c r="M306" s="519" t="s">
        <v>11</v>
      </c>
      <c r="N306" s="520"/>
      <c r="O306" s="520"/>
      <c r="P306" s="520"/>
      <c r="Q306" s="521"/>
      <c r="R306" s="122"/>
      <c r="S306" s="117">
        <f>$R$5</f>
        <v>65000</v>
      </c>
      <c r="T306" s="99">
        <f t="shared" si="37"/>
        <v>0</v>
      </c>
      <c r="U306" s="132"/>
      <c r="V306" s="132"/>
      <c r="W306" s="132"/>
    </row>
    <row r="307" spans="2:23">
      <c r="B307" s="519" t="s">
        <v>32</v>
      </c>
      <c r="C307" s="520"/>
      <c r="D307" s="520"/>
      <c r="E307" s="520"/>
      <c r="F307" s="521"/>
      <c r="G307" s="122"/>
      <c r="H307" s="117">
        <f>$R$6</f>
        <v>250000</v>
      </c>
      <c r="I307" s="99">
        <f t="shared" si="36"/>
        <v>0</v>
      </c>
      <c r="J307" s="132"/>
      <c r="K307" s="132"/>
      <c r="L307" s="132"/>
      <c r="M307" s="519" t="s">
        <v>32</v>
      </c>
      <c r="N307" s="520"/>
      <c r="O307" s="520"/>
      <c r="P307" s="520"/>
      <c r="Q307" s="521"/>
      <c r="R307" s="122"/>
      <c r="S307" s="117">
        <f>$R$6</f>
        <v>250000</v>
      </c>
      <c r="T307" s="99">
        <f t="shared" si="37"/>
        <v>0</v>
      </c>
      <c r="U307" s="132"/>
      <c r="V307" s="132"/>
      <c r="W307" s="132"/>
    </row>
    <row r="308" spans="2:23">
      <c r="B308" s="519" t="s">
        <v>327</v>
      </c>
      <c r="C308" s="520"/>
      <c r="D308" s="520"/>
      <c r="E308" s="520"/>
      <c r="F308" s="521"/>
      <c r="G308" s="122"/>
      <c r="H308" s="117">
        <f>$R$7</f>
        <v>30000</v>
      </c>
      <c r="I308" s="99">
        <f>G308*H308</f>
        <v>0</v>
      </c>
      <c r="M308" s="519" t="s">
        <v>327</v>
      </c>
      <c r="N308" s="520"/>
      <c r="O308" s="520"/>
      <c r="P308" s="520"/>
      <c r="Q308" s="521"/>
      <c r="R308" s="122"/>
      <c r="S308" s="117">
        <f>$R$7</f>
        <v>30000</v>
      </c>
      <c r="T308" s="99">
        <f>R308*S308</f>
        <v>0</v>
      </c>
    </row>
    <row r="309" spans="2:23">
      <c r="B309" s="519" t="s">
        <v>100</v>
      </c>
      <c r="C309" s="520"/>
      <c r="D309" s="520"/>
      <c r="E309" s="520"/>
      <c r="F309" s="521"/>
      <c r="G309" s="122"/>
      <c r="H309" s="117">
        <f>$R$8</f>
        <v>30000</v>
      </c>
      <c r="I309" s="99">
        <f t="shared" ref="I309:I316" si="38">G309*H309</f>
        <v>0</v>
      </c>
      <c r="M309" s="519" t="s">
        <v>100</v>
      </c>
      <c r="N309" s="520"/>
      <c r="O309" s="520"/>
      <c r="P309" s="520"/>
      <c r="Q309" s="521"/>
      <c r="R309" s="122"/>
      <c r="S309" s="117">
        <f>$R$8</f>
        <v>30000</v>
      </c>
      <c r="T309" s="99">
        <f t="shared" ref="T309:T316" si="39">R309*S309</f>
        <v>0</v>
      </c>
    </row>
    <row r="310" spans="2:23">
      <c r="B310" s="519" t="s">
        <v>328</v>
      </c>
      <c r="C310" s="520"/>
      <c r="D310" s="520"/>
      <c r="E310" s="520"/>
      <c r="F310" s="521"/>
      <c r="G310" s="122"/>
      <c r="H310" s="117">
        <f>$R$9</f>
        <v>50000</v>
      </c>
      <c r="I310" s="99">
        <f t="shared" si="38"/>
        <v>0</v>
      </c>
      <c r="M310" s="519" t="s">
        <v>328</v>
      </c>
      <c r="N310" s="520"/>
      <c r="O310" s="520"/>
      <c r="P310" s="520"/>
      <c r="Q310" s="521"/>
      <c r="R310" s="122"/>
      <c r="S310" s="117">
        <f>$R$9</f>
        <v>50000</v>
      </c>
      <c r="T310" s="99">
        <f t="shared" si="39"/>
        <v>0</v>
      </c>
    </row>
    <row r="311" spans="2:23">
      <c r="B311" s="519" t="s">
        <v>325</v>
      </c>
      <c r="C311" s="520"/>
      <c r="D311" s="520"/>
      <c r="E311" s="520"/>
      <c r="F311" s="521"/>
      <c r="G311" s="122"/>
      <c r="H311" s="117">
        <f>$R$10</f>
        <v>15000</v>
      </c>
      <c r="I311" s="99">
        <f t="shared" si="38"/>
        <v>0</v>
      </c>
      <c r="M311" s="519" t="s">
        <v>325</v>
      </c>
      <c r="N311" s="520"/>
      <c r="O311" s="520"/>
      <c r="P311" s="520"/>
      <c r="Q311" s="521"/>
      <c r="R311" s="122"/>
      <c r="S311" s="117">
        <f>$R$10</f>
        <v>15000</v>
      </c>
      <c r="T311" s="99">
        <f t="shared" si="39"/>
        <v>0</v>
      </c>
    </row>
    <row r="312" spans="2:23" ht="14.4" thickBot="1">
      <c r="B312" s="519" t="s">
        <v>326</v>
      </c>
      <c r="C312" s="520"/>
      <c r="D312" s="520"/>
      <c r="E312" s="520"/>
      <c r="F312" s="521"/>
      <c r="G312" s="122"/>
      <c r="H312" s="117">
        <f>$R$11</f>
        <v>15000</v>
      </c>
      <c r="I312" s="99">
        <f t="shared" si="38"/>
        <v>0</v>
      </c>
      <c r="M312" s="519" t="s">
        <v>326</v>
      </c>
      <c r="N312" s="520"/>
      <c r="O312" s="520"/>
      <c r="P312" s="520"/>
      <c r="Q312" s="521"/>
      <c r="R312" s="122"/>
      <c r="S312" s="117">
        <f>$R$11</f>
        <v>15000</v>
      </c>
      <c r="T312" s="99">
        <f t="shared" si="39"/>
        <v>0</v>
      </c>
    </row>
    <row r="313" spans="2:23">
      <c r="B313" s="135" t="s">
        <v>276</v>
      </c>
      <c r="C313" s="136"/>
      <c r="D313" s="136"/>
      <c r="E313" s="136"/>
      <c r="F313" s="137"/>
      <c r="G313" s="122"/>
      <c r="H313" s="117">
        <f>$R$12</f>
        <v>75000</v>
      </c>
      <c r="I313" s="99">
        <f t="shared" si="38"/>
        <v>0</v>
      </c>
      <c r="J313" s="499" t="s">
        <v>275</v>
      </c>
      <c r="K313" s="500"/>
      <c r="L313" s="501"/>
      <c r="M313" s="135" t="s">
        <v>276</v>
      </c>
      <c r="N313" s="136"/>
      <c r="O313" s="136"/>
      <c r="P313" s="136"/>
      <c r="Q313" s="137"/>
      <c r="R313" s="122"/>
      <c r="S313" s="117">
        <f>$R$12</f>
        <v>75000</v>
      </c>
      <c r="T313" s="99">
        <f t="shared" si="39"/>
        <v>0</v>
      </c>
      <c r="U313" s="499" t="s">
        <v>275</v>
      </c>
      <c r="V313" s="500"/>
      <c r="W313" s="501"/>
    </row>
    <row r="314" spans="2:23" ht="14.4" thickBot="1">
      <c r="B314" s="135" t="s">
        <v>277</v>
      </c>
      <c r="C314" s="136"/>
      <c r="D314" s="136"/>
      <c r="E314" s="136"/>
      <c r="F314" s="137"/>
      <c r="G314" s="122"/>
      <c r="H314" s="117">
        <f>$R$13</f>
        <v>75000</v>
      </c>
      <c r="I314" s="99">
        <f t="shared" si="38"/>
        <v>0</v>
      </c>
      <c r="J314" s="502"/>
      <c r="K314" s="503"/>
      <c r="L314" s="504"/>
      <c r="M314" s="135" t="s">
        <v>277</v>
      </c>
      <c r="N314" s="136"/>
      <c r="O314" s="136"/>
      <c r="P314" s="136"/>
      <c r="Q314" s="137"/>
      <c r="R314" s="122"/>
      <c r="S314" s="117">
        <f>$R$13</f>
        <v>75000</v>
      </c>
      <c r="T314" s="99">
        <f t="shared" si="39"/>
        <v>0</v>
      </c>
      <c r="U314" s="502"/>
      <c r="V314" s="503"/>
      <c r="W314" s="504"/>
    </row>
    <row r="315" spans="2:23">
      <c r="B315" s="519" t="s">
        <v>75</v>
      </c>
      <c r="C315" s="520"/>
      <c r="D315" s="520"/>
      <c r="E315" s="520"/>
      <c r="F315" s="521"/>
      <c r="G315" s="122"/>
      <c r="H315" s="117">
        <f>$R$14</f>
        <v>30000</v>
      </c>
      <c r="I315" s="99">
        <f t="shared" si="38"/>
        <v>0</v>
      </c>
      <c r="J315" s="491">
        <f>SUM(I305:I316)</f>
        <v>0</v>
      </c>
      <c r="K315" s="492"/>
      <c r="L315" s="493"/>
      <c r="M315" s="519" t="s">
        <v>347</v>
      </c>
      <c r="N315" s="520"/>
      <c r="O315" s="520"/>
      <c r="P315" s="520"/>
      <c r="Q315" s="521"/>
      <c r="R315" s="122"/>
      <c r="S315" s="117">
        <f>$R$14</f>
        <v>30000</v>
      </c>
      <c r="T315" s="99">
        <f t="shared" si="39"/>
        <v>0</v>
      </c>
      <c r="U315" s="491">
        <f>SUM(T305:T316)</f>
        <v>0</v>
      </c>
      <c r="V315" s="492"/>
      <c r="W315" s="493"/>
    </row>
    <row r="316" spans="2:23" ht="14.4" thickBot="1">
      <c r="B316" s="519" t="s">
        <v>12</v>
      </c>
      <c r="C316" s="520"/>
      <c r="D316" s="520"/>
      <c r="E316" s="520"/>
      <c r="F316" s="521"/>
      <c r="G316" s="124"/>
      <c r="H316" s="117">
        <f>$R$15</f>
        <v>12000</v>
      </c>
      <c r="I316" s="99">
        <f t="shared" si="38"/>
        <v>0</v>
      </c>
      <c r="J316" s="494"/>
      <c r="K316" s="495"/>
      <c r="L316" s="496"/>
      <c r="M316" s="519" t="s">
        <v>12</v>
      </c>
      <c r="N316" s="520"/>
      <c r="O316" s="520"/>
      <c r="P316" s="520"/>
      <c r="Q316" s="521"/>
      <c r="R316" s="124"/>
      <c r="S316" s="117">
        <f>$R$15</f>
        <v>12000</v>
      </c>
      <c r="T316" s="99">
        <f t="shared" si="39"/>
        <v>0</v>
      </c>
      <c r="U316" s="494"/>
      <c r="V316" s="495"/>
      <c r="W316" s="496"/>
    </row>
    <row r="317" spans="2:23" ht="14.4" thickBot="1">
      <c r="B317" s="522" t="s">
        <v>27</v>
      </c>
      <c r="C317" s="523"/>
      <c r="D317" s="523"/>
      <c r="E317" s="523"/>
      <c r="F317" s="523"/>
      <c r="G317" s="523"/>
      <c r="H317" s="523"/>
      <c r="I317" s="524"/>
      <c r="M317" s="522" t="s">
        <v>27</v>
      </c>
      <c r="N317" s="523"/>
      <c r="O317" s="523"/>
      <c r="P317" s="523"/>
      <c r="Q317" s="523"/>
      <c r="R317" s="523"/>
      <c r="S317" s="523"/>
      <c r="T317" s="524"/>
    </row>
    <row r="318" spans="2:23" ht="14.4" thickBot="1">
      <c r="B318" s="522" t="s">
        <v>267</v>
      </c>
      <c r="C318" s="523"/>
      <c r="D318" s="523"/>
      <c r="E318" s="523"/>
      <c r="F318" s="523"/>
      <c r="G318" s="138" t="s">
        <v>266</v>
      </c>
      <c r="H318" s="138" t="s">
        <v>0</v>
      </c>
      <c r="I318" s="102" t="s">
        <v>265</v>
      </c>
      <c r="M318" s="522" t="s">
        <v>267</v>
      </c>
      <c r="N318" s="523"/>
      <c r="O318" s="523"/>
      <c r="P318" s="523"/>
      <c r="Q318" s="523"/>
      <c r="R318" s="138" t="s">
        <v>266</v>
      </c>
      <c r="S318" s="138" t="s">
        <v>0</v>
      </c>
      <c r="T318" s="102" t="s">
        <v>265</v>
      </c>
    </row>
    <row r="319" spans="2:23">
      <c r="B319" s="525" t="s">
        <v>278</v>
      </c>
      <c r="C319" s="526"/>
      <c r="D319" s="526"/>
      <c r="E319" s="526"/>
      <c r="F319" s="527"/>
      <c r="G319" s="116"/>
      <c r="H319" s="117"/>
      <c r="I319" s="99">
        <f t="shared" ref="I319:I330" si="40">G319*H319</f>
        <v>0</v>
      </c>
      <c r="M319" s="525" t="s">
        <v>278</v>
      </c>
      <c r="N319" s="526"/>
      <c r="O319" s="526"/>
      <c r="P319" s="526"/>
      <c r="Q319" s="527"/>
      <c r="R319" s="116"/>
      <c r="S319" s="117"/>
      <c r="T319" s="99">
        <f t="shared" ref="T319:T330" si="41">R319*S319</f>
        <v>0</v>
      </c>
    </row>
    <row r="320" spans="2:23">
      <c r="B320" s="525" t="s">
        <v>279</v>
      </c>
      <c r="C320" s="526"/>
      <c r="D320" s="526"/>
      <c r="E320" s="526"/>
      <c r="F320" s="527"/>
      <c r="G320" s="122"/>
      <c r="H320" s="123"/>
      <c r="I320" s="99">
        <f t="shared" si="40"/>
        <v>0</v>
      </c>
      <c r="M320" s="525" t="s">
        <v>279</v>
      </c>
      <c r="N320" s="526"/>
      <c r="O320" s="526"/>
      <c r="P320" s="526"/>
      <c r="Q320" s="527"/>
      <c r="R320" s="122"/>
      <c r="S320" s="123"/>
      <c r="T320" s="99">
        <f t="shared" si="41"/>
        <v>0</v>
      </c>
    </row>
    <row r="321" spans="2:23">
      <c r="B321" s="528" t="s">
        <v>280</v>
      </c>
      <c r="C321" s="529"/>
      <c r="D321" s="529"/>
      <c r="E321" s="529"/>
      <c r="F321" s="530"/>
      <c r="G321" s="122"/>
      <c r="H321" s="123"/>
      <c r="I321" s="99">
        <f t="shared" si="40"/>
        <v>0</v>
      </c>
      <c r="M321" s="528" t="s">
        <v>280</v>
      </c>
      <c r="N321" s="529"/>
      <c r="O321" s="529"/>
      <c r="P321" s="529"/>
      <c r="Q321" s="530"/>
      <c r="R321" s="122"/>
      <c r="S321" s="123"/>
      <c r="T321" s="99">
        <f t="shared" si="41"/>
        <v>0</v>
      </c>
    </row>
    <row r="322" spans="2:23">
      <c r="B322" s="528" t="s">
        <v>94</v>
      </c>
      <c r="C322" s="529"/>
      <c r="D322" s="529"/>
      <c r="E322" s="529"/>
      <c r="F322" s="530"/>
      <c r="G322" s="122"/>
      <c r="H322" s="123"/>
      <c r="I322" s="99">
        <f t="shared" si="40"/>
        <v>0</v>
      </c>
      <c r="M322" s="528" t="s">
        <v>94</v>
      </c>
      <c r="N322" s="529"/>
      <c r="O322" s="529"/>
      <c r="P322" s="529"/>
      <c r="Q322" s="530"/>
      <c r="R322" s="122"/>
      <c r="S322" s="123"/>
      <c r="T322" s="99">
        <f t="shared" si="41"/>
        <v>0</v>
      </c>
    </row>
    <row r="323" spans="2:23">
      <c r="B323" s="139" t="s">
        <v>281</v>
      </c>
      <c r="C323" s="140"/>
      <c r="D323" s="140"/>
      <c r="E323" s="140"/>
      <c r="F323" s="141"/>
      <c r="G323" s="122"/>
      <c r="H323" s="123"/>
      <c r="I323" s="99">
        <f t="shared" si="40"/>
        <v>0</v>
      </c>
      <c r="M323" s="139" t="s">
        <v>281</v>
      </c>
      <c r="N323" s="140"/>
      <c r="O323" s="140"/>
      <c r="P323" s="140"/>
      <c r="Q323" s="141"/>
      <c r="R323" s="122"/>
      <c r="S323" s="123"/>
      <c r="T323" s="99">
        <f t="shared" si="41"/>
        <v>0</v>
      </c>
    </row>
    <row r="324" spans="2:23">
      <c r="B324" s="528" t="s">
        <v>284</v>
      </c>
      <c r="C324" s="529"/>
      <c r="D324" s="529"/>
      <c r="E324" s="529"/>
      <c r="F324" s="530"/>
      <c r="G324" s="122"/>
      <c r="H324" s="123"/>
      <c r="I324" s="99">
        <f t="shared" si="40"/>
        <v>0</v>
      </c>
      <c r="M324" s="528" t="s">
        <v>284</v>
      </c>
      <c r="N324" s="529"/>
      <c r="O324" s="529"/>
      <c r="P324" s="529"/>
      <c r="Q324" s="530"/>
      <c r="R324" s="122"/>
      <c r="S324" s="123"/>
      <c r="T324" s="99">
        <f t="shared" si="41"/>
        <v>0</v>
      </c>
    </row>
    <row r="325" spans="2:23">
      <c r="B325" s="528" t="s">
        <v>285</v>
      </c>
      <c r="C325" s="529"/>
      <c r="D325" s="529"/>
      <c r="E325" s="529"/>
      <c r="F325" s="530"/>
      <c r="G325" s="122"/>
      <c r="H325" s="123"/>
      <c r="I325" s="99">
        <f t="shared" si="40"/>
        <v>0</v>
      </c>
      <c r="M325" s="528" t="s">
        <v>285</v>
      </c>
      <c r="N325" s="529"/>
      <c r="O325" s="529"/>
      <c r="P325" s="529"/>
      <c r="Q325" s="530"/>
      <c r="R325" s="122"/>
      <c r="S325" s="123"/>
      <c r="T325" s="99">
        <f t="shared" si="41"/>
        <v>0</v>
      </c>
    </row>
    <row r="326" spans="2:23" ht="14.4" thickBot="1">
      <c r="B326" s="139" t="s">
        <v>288</v>
      </c>
      <c r="C326" s="140"/>
      <c r="D326" s="140"/>
      <c r="E326" s="140"/>
      <c r="F326" s="141"/>
      <c r="G326" s="122"/>
      <c r="H326" s="123"/>
      <c r="I326" s="99">
        <f t="shared" si="40"/>
        <v>0</v>
      </c>
      <c r="M326" s="139" t="s">
        <v>288</v>
      </c>
      <c r="N326" s="140"/>
      <c r="O326" s="140"/>
      <c r="P326" s="140"/>
      <c r="Q326" s="141"/>
      <c r="R326" s="122"/>
      <c r="S326" s="123"/>
      <c r="T326" s="99">
        <f t="shared" si="41"/>
        <v>0</v>
      </c>
    </row>
    <row r="327" spans="2:23">
      <c r="B327" s="528" t="s">
        <v>289</v>
      </c>
      <c r="C327" s="529"/>
      <c r="D327" s="529"/>
      <c r="E327" s="529"/>
      <c r="F327" s="530"/>
      <c r="G327" s="122"/>
      <c r="H327" s="123"/>
      <c r="I327" s="99">
        <f t="shared" si="40"/>
        <v>0</v>
      </c>
      <c r="J327" s="499" t="s">
        <v>275</v>
      </c>
      <c r="K327" s="500"/>
      <c r="L327" s="501"/>
      <c r="M327" s="528" t="s">
        <v>289</v>
      </c>
      <c r="N327" s="529"/>
      <c r="O327" s="529"/>
      <c r="P327" s="529"/>
      <c r="Q327" s="530"/>
      <c r="R327" s="122"/>
      <c r="S327" s="123"/>
      <c r="T327" s="99">
        <f t="shared" si="41"/>
        <v>0</v>
      </c>
      <c r="U327" s="499" t="s">
        <v>275</v>
      </c>
      <c r="V327" s="500"/>
      <c r="W327" s="501"/>
    </row>
    <row r="328" spans="2:23" ht="14.4" thickBot="1">
      <c r="B328" s="528" t="s">
        <v>290</v>
      </c>
      <c r="C328" s="529"/>
      <c r="D328" s="529"/>
      <c r="E328" s="529"/>
      <c r="F328" s="530"/>
      <c r="G328" s="122"/>
      <c r="H328" s="123"/>
      <c r="I328" s="99">
        <f t="shared" si="40"/>
        <v>0</v>
      </c>
      <c r="J328" s="502"/>
      <c r="K328" s="503"/>
      <c r="L328" s="504"/>
      <c r="M328" s="528" t="s">
        <v>290</v>
      </c>
      <c r="N328" s="529"/>
      <c r="O328" s="529"/>
      <c r="P328" s="529"/>
      <c r="Q328" s="530"/>
      <c r="R328" s="122"/>
      <c r="S328" s="123"/>
      <c r="T328" s="99">
        <f t="shared" si="41"/>
        <v>0</v>
      </c>
      <c r="U328" s="502"/>
      <c r="V328" s="503"/>
      <c r="W328" s="504"/>
    </row>
    <row r="329" spans="2:23">
      <c r="B329" s="528"/>
      <c r="C329" s="529"/>
      <c r="D329" s="529"/>
      <c r="E329" s="529"/>
      <c r="F329" s="530"/>
      <c r="G329" s="122"/>
      <c r="H329" s="123"/>
      <c r="I329" s="99">
        <f t="shared" si="40"/>
        <v>0</v>
      </c>
      <c r="J329" s="491">
        <f>SUM(I319:I330)</f>
        <v>0</v>
      </c>
      <c r="K329" s="492"/>
      <c r="L329" s="493"/>
      <c r="M329" s="528"/>
      <c r="N329" s="529"/>
      <c r="O329" s="529"/>
      <c r="P329" s="529"/>
      <c r="Q329" s="530"/>
      <c r="R329" s="122"/>
      <c r="S329" s="123"/>
      <c r="T329" s="99">
        <f t="shared" si="41"/>
        <v>0</v>
      </c>
      <c r="U329" s="491">
        <f>SUM(T319:T330)</f>
        <v>0</v>
      </c>
      <c r="V329" s="492"/>
      <c r="W329" s="493"/>
    </row>
    <row r="330" spans="2:23" ht="14.4" thickBot="1">
      <c r="B330" s="537"/>
      <c r="C330" s="538"/>
      <c r="D330" s="538"/>
      <c r="E330" s="538"/>
      <c r="F330" s="539"/>
      <c r="G330" s="124"/>
      <c r="H330" s="125"/>
      <c r="I330" s="100">
        <f t="shared" si="40"/>
        <v>0</v>
      </c>
      <c r="J330" s="494"/>
      <c r="K330" s="495"/>
      <c r="L330" s="496"/>
      <c r="M330" s="537"/>
      <c r="N330" s="538"/>
      <c r="O330" s="538"/>
      <c r="P330" s="538"/>
      <c r="Q330" s="539"/>
      <c r="R330" s="124"/>
      <c r="S330" s="125"/>
      <c r="T330" s="100">
        <f t="shared" si="41"/>
        <v>0</v>
      </c>
      <c r="U330" s="494"/>
      <c r="V330" s="495"/>
      <c r="W330" s="496"/>
    </row>
    <row r="331" spans="2:23" ht="14.4" thickBot="1">
      <c r="B331" s="531" t="s">
        <v>26</v>
      </c>
      <c r="C331" s="532"/>
      <c r="D331" s="532"/>
      <c r="E331" s="532"/>
      <c r="F331" s="532"/>
      <c r="G331" s="532"/>
      <c r="H331" s="532"/>
      <c r="I331" s="533"/>
      <c r="J331" s="132"/>
      <c r="K331" s="132"/>
      <c r="L331" s="132"/>
      <c r="M331" s="531" t="s">
        <v>26</v>
      </c>
      <c r="N331" s="532"/>
      <c r="O331" s="532"/>
      <c r="P331" s="532"/>
      <c r="Q331" s="532"/>
      <c r="R331" s="532"/>
      <c r="S331" s="532"/>
      <c r="T331" s="533"/>
      <c r="U331" s="132"/>
      <c r="V331" s="132"/>
      <c r="W331" s="132"/>
    </row>
    <row r="332" spans="2:23" ht="14.4" thickBot="1">
      <c r="B332" s="531" t="s">
        <v>267</v>
      </c>
      <c r="C332" s="532"/>
      <c r="D332" s="532"/>
      <c r="E332" s="532"/>
      <c r="F332" s="532"/>
      <c r="G332" s="142" t="s">
        <v>266</v>
      </c>
      <c r="H332" s="142" t="s">
        <v>0</v>
      </c>
      <c r="I332" s="103" t="s">
        <v>265</v>
      </c>
      <c r="J332" s="132"/>
      <c r="K332" s="132"/>
      <c r="L332" s="132"/>
      <c r="M332" s="531" t="s">
        <v>267</v>
      </c>
      <c r="N332" s="532"/>
      <c r="O332" s="532"/>
      <c r="P332" s="532"/>
      <c r="Q332" s="532"/>
      <c r="R332" s="142" t="s">
        <v>266</v>
      </c>
      <c r="S332" s="142" t="s">
        <v>0</v>
      </c>
      <c r="T332" s="103" t="s">
        <v>265</v>
      </c>
      <c r="U332" s="132"/>
      <c r="V332" s="132"/>
      <c r="W332" s="132"/>
    </row>
    <row r="333" spans="2:23">
      <c r="B333" s="534" t="s">
        <v>296</v>
      </c>
      <c r="C333" s="535"/>
      <c r="D333" s="535"/>
      <c r="E333" s="535"/>
      <c r="F333" s="536"/>
      <c r="G333" s="143"/>
      <c r="H333" s="144"/>
      <c r="I333" s="104">
        <f t="shared" ref="I333:I349" si="42">G333*H333</f>
        <v>0</v>
      </c>
      <c r="M333" s="534" t="s">
        <v>296</v>
      </c>
      <c r="N333" s="535"/>
      <c r="O333" s="535"/>
      <c r="P333" s="535"/>
      <c r="Q333" s="536"/>
      <c r="R333" s="143"/>
      <c r="S333" s="144"/>
      <c r="T333" s="104">
        <f t="shared" ref="T333:T349" si="43">R333*S333</f>
        <v>0</v>
      </c>
    </row>
    <row r="334" spans="2:23">
      <c r="B334" s="540" t="s">
        <v>295</v>
      </c>
      <c r="C334" s="541"/>
      <c r="D334" s="541"/>
      <c r="E334" s="541"/>
      <c r="F334" s="542"/>
      <c r="G334" s="122"/>
      <c r="H334" s="123"/>
      <c r="I334" s="99">
        <f t="shared" si="42"/>
        <v>0</v>
      </c>
      <c r="M334" s="540" t="s">
        <v>295</v>
      </c>
      <c r="N334" s="541"/>
      <c r="O334" s="541"/>
      <c r="P334" s="541"/>
      <c r="Q334" s="542"/>
      <c r="R334" s="122"/>
      <c r="S334" s="123"/>
      <c r="T334" s="99">
        <f t="shared" si="43"/>
        <v>0</v>
      </c>
    </row>
    <row r="335" spans="2:23">
      <c r="B335" s="540" t="s">
        <v>330</v>
      </c>
      <c r="C335" s="541"/>
      <c r="D335" s="541"/>
      <c r="E335" s="541"/>
      <c r="F335" s="542"/>
      <c r="G335" s="122"/>
      <c r="H335" s="123"/>
      <c r="I335" s="99">
        <f t="shared" si="42"/>
        <v>0</v>
      </c>
      <c r="M335" s="540" t="s">
        <v>330</v>
      </c>
      <c r="N335" s="541"/>
      <c r="O335" s="541"/>
      <c r="P335" s="541"/>
      <c r="Q335" s="542"/>
      <c r="R335" s="122"/>
      <c r="S335" s="123"/>
      <c r="T335" s="99">
        <f t="shared" si="43"/>
        <v>0</v>
      </c>
    </row>
    <row r="336" spans="2:23">
      <c r="B336" s="540" t="s">
        <v>329</v>
      </c>
      <c r="C336" s="541"/>
      <c r="D336" s="541"/>
      <c r="E336" s="541"/>
      <c r="F336" s="542"/>
      <c r="G336" s="122"/>
      <c r="H336" s="123"/>
      <c r="I336" s="99">
        <f t="shared" si="42"/>
        <v>0</v>
      </c>
      <c r="M336" s="540" t="s">
        <v>329</v>
      </c>
      <c r="N336" s="541"/>
      <c r="O336" s="541"/>
      <c r="P336" s="541"/>
      <c r="Q336" s="542"/>
      <c r="R336" s="122"/>
      <c r="S336" s="123"/>
      <c r="T336" s="99">
        <f t="shared" si="43"/>
        <v>0</v>
      </c>
    </row>
    <row r="337" spans="2:23">
      <c r="B337" s="540" t="s">
        <v>331</v>
      </c>
      <c r="C337" s="541"/>
      <c r="D337" s="541"/>
      <c r="E337" s="541"/>
      <c r="F337" s="542"/>
      <c r="G337" s="122"/>
      <c r="H337" s="123"/>
      <c r="I337" s="99">
        <f t="shared" si="42"/>
        <v>0</v>
      </c>
      <c r="M337" s="540" t="s">
        <v>331</v>
      </c>
      <c r="N337" s="541"/>
      <c r="O337" s="541"/>
      <c r="P337" s="541"/>
      <c r="Q337" s="542"/>
      <c r="R337" s="122"/>
      <c r="S337" s="123"/>
      <c r="T337" s="99">
        <f t="shared" si="43"/>
        <v>0</v>
      </c>
    </row>
    <row r="338" spans="2:23">
      <c r="B338" s="145" t="s">
        <v>42</v>
      </c>
      <c r="C338" s="146"/>
      <c r="D338" s="146"/>
      <c r="E338" s="146"/>
      <c r="F338" s="147"/>
      <c r="G338" s="122"/>
      <c r="H338" s="123"/>
      <c r="I338" s="99">
        <f t="shared" si="42"/>
        <v>0</v>
      </c>
      <c r="M338" s="145" t="s">
        <v>42</v>
      </c>
      <c r="N338" s="146"/>
      <c r="O338" s="146"/>
      <c r="P338" s="146"/>
      <c r="Q338" s="147"/>
      <c r="R338" s="122"/>
      <c r="S338" s="123"/>
      <c r="T338" s="99">
        <f t="shared" si="43"/>
        <v>0</v>
      </c>
    </row>
    <row r="339" spans="2:23">
      <c r="B339" s="145" t="s">
        <v>41</v>
      </c>
      <c r="C339" s="146"/>
      <c r="D339" s="146"/>
      <c r="E339" s="146"/>
      <c r="F339" s="147"/>
      <c r="G339" s="122"/>
      <c r="H339" s="123"/>
      <c r="I339" s="99">
        <f t="shared" si="42"/>
        <v>0</v>
      </c>
      <c r="M339" s="145" t="s">
        <v>41</v>
      </c>
      <c r="N339" s="146"/>
      <c r="O339" s="146"/>
      <c r="P339" s="146"/>
      <c r="Q339" s="147"/>
      <c r="R339" s="122"/>
      <c r="S339" s="123"/>
      <c r="T339" s="99">
        <f t="shared" si="43"/>
        <v>0</v>
      </c>
    </row>
    <row r="340" spans="2:23">
      <c r="B340" s="145" t="s">
        <v>3</v>
      </c>
      <c r="C340" s="146"/>
      <c r="D340" s="146"/>
      <c r="E340" s="146"/>
      <c r="F340" s="147"/>
      <c r="G340" s="122"/>
      <c r="H340" s="123"/>
      <c r="I340" s="99">
        <f t="shared" si="42"/>
        <v>0</v>
      </c>
      <c r="M340" s="145" t="s">
        <v>3</v>
      </c>
      <c r="N340" s="146"/>
      <c r="O340" s="146"/>
      <c r="P340" s="146"/>
      <c r="Q340" s="147"/>
      <c r="R340" s="122"/>
      <c r="S340" s="123"/>
      <c r="T340" s="99">
        <f t="shared" si="43"/>
        <v>0</v>
      </c>
    </row>
    <row r="341" spans="2:23">
      <c r="B341" s="145" t="s">
        <v>4</v>
      </c>
      <c r="C341" s="146"/>
      <c r="D341" s="146"/>
      <c r="E341" s="146"/>
      <c r="F341" s="147"/>
      <c r="G341" s="122"/>
      <c r="H341" s="123"/>
      <c r="I341" s="99">
        <f t="shared" si="42"/>
        <v>0</v>
      </c>
      <c r="M341" s="145" t="s">
        <v>4</v>
      </c>
      <c r="N341" s="146"/>
      <c r="O341" s="146"/>
      <c r="P341" s="146"/>
      <c r="Q341" s="147"/>
      <c r="R341" s="122"/>
      <c r="S341" s="123"/>
      <c r="T341" s="99">
        <f t="shared" si="43"/>
        <v>0</v>
      </c>
    </row>
    <row r="342" spans="2:23">
      <c r="B342" s="145" t="s">
        <v>67</v>
      </c>
      <c r="C342" s="146"/>
      <c r="D342" s="146"/>
      <c r="E342" s="146"/>
      <c r="F342" s="147"/>
      <c r="G342" s="122"/>
      <c r="H342" s="123"/>
      <c r="I342" s="99">
        <f t="shared" si="42"/>
        <v>0</v>
      </c>
      <c r="M342" s="145" t="s">
        <v>67</v>
      </c>
      <c r="N342" s="146"/>
      <c r="O342" s="146"/>
      <c r="P342" s="146"/>
      <c r="Q342" s="147"/>
      <c r="R342" s="122"/>
      <c r="S342" s="123"/>
      <c r="T342" s="99">
        <f t="shared" si="43"/>
        <v>0</v>
      </c>
    </row>
    <row r="343" spans="2:23">
      <c r="B343" s="145" t="s">
        <v>68</v>
      </c>
      <c r="C343" s="146"/>
      <c r="D343" s="146"/>
      <c r="E343" s="146"/>
      <c r="F343" s="147"/>
      <c r="G343" s="122"/>
      <c r="H343" s="123"/>
      <c r="I343" s="99">
        <f t="shared" si="42"/>
        <v>0</v>
      </c>
      <c r="M343" s="145" t="s">
        <v>68</v>
      </c>
      <c r="N343" s="146"/>
      <c r="O343" s="146"/>
      <c r="P343" s="146"/>
      <c r="Q343" s="147"/>
      <c r="R343" s="122"/>
      <c r="S343" s="123"/>
      <c r="T343" s="99">
        <f t="shared" si="43"/>
        <v>0</v>
      </c>
    </row>
    <row r="344" spans="2:23">
      <c r="B344" s="540" t="s">
        <v>70</v>
      </c>
      <c r="C344" s="541"/>
      <c r="D344" s="541"/>
      <c r="E344" s="541"/>
      <c r="F344" s="542"/>
      <c r="G344" s="122"/>
      <c r="H344" s="123"/>
      <c r="I344" s="99">
        <f t="shared" si="42"/>
        <v>0</v>
      </c>
      <c r="M344" s="540" t="s">
        <v>70</v>
      </c>
      <c r="N344" s="541"/>
      <c r="O344" s="541"/>
      <c r="P344" s="541"/>
      <c r="Q344" s="542"/>
      <c r="R344" s="122"/>
      <c r="S344" s="123"/>
      <c r="T344" s="99">
        <f t="shared" si="43"/>
        <v>0</v>
      </c>
    </row>
    <row r="345" spans="2:23" ht="14.4" thickBot="1">
      <c r="B345" s="540" t="s">
        <v>380</v>
      </c>
      <c r="C345" s="541"/>
      <c r="D345" s="541"/>
      <c r="E345" s="541"/>
      <c r="F345" s="542"/>
      <c r="G345" s="122"/>
      <c r="H345" s="123"/>
      <c r="I345" s="99">
        <f t="shared" si="42"/>
        <v>0</v>
      </c>
      <c r="M345" s="540" t="s">
        <v>380</v>
      </c>
      <c r="N345" s="541"/>
      <c r="O345" s="541"/>
      <c r="P345" s="541"/>
      <c r="Q345" s="542"/>
      <c r="R345" s="122"/>
      <c r="S345" s="123"/>
      <c r="T345" s="99">
        <f t="shared" si="43"/>
        <v>0</v>
      </c>
    </row>
    <row r="346" spans="2:23">
      <c r="B346" s="540" t="s">
        <v>16</v>
      </c>
      <c r="C346" s="541"/>
      <c r="D346" s="541"/>
      <c r="E346" s="541"/>
      <c r="F346" s="542"/>
      <c r="G346" s="122"/>
      <c r="H346" s="123"/>
      <c r="I346" s="99">
        <f t="shared" si="42"/>
        <v>0</v>
      </c>
      <c r="J346" s="499" t="s">
        <v>275</v>
      </c>
      <c r="K346" s="500"/>
      <c r="L346" s="501"/>
      <c r="M346" s="540" t="s">
        <v>16</v>
      </c>
      <c r="N346" s="541"/>
      <c r="O346" s="541"/>
      <c r="P346" s="541"/>
      <c r="Q346" s="542"/>
      <c r="R346" s="122"/>
      <c r="S346" s="123"/>
      <c r="T346" s="99">
        <f t="shared" si="43"/>
        <v>0</v>
      </c>
      <c r="U346" s="499" t="s">
        <v>275</v>
      </c>
      <c r="V346" s="500"/>
      <c r="W346" s="501"/>
    </row>
    <row r="347" spans="2:23" ht="14.4" thickBot="1">
      <c r="B347" s="540" t="s">
        <v>17</v>
      </c>
      <c r="C347" s="541"/>
      <c r="D347" s="541"/>
      <c r="E347" s="541"/>
      <c r="F347" s="542"/>
      <c r="G347" s="122"/>
      <c r="H347" s="123"/>
      <c r="I347" s="99">
        <f t="shared" si="42"/>
        <v>0</v>
      </c>
      <c r="J347" s="502"/>
      <c r="K347" s="503"/>
      <c r="L347" s="504"/>
      <c r="M347" s="540" t="s">
        <v>17</v>
      </c>
      <c r="N347" s="541"/>
      <c r="O347" s="541"/>
      <c r="P347" s="541"/>
      <c r="Q347" s="542"/>
      <c r="R347" s="122"/>
      <c r="S347" s="123"/>
      <c r="T347" s="99">
        <f t="shared" si="43"/>
        <v>0</v>
      </c>
      <c r="U347" s="502"/>
      <c r="V347" s="503"/>
      <c r="W347" s="504"/>
    </row>
    <row r="348" spans="2:23">
      <c r="B348" s="540"/>
      <c r="C348" s="541"/>
      <c r="D348" s="541"/>
      <c r="E348" s="541"/>
      <c r="F348" s="542"/>
      <c r="G348" s="122"/>
      <c r="H348" s="123"/>
      <c r="I348" s="99">
        <f t="shared" si="42"/>
        <v>0</v>
      </c>
      <c r="J348" s="491">
        <f>SUM(I333:I349)</f>
        <v>0</v>
      </c>
      <c r="K348" s="492"/>
      <c r="L348" s="493"/>
      <c r="M348" s="540"/>
      <c r="N348" s="541"/>
      <c r="O348" s="541"/>
      <c r="P348" s="541"/>
      <c r="Q348" s="542"/>
      <c r="R348" s="122"/>
      <c r="S348" s="123"/>
      <c r="T348" s="99">
        <f t="shared" si="43"/>
        <v>0</v>
      </c>
      <c r="U348" s="491">
        <f>SUM(T333:T349)</f>
        <v>0</v>
      </c>
      <c r="V348" s="492"/>
      <c r="W348" s="493"/>
    </row>
    <row r="349" spans="2:23" ht="14.4" thickBot="1">
      <c r="B349" s="543"/>
      <c r="C349" s="544"/>
      <c r="D349" s="544"/>
      <c r="E349" s="544"/>
      <c r="F349" s="545"/>
      <c r="G349" s="124"/>
      <c r="H349" s="125"/>
      <c r="I349" s="100">
        <f t="shared" si="42"/>
        <v>0</v>
      </c>
      <c r="J349" s="494"/>
      <c r="K349" s="495"/>
      <c r="L349" s="496"/>
      <c r="M349" s="543"/>
      <c r="N349" s="544"/>
      <c r="O349" s="544"/>
      <c r="P349" s="544"/>
      <c r="Q349" s="545"/>
      <c r="R349" s="124"/>
      <c r="S349" s="125"/>
      <c r="T349" s="100">
        <f t="shared" si="43"/>
        <v>0</v>
      </c>
      <c r="U349" s="494"/>
      <c r="V349" s="495"/>
      <c r="W349" s="496"/>
    </row>
    <row r="350" spans="2:23" ht="14.4" thickBot="1">
      <c r="B350" s="546" t="s">
        <v>297</v>
      </c>
      <c r="C350" s="547"/>
      <c r="D350" s="547"/>
      <c r="E350" s="547"/>
      <c r="F350" s="547"/>
      <c r="G350" s="547"/>
      <c r="H350" s="547"/>
      <c r="I350" s="548"/>
      <c r="J350" s="132"/>
      <c r="K350" s="132"/>
      <c r="L350" s="132"/>
      <c r="M350" s="546" t="s">
        <v>297</v>
      </c>
      <c r="N350" s="547"/>
      <c r="O350" s="547"/>
      <c r="P350" s="547"/>
      <c r="Q350" s="547"/>
      <c r="R350" s="547"/>
      <c r="S350" s="547"/>
      <c r="T350" s="548"/>
      <c r="U350" s="132"/>
      <c r="V350" s="132"/>
      <c r="W350" s="132"/>
    </row>
    <row r="351" spans="2:23" ht="14.4" thickBot="1">
      <c r="B351" s="546" t="s">
        <v>267</v>
      </c>
      <c r="C351" s="547"/>
      <c r="D351" s="547"/>
      <c r="E351" s="547"/>
      <c r="F351" s="547"/>
      <c r="G351" s="148" t="s">
        <v>266</v>
      </c>
      <c r="H351" s="148" t="s">
        <v>0</v>
      </c>
      <c r="I351" s="105" t="s">
        <v>265</v>
      </c>
      <c r="J351" s="132"/>
      <c r="K351" s="132"/>
      <c r="L351" s="132"/>
      <c r="M351" s="546" t="s">
        <v>267</v>
      </c>
      <c r="N351" s="547"/>
      <c r="O351" s="547"/>
      <c r="P351" s="547"/>
      <c r="Q351" s="547"/>
      <c r="R351" s="148" t="s">
        <v>266</v>
      </c>
      <c r="S351" s="148" t="s">
        <v>0</v>
      </c>
      <c r="T351" s="105" t="s">
        <v>265</v>
      </c>
      <c r="U351" s="132"/>
      <c r="V351" s="132"/>
      <c r="W351" s="132"/>
    </row>
    <row r="352" spans="2:23">
      <c r="B352" s="549" t="s">
        <v>333</v>
      </c>
      <c r="C352" s="550"/>
      <c r="D352" s="550"/>
      <c r="E352" s="550"/>
      <c r="F352" s="551"/>
      <c r="G352" s="116"/>
      <c r="H352" s="117"/>
      <c r="I352" s="98"/>
      <c r="M352" s="549" t="s">
        <v>333</v>
      </c>
      <c r="N352" s="550"/>
      <c r="O352" s="550"/>
      <c r="P352" s="550"/>
      <c r="Q352" s="551"/>
      <c r="R352" s="116"/>
      <c r="S352" s="117"/>
      <c r="T352" s="98"/>
    </row>
    <row r="353" spans="2:23">
      <c r="B353" s="552" t="s">
        <v>291</v>
      </c>
      <c r="C353" s="553"/>
      <c r="D353" s="553"/>
      <c r="E353" s="553"/>
      <c r="F353" s="554"/>
      <c r="G353" s="122"/>
      <c r="H353" s="123"/>
      <c r="I353" s="99">
        <f t="shared" ref="I353:I363" si="44">G353*H353</f>
        <v>0</v>
      </c>
      <c r="M353" s="552" t="s">
        <v>291</v>
      </c>
      <c r="N353" s="553"/>
      <c r="O353" s="553"/>
      <c r="P353" s="553"/>
      <c r="Q353" s="554"/>
      <c r="R353" s="122"/>
      <c r="S353" s="123"/>
      <c r="T353" s="99">
        <f t="shared" ref="T353:T363" si="45">R353*S353</f>
        <v>0</v>
      </c>
    </row>
    <row r="354" spans="2:23">
      <c r="B354" s="552" t="s">
        <v>292</v>
      </c>
      <c r="C354" s="553"/>
      <c r="D354" s="553"/>
      <c r="E354" s="553"/>
      <c r="F354" s="554"/>
      <c r="G354" s="122"/>
      <c r="H354" s="123"/>
      <c r="I354" s="99">
        <f t="shared" si="44"/>
        <v>0</v>
      </c>
      <c r="M354" s="552" t="s">
        <v>292</v>
      </c>
      <c r="N354" s="553"/>
      <c r="O354" s="553"/>
      <c r="P354" s="553"/>
      <c r="Q354" s="554"/>
      <c r="R354" s="122"/>
      <c r="S354" s="123"/>
      <c r="T354" s="99">
        <f t="shared" si="45"/>
        <v>0</v>
      </c>
    </row>
    <row r="355" spans="2:23">
      <c r="B355" s="552" t="s">
        <v>293</v>
      </c>
      <c r="C355" s="553"/>
      <c r="D355" s="553"/>
      <c r="E355" s="553"/>
      <c r="F355" s="554"/>
      <c r="G355" s="122"/>
      <c r="H355" s="123"/>
      <c r="I355" s="99">
        <f t="shared" si="44"/>
        <v>0</v>
      </c>
      <c r="M355" s="552" t="s">
        <v>293</v>
      </c>
      <c r="N355" s="553"/>
      <c r="O355" s="553"/>
      <c r="P355" s="553"/>
      <c r="Q355" s="554"/>
      <c r="R355" s="122"/>
      <c r="S355" s="123"/>
      <c r="T355" s="99">
        <f t="shared" si="45"/>
        <v>0</v>
      </c>
    </row>
    <row r="356" spans="2:23">
      <c r="B356" s="552" t="s">
        <v>193</v>
      </c>
      <c r="C356" s="553"/>
      <c r="D356" s="553"/>
      <c r="E356" s="553"/>
      <c r="F356" s="554"/>
      <c r="G356" s="122"/>
      <c r="H356" s="123"/>
      <c r="I356" s="99">
        <f t="shared" si="44"/>
        <v>0</v>
      </c>
      <c r="M356" s="552" t="s">
        <v>193</v>
      </c>
      <c r="N356" s="553"/>
      <c r="O356" s="553"/>
      <c r="P356" s="553"/>
      <c r="Q356" s="554"/>
      <c r="R356" s="122"/>
      <c r="S356" s="123"/>
      <c r="T356" s="99">
        <f t="shared" si="45"/>
        <v>0</v>
      </c>
    </row>
    <row r="357" spans="2:23">
      <c r="B357" s="552" t="s">
        <v>294</v>
      </c>
      <c r="C357" s="553"/>
      <c r="D357" s="553"/>
      <c r="E357" s="553"/>
      <c r="F357" s="554"/>
      <c r="G357" s="122"/>
      <c r="H357" s="123"/>
      <c r="I357" s="99">
        <f t="shared" si="44"/>
        <v>0</v>
      </c>
      <c r="M357" s="552" t="s">
        <v>294</v>
      </c>
      <c r="N357" s="553"/>
      <c r="O357" s="553"/>
      <c r="P357" s="553"/>
      <c r="Q357" s="554"/>
      <c r="R357" s="122"/>
      <c r="S357" s="123"/>
      <c r="T357" s="99">
        <f t="shared" si="45"/>
        <v>0</v>
      </c>
    </row>
    <row r="358" spans="2:23">
      <c r="B358" s="552"/>
      <c r="C358" s="553"/>
      <c r="D358" s="553"/>
      <c r="E358" s="553"/>
      <c r="F358" s="554"/>
      <c r="G358" s="122"/>
      <c r="H358" s="123"/>
      <c r="I358" s="99">
        <f t="shared" si="44"/>
        <v>0</v>
      </c>
      <c r="M358" s="552"/>
      <c r="N358" s="553"/>
      <c r="O358" s="553"/>
      <c r="P358" s="553"/>
      <c r="Q358" s="554"/>
      <c r="R358" s="122"/>
      <c r="S358" s="123"/>
      <c r="T358" s="99">
        <f t="shared" si="45"/>
        <v>0</v>
      </c>
    </row>
    <row r="359" spans="2:23" ht="14.4" thickBot="1">
      <c r="B359" s="552"/>
      <c r="C359" s="553"/>
      <c r="D359" s="553"/>
      <c r="E359" s="553"/>
      <c r="F359" s="554"/>
      <c r="G359" s="122"/>
      <c r="H359" s="123"/>
      <c r="I359" s="99">
        <f t="shared" si="44"/>
        <v>0</v>
      </c>
      <c r="M359" s="552"/>
      <c r="N359" s="553"/>
      <c r="O359" s="553"/>
      <c r="P359" s="553"/>
      <c r="Q359" s="554"/>
      <c r="R359" s="122"/>
      <c r="S359" s="123"/>
      <c r="T359" s="99">
        <f t="shared" si="45"/>
        <v>0</v>
      </c>
    </row>
    <row r="360" spans="2:23">
      <c r="B360" s="552"/>
      <c r="C360" s="553"/>
      <c r="D360" s="553"/>
      <c r="E360" s="553"/>
      <c r="F360" s="554"/>
      <c r="G360" s="122"/>
      <c r="H360" s="123"/>
      <c r="I360" s="99">
        <f t="shared" si="44"/>
        <v>0</v>
      </c>
      <c r="J360" s="499" t="s">
        <v>275</v>
      </c>
      <c r="K360" s="500"/>
      <c r="L360" s="501"/>
      <c r="M360" s="552"/>
      <c r="N360" s="553"/>
      <c r="O360" s="553"/>
      <c r="P360" s="553"/>
      <c r="Q360" s="554"/>
      <c r="R360" s="122"/>
      <c r="S360" s="123"/>
      <c r="T360" s="99">
        <f t="shared" si="45"/>
        <v>0</v>
      </c>
      <c r="U360" s="499" t="s">
        <v>275</v>
      </c>
      <c r="V360" s="500"/>
      <c r="W360" s="501"/>
    </row>
    <row r="361" spans="2:23" ht="14.4" thickBot="1">
      <c r="B361" s="557" t="s">
        <v>2</v>
      </c>
      <c r="C361" s="558"/>
      <c r="D361" s="558"/>
      <c r="E361" s="558"/>
      <c r="F361" s="559"/>
      <c r="G361" s="149"/>
      <c r="H361" s="150"/>
      <c r="I361" s="100">
        <f t="shared" si="44"/>
        <v>0</v>
      </c>
      <c r="J361" s="502"/>
      <c r="K361" s="503"/>
      <c r="L361" s="504"/>
      <c r="M361" s="557" t="s">
        <v>2</v>
      </c>
      <c r="N361" s="558"/>
      <c r="O361" s="558"/>
      <c r="P361" s="558"/>
      <c r="Q361" s="559"/>
      <c r="R361" s="149"/>
      <c r="S361" s="150"/>
      <c r="T361" s="100">
        <f t="shared" si="45"/>
        <v>0</v>
      </c>
      <c r="U361" s="502"/>
      <c r="V361" s="503"/>
      <c r="W361" s="504"/>
    </row>
    <row r="362" spans="2:23">
      <c r="B362" s="555" t="s">
        <v>22</v>
      </c>
      <c r="C362" s="556"/>
      <c r="D362" s="556"/>
      <c r="E362" s="556"/>
      <c r="F362" s="556"/>
      <c r="G362" s="122"/>
      <c r="H362" s="123"/>
      <c r="I362" s="99">
        <f t="shared" si="44"/>
        <v>0</v>
      </c>
      <c r="J362" s="491">
        <f>SUM(I352:I363)</f>
        <v>0</v>
      </c>
      <c r="K362" s="492"/>
      <c r="L362" s="493"/>
      <c r="M362" s="555" t="s">
        <v>22</v>
      </c>
      <c r="N362" s="556"/>
      <c r="O362" s="556"/>
      <c r="P362" s="556"/>
      <c r="Q362" s="556"/>
      <c r="R362" s="122"/>
      <c r="S362" s="123"/>
      <c r="T362" s="99">
        <f t="shared" si="45"/>
        <v>0</v>
      </c>
      <c r="U362" s="491">
        <f>SUM(T352:T363)</f>
        <v>0</v>
      </c>
      <c r="V362" s="492"/>
      <c r="W362" s="493"/>
    </row>
    <row r="363" spans="2:23" ht="14.4" thickBot="1">
      <c r="B363" s="555" t="s">
        <v>21</v>
      </c>
      <c r="C363" s="556"/>
      <c r="D363" s="556"/>
      <c r="E363" s="556"/>
      <c r="F363" s="556"/>
      <c r="G363" s="122"/>
      <c r="H363" s="123"/>
      <c r="I363" s="99">
        <f t="shared" si="44"/>
        <v>0</v>
      </c>
      <c r="J363" s="494"/>
      <c r="K363" s="495"/>
      <c r="L363" s="496"/>
      <c r="M363" s="555" t="s">
        <v>21</v>
      </c>
      <c r="N363" s="556"/>
      <c r="O363" s="556"/>
      <c r="P363" s="556"/>
      <c r="Q363" s="556"/>
      <c r="R363" s="122"/>
      <c r="S363" s="123"/>
      <c r="T363" s="99">
        <f t="shared" si="45"/>
        <v>0</v>
      </c>
      <c r="U363" s="494"/>
      <c r="V363" s="495"/>
      <c r="W363" s="496"/>
    </row>
    <row r="364" spans="2:23" ht="14.4" thickBot="1">
      <c r="B364" s="560" t="s">
        <v>334</v>
      </c>
      <c r="C364" s="561"/>
      <c r="D364" s="561"/>
      <c r="E364" s="561"/>
      <c r="F364" s="561"/>
      <c r="G364" s="561"/>
      <c r="H364" s="561"/>
      <c r="I364" s="562"/>
      <c r="J364" s="151"/>
      <c r="K364" s="132"/>
      <c r="L364" s="132"/>
      <c r="M364" s="560" t="s">
        <v>334</v>
      </c>
      <c r="N364" s="561"/>
      <c r="O364" s="561"/>
      <c r="P364" s="561"/>
      <c r="Q364" s="561"/>
      <c r="R364" s="561"/>
      <c r="S364" s="561"/>
      <c r="T364" s="562"/>
      <c r="U364" s="151"/>
      <c r="V364" s="132"/>
      <c r="W364" s="132"/>
    </row>
    <row r="365" spans="2:23" ht="14.4" thickBot="1">
      <c r="B365" s="560" t="s">
        <v>267</v>
      </c>
      <c r="C365" s="561"/>
      <c r="D365" s="561"/>
      <c r="E365" s="561"/>
      <c r="F365" s="561"/>
      <c r="G365" s="152" t="s">
        <v>266</v>
      </c>
      <c r="H365" s="152" t="s">
        <v>0</v>
      </c>
      <c r="I365" s="106" t="s">
        <v>265</v>
      </c>
      <c r="J365" s="151"/>
      <c r="K365" s="132"/>
      <c r="L365" s="132"/>
      <c r="M365" s="560" t="s">
        <v>267</v>
      </c>
      <c r="N365" s="561"/>
      <c r="O365" s="561"/>
      <c r="P365" s="561"/>
      <c r="Q365" s="561"/>
      <c r="R365" s="152" t="s">
        <v>266</v>
      </c>
      <c r="S365" s="152" t="s">
        <v>0</v>
      </c>
      <c r="T365" s="106" t="s">
        <v>265</v>
      </c>
      <c r="U365" s="151"/>
      <c r="V365" s="132"/>
      <c r="W365" s="132"/>
    </row>
    <row r="366" spans="2:23">
      <c r="B366" s="563" t="s">
        <v>8</v>
      </c>
      <c r="C366" s="564"/>
      <c r="D366" s="564"/>
      <c r="E366" s="564"/>
      <c r="F366" s="564"/>
      <c r="G366" s="122"/>
      <c r="H366" s="123"/>
      <c r="I366" s="99">
        <f t="shared" ref="I366:I369" si="46">G366*H366</f>
        <v>0</v>
      </c>
      <c r="J366" s="499" t="s">
        <v>275</v>
      </c>
      <c r="K366" s="500"/>
      <c r="L366" s="501"/>
      <c r="M366" s="563" t="s">
        <v>8</v>
      </c>
      <c r="N366" s="564"/>
      <c r="O366" s="564"/>
      <c r="P366" s="564"/>
      <c r="Q366" s="564"/>
      <c r="R366" s="122"/>
      <c r="S366" s="123"/>
      <c r="T366" s="99">
        <f t="shared" ref="T366:T369" si="47">R366*S366</f>
        <v>0</v>
      </c>
      <c r="U366" s="499" t="s">
        <v>275</v>
      </c>
      <c r="V366" s="500"/>
      <c r="W366" s="501"/>
    </row>
    <row r="367" spans="2:23" ht="14.4" thickBot="1">
      <c r="B367" s="563" t="s">
        <v>9</v>
      </c>
      <c r="C367" s="564"/>
      <c r="D367" s="564"/>
      <c r="E367" s="564"/>
      <c r="F367" s="564"/>
      <c r="G367" s="122"/>
      <c r="H367" s="123"/>
      <c r="I367" s="99">
        <f t="shared" si="46"/>
        <v>0</v>
      </c>
      <c r="J367" s="502"/>
      <c r="K367" s="503"/>
      <c r="L367" s="504"/>
      <c r="M367" s="563" t="s">
        <v>9</v>
      </c>
      <c r="N367" s="564"/>
      <c r="O367" s="564"/>
      <c r="P367" s="564"/>
      <c r="Q367" s="564"/>
      <c r="R367" s="122"/>
      <c r="S367" s="123"/>
      <c r="T367" s="99">
        <f t="shared" si="47"/>
        <v>0</v>
      </c>
      <c r="U367" s="502"/>
      <c r="V367" s="503"/>
      <c r="W367" s="504"/>
    </row>
    <row r="368" spans="2:23">
      <c r="B368" s="563" t="s">
        <v>335</v>
      </c>
      <c r="C368" s="564"/>
      <c r="D368" s="564"/>
      <c r="E368" s="564"/>
      <c r="F368" s="564"/>
      <c r="G368" s="122"/>
      <c r="H368" s="123"/>
      <c r="I368" s="99">
        <f t="shared" si="46"/>
        <v>0</v>
      </c>
      <c r="J368" s="491">
        <f>SUM(I366:I369)</f>
        <v>0</v>
      </c>
      <c r="K368" s="492"/>
      <c r="L368" s="493"/>
      <c r="M368" s="563" t="s">
        <v>335</v>
      </c>
      <c r="N368" s="564"/>
      <c r="O368" s="564"/>
      <c r="P368" s="564"/>
      <c r="Q368" s="564"/>
      <c r="R368" s="122"/>
      <c r="S368" s="123"/>
      <c r="T368" s="99">
        <f t="shared" si="47"/>
        <v>0</v>
      </c>
      <c r="U368" s="491">
        <f>SUM(T366:T369)</f>
        <v>0</v>
      </c>
      <c r="V368" s="492"/>
      <c r="W368" s="493"/>
    </row>
    <row r="369" spans="2:23" ht="14.4" thickBot="1">
      <c r="B369" s="583" t="s">
        <v>336</v>
      </c>
      <c r="C369" s="584"/>
      <c r="D369" s="584"/>
      <c r="E369" s="584"/>
      <c r="F369" s="584"/>
      <c r="G369" s="153"/>
      <c r="H369" s="154"/>
      <c r="I369" s="107">
        <f t="shared" si="46"/>
        <v>0</v>
      </c>
      <c r="J369" s="494"/>
      <c r="K369" s="495"/>
      <c r="L369" s="496"/>
      <c r="M369" s="583" t="s">
        <v>336</v>
      </c>
      <c r="N369" s="584"/>
      <c r="O369" s="584"/>
      <c r="P369" s="584"/>
      <c r="Q369" s="584"/>
      <c r="R369" s="153"/>
      <c r="S369" s="154"/>
      <c r="T369" s="107">
        <f t="shared" si="47"/>
        <v>0</v>
      </c>
      <c r="U369" s="494"/>
      <c r="V369" s="495"/>
      <c r="W369" s="496"/>
    </row>
    <row r="370" spans="2:23">
      <c r="B370" s="565" t="s">
        <v>298</v>
      </c>
      <c r="C370" s="566"/>
      <c r="D370" s="566"/>
      <c r="E370" s="566"/>
      <c r="F370" s="566"/>
      <c r="G370" s="566"/>
      <c r="H370" s="566"/>
      <c r="I370" s="567"/>
      <c r="J370" s="574">
        <f>SUM(J368,J362,J348,J329,J315,J301,J287)</f>
        <v>0</v>
      </c>
      <c r="K370" s="575"/>
      <c r="L370" s="576"/>
      <c r="M370" s="565" t="s">
        <v>298</v>
      </c>
      <c r="N370" s="566"/>
      <c r="O370" s="566"/>
      <c r="P370" s="566"/>
      <c r="Q370" s="566"/>
      <c r="R370" s="566"/>
      <c r="S370" s="566"/>
      <c r="T370" s="567"/>
      <c r="U370" s="574">
        <f>SUM(U368,U362,U348,U329,U315,U301,U287)</f>
        <v>0</v>
      </c>
      <c r="V370" s="575"/>
      <c r="W370" s="576"/>
    </row>
    <row r="371" spans="2:23">
      <c r="B371" s="568"/>
      <c r="C371" s="569"/>
      <c r="D371" s="569"/>
      <c r="E371" s="569"/>
      <c r="F371" s="569"/>
      <c r="G371" s="569"/>
      <c r="H371" s="569"/>
      <c r="I371" s="570"/>
      <c r="J371" s="577"/>
      <c r="K371" s="578"/>
      <c r="L371" s="579"/>
      <c r="M371" s="568"/>
      <c r="N371" s="569"/>
      <c r="O371" s="569"/>
      <c r="P371" s="569"/>
      <c r="Q371" s="569"/>
      <c r="R371" s="569"/>
      <c r="S371" s="569"/>
      <c r="T371" s="570"/>
      <c r="U371" s="577"/>
      <c r="V371" s="578"/>
      <c r="W371" s="579"/>
    </row>
    <row r="372" spans="2:23" ht="14.4" thickBot="1">
      <c r="B372" s="571"/>
      <c r="C372" s="572"/>
      <c r="D372" s="572"/>
      <c r="E372" s="572"/>
      <c r="F372" s="572"/>
      <c r="G372" s="572"/>
      <c r="H372" s="572"/>
      <c r="I372" s="573"/>
      <c r="J372" s="580"/>
      <c r="K372" s="581"/>
      <c r="L372" s="582"/>
      <c r="M372" s="571"/>
      <c r="N372" s="572"/>
      <c r="O372" s="572"/>
      <c r="P372" s="572"/>
      <c r="Q372" s="572"/>
      <c r="R372" s="572"/>
      <c r="S372" s="572"/>
      <c r="T372" s="573"/>
      <c r="U372" s="580"/>
      <c r="V372" s="581"/>
      <c r="W372" s="582"/>
    </row>
    <row r="373" spans="2:23">
      <c r="B373" s="475" t="s">
        <v>411</v>
      </c>
      <c r="C373" s="476"/>
      <c r="D373" s="476"/>
      <c r="E373" s="476"/>
      <c r="F373" s="476"/>
      <c r="G373" s="476"/>
      <c r="H373" s="476"/>
      <c r="I373" s="477"/>
      <c r="M373" s="475"/>
      <c r="N373" s="476"/>
      <c r="O373" s="476"/>
      <c r="P373" s="476"/>
      <c r="Q373" s="476"/>
      <c r="R373" s="476"/>
      <c r="S373" s="476"/>
      <c r="T373" s="477"/>
    </row>
    <row r="374" spans="2:23">
      <c r="B374" s="478"/>
      <c r="C374" s="479"/>
      <c r="D374" s="479"/>
      <c r="E374" s="479"/>
      <c r="F374" s="479"/>
      <c r="G374" s="479"/>
      <c r="H374" s="479"/>
      <c r="I374" s="480"/>
      <c r="M374" s="478"/>
      <c r="N374" s="479"/>
      <c r="O374" s="479"/>
      <c r="P374" s="479"/>
      <c r="Q374" s="479"/>
      <c r="R374" s="479"/>
      <c r="S374" s="479"/>
      <c r="T374" s="480"/>
    </row>
    <row r="375" spans="2:23" ht="14.4" thickBot="1">
      <c r="B375" s="481"/>
      <c r="C375" s="482"/>
      <c r="D375" s="482"/>
      <c r="E375" s="482"/>
      <c r="F375" s="482"/>
      <c r="G375" s="482"/>
      <c r="H375" s="482"/>
      <c r="I375" s="483"/>
      <c r="M375" s="481"/>
      <c r="N375" s="482"/>
      <c r="O375" s="482"/>
      <c r="P375" s="482"/>
      <c r="Q375" s="482"/>
      <c r="R375" s="482"/>
      <c r="S375" s="482"/>
      <c r="T375" s="483"/>
    </row>
    <row r="376" spans="2:23" ht="14.4" thickBot="1">
      <c r="B376" s="467" t="s">
        <v>262</v>
      </c>
      <c r="C376" s="468"/>
      <c r="D376" s="468"/>
      <c r="E376" s="468"/>
      <c r="F376" s="468"/>
      <c r="G376" s="468"/>
      <c r="H376" s="468"/>
      <c r="I376" s="484"/>
      <c r="M376" s="467" t="s">
        <v>262</v>
      </c>
      <c r="N376" s="468"/>
      <c r="O376" s="468"/>
      <c r="P376" s="468"/>
      <c r="Q376" s="468"/>
      <c r="R376" s="468"/>
      <c r="S376" s="468"/>
      <c r="T376" s="484"/>
    </row>
    <row r="377" spans="2:23" ht="14.4" thickBot="1">
      <c r="B377" s="467" t="s">
        <v>267</v>
      </c>
      <c r="C377" s="468"/>
      <c r="D377" s="468"/>
      <c r="E377" s="468"/>
      <c r="F377" s="468"/>
      <c r="G377" s="114" t="s">
        <v>266</v>
      </c>
      <c r="H377" s="114" t="s">
        <v>0</v>
      </c>
      <c r="I377" s="97" t="s">
        <v>265</v>
      </c>
      <c r="M377" s="467" t="s">
        <v>267</v>
      </c>
      <c r="N377" s="468"/>
      <c r="O377" s="468"/>
      <c r="P377" s="468"/>
      <c r="Q377" s="468"/>
      <c r="R377" s="114" t="s">
        <v>266</v>
      </c>
      <c r="S377" s="114" t="s">
        <v>0</v>
      </c>
      <c r="T377" s="97" t="s">
        <v>265</v>
      </c>
    </row>
    <row r="378" spans="2:23">
      <c r="B378" s="469" t="s">
        <v>13</v>
      </c>
      <c r="C378" s="470"/>
      <c r="D378" s="470"/>
      <c r="E378" s="471"/>
      <c r="F378" s="115">
        <v>1</v>
      </c>
      <c r="G378" s="116"/>
      <c r="H378" s="117">
        <f>$I$4</f>
        <v>160000</v>
      </c>
      <c r="I378" s="98">
        <f>F378*G378*H378</f>
        <v>0</v>
      </c>
      <c r="M378" s="469" t="s">
        <v>13</v>
      </c>
      <c r="N378" s="470"/>
      <c r="O378" s="470"/>
      <c r="P378" s="471"/>
      <c r="Q378" s="115">
        <v>1</v>
      </c>
      <c r="R378" s="116"/>
      <c r="S378" s="117">
        <f>$I$4</f>
        <v>160000</v>
      </c>
      <c r="T378" s="98">
        <f>Q378*R378*S378</f>
        <v>0</v>
      </c>
    </row>
    <row r="379" spans="2:23">
      <c r="B379" s="118" t="s">
        <v>261</v>
      </c>
      <c r="C379" s="119"/>
      <c r="D379" s="119"/>
      <c r="E379" s="120"/>
      <c r="F379" s="121">
        <v>1</v>
      </c>
      <c r="G379" s="122"/>
      <c r="H379" s="123">
        <f>$I$5</f>
        <v>165000</v>
      </c>
      <c r="I379" s="99"/>
      <c r="M379" s="118" t="s">
        <v>261</v>
      </c>
      <c r="N379" s="119"/>
      <c r="O379" s="119"/>
      <c r="P379" s="120"/>
      <c r="Q379" s="121">
        <v>1</v>
      </c>
      <c r="R379" s="122"/>
      <c r="S379" s="123">
        <f>$I$5</f>
        <v>165000</v>
      </c>
      <c r="T379" s="99"/>
    </row>
    <row r="380" spans="2:23">
      <c r="B380" s="472" t="s">
        <v>15</v>
      </c>
      <c r="C380" s="473"/>
      <c r="D380" s="473"/>
      <c r="E380" s="474"/>
      <c r="F380" s="121">
        <v>1</v>
      </c>
      <c r="G380" s="122"/>
      <c r="H380" s="123">
        <f>$I$6</f>
        <v>140000</v>
      </c>
      <c r="I380" s="99">
        <f>F380*G380*H380</f>
        <v>0</v>
      </c>
      <c r="M380" s="472" t="s">
        <v>356</v>
      </c>
      <c r="N380" s="473"/>
      <c r="O380" s="473"/>
      <c r="P380" s="474"/>
      <c r="Q380" s="121">
        <v>1</v>
      </c>
      <c r="R380" s="122"/>
      <c r="S380" s="123">
        <f>$I$6</f>
        <v>140000</v>
      </c>
      <c r="T380" s="99">
        <f>Q380*R380*S380</f>
        <v>0</v>
      </c>
    </row>
    <row r="381" spans="2:23">
      <c r="B381" s="472" t="s">
        <v>338</v>
      </c>
      <c r="C381" s="473"/>
      <c r="D381" s="473"/>
      <c r="E381" s="474"/>
      <c r="F381" s="121">
        <v>1</v>
      </c>
      <c r="G381" s="122"/>
      <c r="H381" s="123">
        <f>$I$7</f>
        <v>150000</v>
      </c>
      <c r="I381" s="99">
        <f>F381*G381*H381</f>
        <v>0</v>
      </c>
      <c r="M381" s="472" t="s">
        <v>357</v>
      </c>
      <c r="N381" s="473"/>
      <c r="O381" s="473"/>
      <c r="P381" s="474"/>
      <c r="Q381" s="121">
        <v>1</v>
      </c>
      <c r="R381" s="122"/>
      <c r="S381" s="123">
        <f>$I$7</f>
        <v>150000</v>
      </c>
      <c r="T381" s="99">
        <f>Q381*R381*S381</f>
        <v>0</v>
      </c>
    </row>
    <row r="382" spans="2:23">
      <c r="B382" s="472"/>
      <c r="C382" s="473"/>
      <c r="D382" s="473"/>
      <c r="E382" s="474"/>
      <c r="F382" s="121"/>
      <c r="G382" s="122"/>
      <c r="H382" s="123"/>
      <c r="I382" s="99">
        <f>F382*G382*H382</f>
        <v>0</v>
      </c>
      <c r="M382" s="472"/>
      <c r="N382" s="473"/>
      <c r="O382" s="473"/>
      <c r="P382" s="474"/>
      <c r="Q382" s="121"/>
      <c r="R382" s="122"/>
      <c r="S382" s="123"/>
      <c r="T382" s="99">
        <f>Q382*R382*S382</f>
        <v>0</v>
      </c>
    </row>
    <row r="383" spans="2:23">
      <c r="B383" s="485" t="s">
        <v>339</v>
      </c>
      <c r="C383" s="486"/>
      <c r="D383" s="486"/>
      <c r="E383" s="486"/>
      <c r="F383" s="487"/>
      <c r="G383" s="122"/>
      <c r="H383" s="123">
        <f>$I$8</f>
        <v>12800</v>
      </c>
      <c r="I383" s="99">
        <f>G383*H383</f>
        <v>0</v>
      </c>
      <c r="M383" s="485" t="s">
        <v>358</v>
      </c>
      <c r="N383" s="486"/>
      <c r="O383" s="486"/>
      <c r="P383" s="486"/>
      <c r="Q383" s="487"/>
      <c r="R383" s="122"/>
      <c r="S383" s="123">
        <f>$I$8</f>
        <v>12800</v>
      </c>
      <c r="T383" s="99">
        <f>R383*S383</f>
        <v>0</v>
      </c>
    </row>
    <row r="384" spans="2:23">
      <c r="B384" s="485" t="s">
        <v>263</v>
      </c>
      <c r="C384" s="486"/>
      <c r="D384" s="486"/>
      <c r="E384" s="486"/>
      <c r="F384" s="487"/>
      <c r="G384" s="122"/>
      <c r="H384" s="123">
        <f>$I$9</f>
        <v>11100</v>
      </c>
      <c r="I384" s="99">
        <f>G384*H384</f>
        <v>0</v>
      </c>
      <c r="M384" s="485" t="s">
        <v>264</v>
      </c>
      <c r="N384" s="486"/>
      <c r="O384" s="486"/>
      <c r="P384" s="486"/>
      <c r="Q384" s="487"/>
      <c r="R384" s="122"/>
      <c r="S384" s="123">
        <f>$I$9</f>
        <v>11100</v>
      </c>
      <c r="T384" s="99">
        <f>R384*S384</f>
        <v>0</v>
      </c>
    </row>
    <row r="385" spans="2:23">
      <c r="B385" s="488" t="s">
        <v>340</v>
      </c>
      <c r="C385" s="489"/>
      <c r="D385" s="489"/>
      <c r="E385" s="489"/>
      <c r="F385" s="490"/>
      <c r="G385" s="122"/>
      <c r="H385" s="123">
        <f>$I$10</f>
        <v>58</v>
      </c>
      <c r="I385" s="99">
        <f t="shared" ref="I385:I397" si="48">G385*H385</f>
        <v>0</v>
      </c>
      <c r="M385" s="488" t="s">
        <v>359</v>
      </c>
      <c r="N385" s="489"/>
      <c r="O385" s="489"/>
      <c r="P385" s="489"/>
      <c r="Q385" s="490"/>
      <c r="R385" s="122"/>
      <c r="S385" s="123">
        <f>$I$10</f>
        <v>58</v>
      </c>
      <c r="T385" s="99">
        <f t="shared" ref="T385:T397" si="49">R385*S385</f>
        <v>0</v>
      </c>
    </row>
    <row r="386" spans="2:23">
      <c r="B386" s="488" t="s">
        <v>341</v>
      </c>
      <c r="C386" s="489"/>
      <c r="D386" s="489"/>
      <c r="E386" s="489"/>
      <c r="F386" s="490"/>
      <c r="G386" s="122"/>
      <c r="H386" s="123">
        <f>$I$11</f>
        <v>35</v>
      </c>
      <c r="I386" s="99">
        <f t="shared" si="48"/>
        <v>0</v>
      </c>
      <c r="M386" s="488" t="s">
        <v>360</v>
      </c>
      <c r="N386" s="489"/>
      <c r="O386" s="489"/>
      <c r="P386" s="489"/>
      <c r="Q386" s="490"/>
      <c r="R386" s="122"/>
      <c r="S386" s="123">
        <f>$I$11</f>
        <v>35</v>
      </c>
      <c r="T386" s="99">
        <f t="shared" si="49"/>
        <v>0</v>
      </c>
    </row>
    <row r="387" spans="2:23">
      <c r="B387" s="488" t="s">
        <v>342</v>
      </c>
      <c r="C387" s="489"/>
      <c r="D387" s="489"/>
      <c r="E387" s="489"/>
      <c r="F387" s="490"/>
      <c r="G387" s="122"/>
      <c r="H387" s="123">
        <f>$I$12</f>
        <v>1250</v>
      </c>
      <c r="I387" s="99">
        <f t="shared" si="48"/>
        <v>0</v>
      </c>
      <c r="M387" s="488" t="s">
        <v>361</v>
      </c>
      <c r="N387" s="489"/>
      <c r="O387" s="489"/>
      <c r="P387" s="489"/>
      <c r="Q387" s="490"/>
      <c r="R387" s="122"/>
      <c r="S387" s="123">
        <f>$I$12</f>
        <v>1250</v>
      </c>
      <c r="T387" s="99">
        <f t="shared" si="49"/>
        <v>0</v>
      </c>
    </row>
    <row r="388" spans="2:23">
      <c r="B388" s="488" t="s">
        <v>343</v>
      </c>
      <c r="C388" s="489"/>
      <c r="D388" s="489"/>
      <c r="E388" s="489"/>
      <c r="F388" s="490"/>
      <c r="G388" s="122"/>
      <c r="H388" s="123">
        <f>$I$13</f>
        <v>1250</v>
      </c>
      <c r="I388" s="99">
        <f t="shared" si="48"/>
        <v>0</v>
      </c>
      <c r="M388" s="488" t="s">
        <v>362</v>
      </c>
      <c r="N388" s="489"/>
      <c r="O388" s="489"/>
      <c r="P388" s="489"/>
      <c r="Q388" s="490"/>
      <c r="R388" s="122"/>
      <c r="S388" s="123">
        <f>$I$13</f>
        <v>1250</v>
      </c>
      <c r="T388" s="99">
        <f t="shared" si="49"/>
        <v>0</v>
      </c>
    </row>
    <row r="389" spans="2:23">
      <c r="B389" s="488" t="s">
        <v>344</v>
      </c>
      <c r="C389" s="489"/>
      <c r="D389" s="489"/>
      <c r="E389" s="489"/>
      <c r="F389" s="490"/>
      <c r="G389" s="122"/>
      <c r="H389" s="123">
        <f>$I$14</f>
        <v>750</v>
      </c>
      <c r="I389" s="99">
        <f t="shared" si="48"/>
        <v>0</v>
      </c>
      <c r="M389" s="488" t="s">
        <v>363</v>
      </c>
      <c r="N389" s="489"/>
      <c r="O389" s="489"/>
      <c r="P389" s="489"/>
      <c r="Q389" s="490"/>
      <c r="R389" s="122"/>
      <c r="S389" s="123">
        <f>$I$14</f>
        <v>750</v>
      </c>
      <c r="T389" s="99">
        <f t="shared" si="49"/>
        <v>0</v>
      </c>
    </row>
    <row r="390" spans="2:23">
      <c r="B390" s="488" t="s">
        <v>345</v>
      </c>
      <c r="C390" s="489"/>
      <c r="D390" s="489"/>
      <c r="E390" s="489"/>
      <c r="F390" s="490"/>
      <c r="G390" s="122"/>
      <c r="H390" s="123">
        <f>$I$15</f>
        <v>175</v>
      </c>
      <c r="I390" s="99">
        <f t="shared" si="48"/>
        <v>0</v>
      </c>
      <c r="M390" s="488" t="s">
        <v>364</v>
      </c>
      <c r="N390" s="489"/>
      <c r="O390" s="489"/>
      <c r="P390" s="489"/>
      <c r="Q390" s="490"/>
      <c r="R390" s="122"/>
      <c r="S390" s="123">
        <f>$I$15</f>
        <v>175</v>
      </c>
      <c r="T390" s="99">
        <f t="shared" si="49"/>
        <v>0</v>
      </c>
    </row>
    <row r="391" spans="2:23">
      <c r="B391" s="488" t="s">
        <v>346</v>
      </c>
      <c r="C391" s="489"/>
      <c r="D391" s="489"/>
      <c r="E391" s="489"/>
      <c r="F391" s="490"/>
      <c r="G391" s="122"/>
      <c r="H391" s="123">
        <f>$I$16</f>
        <v>175</v>
      </c>
      <c r="I391" s="99">
        <f t="shared" si="48"/>
        <v>0</v>
      </c>
      <c r="M391" s="488" t="s">
        <v>365</v>
      </c>
      <c r="N391" s="489"/>
      <c r="O391" s="489"/>
      <c r="P391" s="489"/>
      <c r="Q391" s="490"/>
      <c r="R391" s="122"/>
      <c r="S391" s="123">
        <f>$I$16</f>
        <v>175</v>
      </c>
      <c r="T391" s="99">
        <f t="shared" si="49"/>
        <v>0</v>
      </c>
    </row>
    <row r="392" spans="2:23">
      <c r="B392" s="472" t="s">
        <v>222</v>
      </c>
      <c r="C392" s="473"/>
      <c r="D392" s="473"/>
      <c r="E392" s="473"/>
      <c r="F392" s="474"/>
      <c r="G392" s="122"/>
      <c r="H392" s="123">
        <f>$I$17</f>
        <v>90000</v>
      </c>
      <c r="I392" s="99">
        <f t="shared" si="48"/>
        <v>0</v>
      </c>
      <c r="M392" s="472" t="s">
        <v>222</v>
      </c>
      <c r="N392" s="473"/>
      <c r="O392" s="473"/>
      <c r="P392" s="473"/>
      <c r="Q392" s="474"/>
      <c r="R392" s="122"/>
      <c r="S392" s="123">
        <f>$I$17</f>
        <v>90000</v>
      </c>
      <c r="T392" s="99">
        <f t="shared" si="49"/>
        <v>0</v>
      </c>
    </row>
    <row r="393" spans="2:23" ht="14.4" thickBot="1">
      <c r="B393" s="485" t="s">
        <v>337</v>
      </c>
      <c r="C393" s="486"/>
      <c r="D393" s="486"/>
      <c r="E393" s="486"/>
      <c r="F393" s="487"/>
      <c r="G393" s="122"/>
      <c r="H393" s="123">
        <f>$I$18</f>
        <v>21000</v>
      </c>
      <c r="I393" s="99">
        <f t="shared" si="48"/>
        <v>0</v>
      </c>
      <c r="M393" s="485" t="s">
        <v>337</v>
      </c>
      <c r="N393" s="486"/>
      <c r="O393" s="486"/>
      <c r="P393" s="486"/>
      <c r="Q393" s="487"/>
      <c r="R393" s="122"/>
      <c r="S393" s="123">
        <f>$I$18</f>
        <v>21000</v>
      </c>
      <c r="T393" s="99">
        <f t="shared" si="49"/>
        <v>0</v>
      </c>
    </row>
    <row r="394" spans="2:23">
      <c r="B394" s="485" t="s">
        <v>269</v>
      </c>
      <c r="C394" s="486"/>
      <c r="D394" s="486"/>
      <c r="E394" s="486"/>
      <c r="F394" s="487"/>
      <c r="G394" s="122"/>
      <c r="H394" s="123">
        <f>$I$19</f>
        <v>40000</v>
      </c>
      <c r="I394" s="99">
        <f t="shared" si="48"/>
        <v>0</v>
      </c>
      <c r="J394" s="499" t="s">
        <v>275</v>
      </c>
      <c r="K394" s="500"/>
      <c r="L394" s="501"/>
      <c r="M394" s="485" t="s">
        <v>269</v>
      </c>
      <c r="N394" s="486"/>
      <c r="O394" s="486"/>
      <c r="P394" s="486"/>
      <c r="Q394" s="487"/>
      <c r="R394" s="122"/>
      <c r="S394" s="123">
        <f>$I$19</f>
        <v>40000</v>
      </c>
      <c r="T394" s="99">
        <f t="shared" si="49"/>
        <v>0</v>
      </c>
      <c r="U394" s="499" t="s">
        <v>275</v>
      </c>
      <c r="V394" s="500"/>
      <c r="W394" s="501"/>
    </row>
    <row r="395" spans="2:23" ht="14.4" thickBot="1">
      <c r="B395" s="485" t="s">
        <v>270</v>
      </c>
      <c r="C395" s="486"/>
      <c r="D395" s="486"/>
      <c r="E395" s="486"/>
      <c r="F395" s="487"/>
      <c r="G395" s="122"/>
      <c r="H395" s="123">
        <f>$I$20</f>
        <v>13000</v>
      </c>
      <c r="I395" s="99">
        <f t="shared" si="48"/>
        <v>0</v>
      </c>
      <c r="J395" s="502"/>
      <c r="K395" s="503"/>
      <c r="L395" s="504"/>
      <c r="M395" s="485" t="s">
        <v>270</v>
      </c>
      <c r="N395" s="486"/>
      <c r="O395" s="486"/>
      <c r="P395" s="486"/>
      <c r="Q395" s="487"/>
      <c r="R395" s="122"/>
      <c r="S395" s="123">
        <f>$I$20</f>
        <v>13000</v>
      </c>
      <c r="T395" s="99">
        <f t="shared" si="49"/>
        <v>0</v>
      </c>
      <c r="U395" s="502"/>
      <c r="V395" s="503"/>
      <c r="W395" s="504"/>
    </row>
    <row r="396" spans="2:23">
      <c r="B396" s="488"/>
      <c r="C396" s="489"/>
      <c r="D396" s="489"/>
      <c r="E396" s="489"/>
      <c r="F396" s="490"/>
      <c r="G396" s="122"/>
      <c r="H396" s="123"/>
      <c r="I396" s="99">
        <f t="shared" si="48"/>
        <v>0</v>
      </c>
      <c r="J396" s="491">
        <f>SUM(I378:I397)</f>
        <v>0</v>
      </c>
      <c r="K396" s="492"/>
      <c r="L396" s="493"/>
      <c r="M396" s="488"/>
      <c r="N396" s="489"/>
      <c r="O396" s="489"/>
      <c r="P396" s="489"/>
      <c r="Q396" s="490"/>
      <c r="R396" s="122"/>
      <c r="S396" s="123"/>
      <c r="T396" s="99">
        <f t="shared" si="49"/>
        <v>0</v>
      </c>
      <c r="U396" s="491">
        <f>SUM(T378:T397)</f>
        <v>0</v>
      </c>
      <c r="V396" s="492"/>
      <c r="W396" s="493"/>
    </row>
    <row r="397" spans="2:23" ht="14.4" thickBot="1">
      <c r="B397" s="497"/>
      <c r="C397" s="498"/>
      <c r="D397" s="498"/>
      <c r="E397" s="498"/>
      <c r="F397" s="498"/>
      <c r="G397" s="124"/>
      <c r="H397" s="125"/>
      <c r="I397" s="100">
        <f t="shared" si="48"/>
        <v>0</v>
      </c>
      <c r="J397" s="494"/>
      <c r="K397" s="495"/>
      <c r="L397" s="496"/>
      <c r="M397" s="497"/>
      <c r="N397" s="498"/>
      <c r="O397" s="498"/>
      <c r="P397" s="498"/>
      <c r="Q397" s="498"/>
      <c r="R397" s="124"/>
      <c r="S397" s="125"/>
      <c r="T397" s="100">
        <f t="shared" si="49"/>
        <v>0</v>
      </c>
      <c r="U397" s="494"/>
      <c r="V397" s="495"/>
      <c r="W397" s="496"/>
    </row>
    <row r="398" spans="2:23" ht="14.4" thickBot="1">
      <c r="B398" s="505" t="s">
        <v>271</v>
      </c>
      <c r="C398" s="506"/>
      <c r="D398" s="506"/>
      <c r="E398" s="506"/>
      <c r="F398" s="506"/>
      <c r="G398" s="506"/>
      <c r="H398" s="506"/>
      <c r="I398" s="507"/>
      <c r="M398" s="505" t="s">
        <v>271</v>
      </c>
      <c r="N398" s="506"/>
      <c r="O398" s="506"/>
      <c r="P398" s="506"/>
      <c r="Q398" s="506"/>
      <c r="R398" s="506"/>
      <c r="S398" s="506"/>
      <c r="T398" s="507"/>
    </row>
    <row r="399" spans="2:23" ht="14.4" thickBot="1">
      <c r="B399" s="467" t="s">
        <v>267</v>
      </c>
      <c r="C399" s="468"/>
      <c r="D399" s="468"/>
      <c r="E399" s="468"/>
      <c r="F399" s="468"/>
      <c r="G399" s="114" t="s">
        <v>266</v>
      </c>
      <c r="H399" s="114" t="s">
        <v>0</v>
      </c>
      <c r="I399" s="97" t="s">
        <v>265</v>
      </c>
      <c r="M399" s="467" t="s">
        <v>267</v>
      </c>
      <c r="N399" s="468"/>
      <c r="O399" s="468"/>
      <c r="P399" s="468"/>
      <c r="Q399" s="468"/>
      <c r="R399" s="114" t="s">
        <v>266</v>
      </c>
      <c r="S399" s="114" t="s">
        <v>0</v>
      </c>
      <c r="T399" s="97" t="s">
        <v>265</v>
      </c>
    </row>
    <row r="400" spans="2:23">
      <c r="B400" s="508" t="s">
        <v>272</v>
      </c>
      <c r="C400" s="509"/>
      <c r="D400" s="509"/>
      <c r="E400" s="509"/>
      <c r="F400" s="510"/>
      <c r="G400" s="116"/>
      <c r="H400" s="117">
        <f>$I$23</f>
        <v>220000</v>
      </c>
      <c r="I400" s="98">
        <f t="shared" ref="I400:I405" si="50">G400*H400</f>
        <v>0</v>
      </c>
      <c r="M400" s="508" t="s">
        <v>272</v>
      </c>
      <c r="N400" s="509"/>
      <c r="O400" s="509"/>
      <c r="P400" s="509"/>
      <c r="Q400" s="510"/>
      <c r="R400" s="116"/>
      <c r="S400" s="117">
        <f>$I$23</f>
        <v>220000</v>
      </c>
      <c r="T400" s="98">
        <f t="shared" ref="T400:T405" si="51">R400*S400</f>
        <v>0</v>
      </c>
    </row>
    <row r="401" spans="2:23">
      <c r="B401" s="485" t="s">
        <v>273</v>
      </c>
      <c r="C401" s="486"/>
      <c r="D401" s="486"/>
      <c r="E401" s="486"/>
      <c r="F401" s="487"/>
      <c r="G401" s="122"/>
      <c r="H401" s="117">
        <f>$I$26</f>
        <v>90000</v>
      </c>
      <c r="I401" s="99">
        <f t="shared" si="50"/>
        <v>0</v>
      </c>
      <c r="M401" s="485" t="s">
        <v>273</v>
      </c>
      <c r="N401" s="486"/>
      <c r="O401" s="486"/>
      <c r="P401" s="486"/>
      <c r="Q401" s="487"/>
      <c r="R401" s="122"/>
      <c r="S401" s="117">
        <f>$I$26</f>
        <v>90000</v>
      </c>
      <c r="T401" s="99">
        <f t="shared" si="51"/>
        <v>0</v>
      </c>
    </row>
    <row r="402" spans="2:23">
      <c r="B402" s="485" t="s">
        <v>224</v>
      </c>
      <c r="C402" s="486"/>
      <c r="D402" s="486"/>
      <c r="E402" s="486"/>
      <c r="F402" s="487"/>
      <c r="G402" s="122"/>
      <c r="H402" s="117">
        <f>$I$27</f>
        <v>60000</v>
      </c>
      <c r="I402" s="99">
        <f t="shared" si="50"/>
        <v>0</v>
      </c>
      <c r="M402" s="485" t="s">
        <v>224</v>
      </c>
      <c r="N402" s="486"/>
      <c r="O402" s="486"/>
      <c r="P402" s="486"/>
      <c r="Q402" s="487"/>
      <c r="R402" s="122"/>
      <c r="S402" s="117">
        <f>$I$27</f>
        <v>60000</v>
      </c>
      <c r="T402" s="99">
        <f t="shared" si="51"/>
        <v>0</v>
      </c>
    </row>
    <row r="403" spans="2:23">
      <c r="B403" s="485" t="s">
        <v>274</v>
      </c>
      <c r="C403" s="486"/>
      <c r="D403" s="486"/>
      <c r="E403" s="486"/>
      <c r="F403" s="487"/>
      <c r="G403" s="122"/>
      <c r="H403" s="117">
        <f>$I$26</f>
        <v>90000</v>
      </c>
      <c r="I403" s="99">
        <f t="shared" si="50"/>
        <v>0</v>
      </c>
      <c r="M403" s="485" t="s">
        <v>274</v>
      </c>
      <c r="N403" s="486"/>
      <c r="O403" s="486"/>
      <c r="P403" s="486"/>
      <c r="Q403" s="487"/>
      <c r="R403" s="122"/>
      <c r="S403" s="117">
        <f>$I$26</f>
        <v>90000</v>
      </c>
      <c r="T403" s="99">
        <f t="shared" si="51"/>
        <v>0</v>
      </c>
    </row>
    <row r="404" spans="2:23">
      <c r="B404" s="485" t="s">
        <v>226</v>
      </c>
      <c r="C404" s="486"/>
      <c r="D404" s="486"/>
      <c r="E404" s="486"/>
      <c r="F404" s="487"/>
      <c r="G404" s="122"/>
      <c r="H404" s="117"/>
      <c r="I404" s="99">
        <f t="shared" si="50"/>
        <v>0</v>
      </c>
      <c r="M404" s="485" t="s">
        <v>226</v>
      </c>
      <c r="N404" s="486"/>
      <c r="O404" s="486"/>
      <c r="P404" s="486"/>
      <c r="Q404" s="487"/>
      <c r="R404" s="122"/>
      <c r="S404" s="117"/>
      <c r="T404" s="99">
        <f t="shared" si="51"/>
        <v>0</v>
      </c>
    </row>
    <row r="405" spans="2:23">
      <c r="B405" s="126" t="s">
        <v>227</v>
      </c>
      <c r="C405" s="127"/>
      <c r="D405" s="127"/>
      <c r="E405" s="127"/>
      <c r="F405" s="128"/>
      <c r="G405" s="122"/>
      <c r="H405" s="117"/>
      <c r="I405" s="99">
        <f t="shared" si="50"/>
        <v>0</v>
      </c>
      <c r="M405" s="126" t="s">
        <v>227</v>
      </c>
      <c r="N405" s="127"/>
      <c r="O405" s="127"/>
      <c r="P405" s="127"/>
      <c r="Q405" s="128"/>
      <c r="R405" s="122"/>
      <c r="S405" s="117"/>
      <c r="T405" s="99">
        <f t="shared" si="51"/>
        <v>0</v>
      </c>
    </row>
    <row r="406" spans="2:23">
      <c r="B406" s="126" t="s">
        <v>225</v>
      </c>
      <c r="C406" s="127"/>
      <c r="D406" s="127"/>
      <c r="E406" s="127"/>
      <c r="F406" s="128"/>
      <c r="G406" s="122"/>
      <c r="H406" s="117"/>
      <c r="I406" s="99"/>
      <c r="M406" s="126" t="s">
        <v>225</v>
      </c>
      <c r="N406" s="127"/>
      <c r="O406" s="127"/>
      <c r="P406" s="127"/>
      <c r="Q406" s="128"/>
      <c r="R406" s="122"/>
      <c r="S406" s="117"/>
      <c r="T406" s="99"/>
    </row>
    <row r="407" spans="2:23" ht="14.4" thickBot="1">
      <c r="B407" s="126"/>
      <c r="C407" s="127"/>
      <c r="D407" s="127"/>
      <c r="E407" s="127"/>
      <c r="F407" s="128"/>
      <c r="G407" s="122"/>
      <c r="H407" s="123"/>
      <c r="I407" s="99">
        <f t="shared" ref="I407:I411" si="52">G407*H407</f>
        <v>0</v>
      </c>
      <c r="M407" s="126"/>
      <c r="N407" s="127"/>
      <c r="O407" s="127"/>
      <c r="P407" s="127"/>
      <c r="Q407" s="128"/>
      <c r="R407" s="122"/>
      <c r="S407" s="123"/>
      <c r="T407" s="99">
        <f t="shared" ref="T407:T411" si="53">R407*S407</f>
        <v>0</v>
      </c>
    </row>
    <row r="408" spans="2:23">
      <c r="B408" s="485"/>
      <c r="C408" s="486"/>
      <c r="D408" s="486"/>
      <c r="E408" s="486"/>
      <c r="F408" s="487"/>
      <c r="G408" s="122"/>
      <c r="H408" s="123"/>
      <c r="I408" s="99">
        <f t="shared" si="52"/>
        <v>0</v>
      </c>
      <c r="J408" s="499" t="s">
        <v>275</v>
      </c>
      <c r="K408" s="500"/>
      <c r="L408" s="501"/>
      <c r="M408" s="485"/>
      <c r="N408" s="486"/>
      <c r="O408" s="486"/>
      <c r="P408" s="486"/>
      <c r="Q408" s="487"/>
      <c r="R408" s="122"/>
      <c r="S408" s="123"/>
      <c r="T408" s="99">
        <f t="shared" si="53"/>
        <v>0</v>
      </c>
      <c r="U408" s="499" t="s">
        <v>275</v>
      </c>
      <c r="V408" s="500"/>
      <c r="W408" s="501"/>
    </row>
    <row r="409" spans="2:23" ht="14.4" thickBot="1">
      <c r="B409" s="485"/>
      <c r="C409" s="486"/>
      <c r="D409" s="486"/>
      <c r="E409" s="486"/>
      <c r="F409" s="487"/>
      <c r="G409" s="122"/>
      <c r="H409" s="123"/>
      <c r="I409" s="99">
        <f t="shared" si="52"/>
        <v>0</v>
      </c>
      <c r="J409" s="502"/>
      <c r="K409" s="503"/>
      <c r="L409" s="504"/>
      <c r="M409" s="485"/>
      <c r="N409" s="486"/>
      <c r="O409" s="486"/>
      <c r="P409" s="486"/>
      <c r="Q409" s="487"/>
      <c r="R409" s="122"/>
      <c r="S409" s="123"/>
      <c r="T409" s="99">
        <f t="shared" si="53"/>
        <v>0</v>
      </c>
      <c r="U409" s="502"/>
      <c r="V409" s="503"/>
      <c r="W409" s="504"/>
    </row>
    <row r="410" spans="2:23">
      <c r="B410" s="485"/>
      <c r="C410" s="486"/>
      <c r="D410" s="486"/>
      <c r="E410" s="486"/>
      <c r="F410" s="487"/>
      <c r="G410" s="122"/>
      <c r="H410" s="123"/>
      <c r="I410" s="99">
        <f t="shared" si="52"/>
        <v>0</v>
      </c>
      <c r="J410" s="491">
        <f>SUM(I400:I411)</f>
        <v>0</v>
      </c>
      <c r="K410" s="492"/>
      <c r="L410" s="493"/>
      <c r="M410" s="485"/>
      <c r="N410" s="486"/>
      <c r="O410" s="486"/>
      <c r="P410" s="486"/>
      <c r="Q410" s="487"/>
      <c r="R410" s="122"/>
      <c r="S410" s="123"/>
      <c r="T410" s="99">
        <f t="shared" si="53"/>
        <v>0</v>
      </c>
      <c r="U410" s="491">
        <f>SUM(T400:T411)</f>
        <v>0</v>
      </c>
      <c r="V410" s="492"/>
      <c r="W410" s="493"/>
    </row>
    <row r="411" spans="2:23" ht="14.4" thickBot="1">
      <c r="B411" s="129"/>
      <c r="C411" s="130"/>
      <c r="D411" s="130"/>
      <c r="E411" s="130"/>
      <c r="F411" s="131"/>
      <c r="G411" s="124"/>
      <c r="H411" s="125"/>
      <c r="I411" s="100">
        <f t="shared" si="52"/>
        <v>0</v>
      </c>
      <c r="J411" s="494"/>
      <c r="K411" s="495"/>
      <c r="L411" s="496"/>
      <c r="M411" s="129"/>
      <c r="N411" s="130"/>
      <c r="O411" s="130"/>
      <c r="P411" s="130"/>
      <c r="Q411" s="131"/>
      <c r="R411" s="124"/>
      <c r="S411" s="125"/>
      <c r="T411" s="100">
        <f t="shared" si="53"/>
        <v>0</v>
      </c>
      <c r="U411" s="494"/>
      <c r="V411" s="495"/>
      <c r="W411" s="496"/>
    </row>
    <row r="412" spans="2:23" ht="14.4" thickBot="1">
      <c r="B412" s="511" t="s">
        <v>25</v>
      </c>
      <c r="C412" s="512"/>
      <c r="D412" s="512"/>
      <c r="E412" s="512"/>
      <c r="F412" s="512"/>
      <c r="G412" s="512"/>
      <c r="H412" s="512"/>
      <c r="I412" s="513"/>
      <c r="J412" s="132"/>
      <c r="K412" s="132"/>
      <c r="L412" s="132"/>
      <c r="M412" s="511" t="s">
        <v>25</v>
      </c>
      <c r="N412" s="512"/>
      <c r="O412" s="512"/>
      <c r="P412" s="512"/>
      <c r="Q412" s="512"/>
      <c r="R412" s="512"/>
      <c r="S412" s="512"/>
      <c r="T412" s="513"/>
      <c r="U412" s="132"/>
      <c r="V412" s="132"/>
      <c r="W412" s="132"/>
    </row>
    <row r="413" spans="2:23" ht="14.4" thickBot="1">
      <c r="B413" s="514" t="s">
        <v>267</v>
      </c>
      <c r="C413" s="515"/>
      <c r="D413" s="515"/>
      <c r="E413" s="515"/>
      <c r="F413" s="515"/>
      <c r="G413" s="133" t="s">
        <v>266</v>
      </c>
      <c r="H413" s="134" t="s">
        <v>0</v>
      </c>
      <c r="I413" s="101" t="s">
        <v>265</v>
      </c>
      <c r="J413" s="132"/>
      <c r="K413" s="132"/>
      <c r="L413" s="132"/>
      <c r="M413" s="514" t="s">
        <v>267</v>
      </c>
      <c r="N413" s="515"/>
      <c r="O413" s="515"/>
      <c r="P413" s="515"/>
      <c r="Q413" s="515"/>
      <c r="R413" s="133" t="s">
        <v>266</v>
      </c>
      <c r="S413" s="134" t="s">
        <v>0</v>
      </c>
      <c r="T413" s="101" t="s">
        <v>265</v>
      </c>
      <c r="U413" s="132"/>
      <c r="V413" s="132"/>
      <c r="W413" s="132"/>
    </row>
    <row r="414" spans="2:23">
      <c r="B414" s="516" t="s">
        <v>31</v>
      </c>
      <c r="C414" s="517"/>
      <c r="D414" s="517"/>
      <c r="E414" s="517"/>
      <c r="F414" s="518"/>
      <c r="G414" s="116"/>
      <c r="H414" s="117">
        <f>$R$4</f>
        <v>300000</v>
      </c>
      <c r="I414" s="99">
        <f t="shared" ref="I414:I416" si="54">G414*H414</f>
        <v>0</v>
      </c>
      <c r="J414" s="132"/>
      <c r="K414" s="132"/>
      <c r="L414" s="132"/>
      <c r="M414" s="516" t="s">
        <v>31</v>
      </c>
      <c r="N414" s="517"/>
      <c r="O414" s="517"/>
      <c r="P414" s="517"/>
      <c r="Q414" s="518"/>
      <c r="R414" s="116"/>
      <c r="S414" s="117">
        <f>$R$4</f>
        <v>300000</v>
      </c>
      <c r="T414" s="99">
        <f t="shared" ref="T414:T416" si="55">R414*S414</f>
        <v>0</v>
      </c>
      <c r="U414" s="132"/>
      <c r="V414" s="132"/>
      <c r="W414" s="132"/>
    </row>
    <row r="415" spans="2:23">
      <c r="B415" s="519" t="s">
        <v>11</v>
      </c>
      <c r="C415" s="520"/>
      <c r="D415" s="520"/>
      <c r="E415" s="520"/>
      <c r="F415" s="521"/>
      <c r="G415" s="122"/>
      <c r="H415" s="117">
        <f>$R$5</f>
        <v>65000</v>
      </c>
      <c r="I415" s="99">
        <f t="shared" si="54"/>
        <v>0</v>
      </c>
      <c r="J415" s="132"/>
      <c r="K415" s="132"/>
      <c r="L415" s="132"/>
      <c r="M415" s="519" t="s">
        <v>11</v>
      </c>
      <c r="N415" s="520"/>
      <c r="O415" s="520"/>
      <c r="P415" s="520"/>
      <c r="Q415" s="521"/>
      <c r="R415" s="122"/>
      <c r="S415" s="117">
        <f>$R$5</f>
        <v>65000</v>
      </c>
      <c r="T415" s="99">
        <f t="shared" si="55"/>
        <v>0</v>
      </c>
      <c r="U415" s="132"/>
      <c r="V415" s="132"/>
      <c r="W415" s="132"/>
    </row>
    <row r="416" spans="2:23">
      <c r="B416" s="519" t="s">
        <v>32</v>
      </c>
      <c r="C416" s="520"/>
      <c r="D416" s="520"/>
      <c r="E416" s="520"/>
      <c r="F416" s="521"/>
      <c r="G416" s="122"/>
      <c r="H416" s="117">
        <f>$R$6</f>
        <v>250000</v>
      </c>
      <c r="I416" s="99">
        <f t="shared" si="54"/>
        <v>0</v>
      </c>
      <c r="J416" s="132"/>
      <c r="K416" s="132"/>
      <c r="L416" s="132"/>
      <c r="M416" s="519" t="s">
        <v>32</v>
      </c>
      <c r="N416" s="520"/>
      <c r="O416" s="520"/>
      <c r="P416" s="520"/>
      <c r="Q416" s="521"/>
      <c r="R416" s="122"/>
      <c r="S416" s="117">
        <f>$R$6</f>
        <v>250000</v>
      </c>
      <c r="T416" s="99">
        <f t="shared" si="55"/>
        <v>0</v>
      </c>
      <c r="U416" s="132"/>
      <c r="V416" s="132"/>
      <c r="W416" s="132"/>
    </row>
    <row r="417" spans="2:23">
      <c r="B417" s="519" t="s">
        <v>327</v>
      </c>
      <c r="C417" s="520"/>
      <c r="D417" s="520"/>
      <c r="E417" s="520"/>
      <c r="F417" s="521"/>
      <c r="G417" s="122"/>
      <c r="H417" s="117">
        <f>$R$7</f>
        <v>30000</v>
      </c>
      <c r="I417" s="99">
        <f>G417*H417</f>
        <v>0</v>
      </c>
      <c r="M417" s="519" t="s">
        <v>327</v>
      </c>
      <c r="N417" s="520"/>
      <c r="O417" s="520"/>
      <c r="P417" s="520"/>
      <c r="Q417" s="521"/>
      <c r="R417" s="122"/>
      <c r="S417" s="117">
        <f>$R$7</f>
        <v>30000</v>
      </c>
      <c r="T417" s="99">
        <f>R417*S417</f>
        <v>0</v>
      </c>
    </row>
    <row r="418" spans="2:23">
      <c r="B418" s="519" t="s">
        <v>100</v>
      </c>
      <c r="C418" s="520"/>
      <c r="D418" s="520"/>
      <c r="E418" s="520"/>
      <c r="F418" s="521"/>
      <c r="G418" s="122"/>
      <c r="H418" s="117">
        <f>$R$8</f>
        <v>30000</v>
      </c>
      <c r="I418" s="99">
        <f t="shared" ref="I418:I425" si="56">G418*H418</f>
        <v>0</v>
      </c>
      <c r="M418" s="519" t="s">
        <v>100</v>
      </c>
      <c r="N418" s="520"/>
      <c r="O418" s="520"/>
      <c r="P418" s="520"/>
      <c r="Q418" s="521"/>
      <c r="R418" s="122"/>
      <c r="S418" s="117">
        <f>$R$8</f>
        <v>30000</v>
      </c>
      <c r="T418" s="99">
        <f t="shared" ref="T418:T425" si="57">R418*S418</f>
        <v>0</v>
      </c>
    </row>
    <row r="419" spans="2:23">
      <c r="B419" s="519" t="s">
        <v>328</v>
      </c>
      <c r="C419" s="520"/>
      <c r="D419" s="520"/>
      <c r="E419" s="520"/>
      <c r="F419" s="521"/>
      <c r="G419" s="122"/>
      <c r="H419" s="117">
        <f>$R$9</f>
        <v>50000</v>
      </c>
      <c r="I419" s="99">
        <f t="shared" si="56"/>
        <v>0</v>
      </c>
      <c r="M419" s="519" t="s">
        <v>328</v>
      </c>
      <c r="N419" s="520"/>
      <c r="O419" s="520"/>
      <c r="P419" s="520"/>
      <c r="Q419" s="521"/>
      <c r="R419" s="122"/>
      <c r="S419" s="117">
        <f>$R$9</f>
        <v>50000</v>
      </c>
      <c r="T419" s="99">
        <f t="shared" si="57"/>
        <v>0</v>
      </c>
    </row>
    <row r="420" spans="2:23">
      <c r="B420" s="519" t="s">
        <v>325</v>
      </c>
      <c r="C420" s="520"/>
      <c r="D420" s="520"/>
      <c r="E420" s="520"/>
      <c r="F420" s="521"/>
      <c r="G420" s="122"/>
      <c r="H420" s="117">
        <f>$R$10</f>
        <v>15000</v>
      </c>
      <c r="I420" s="99">
        <f t="shared" si="56"/>
        <v>0</v>
      </c>
      <c r="M420" s="519" t="s">
        <v>325</v>
      </c>
      <c r="N420" s="520"/>
      <c r="O420" s="520"/>
      <c r="P420" s="520"/>
      <c r="Q420" s="521"/>
      <c r="R420" s="122"/>
      <c r="S420" s="117">
        <f>$R$10</f>
        <v>15000</v>
      </c>
      <c r="T420" s="99">
        <f t="shared" si="57"/>
        <v>0</v>
      </c>
    </row>
    <row r="421" spans="2:23" ht="14.4" thickBot="1">
      <c r="B421" s="519" t="s">
        <v>326</v>
      </c>
      <c r="C421" s="520"/>
      <c r="D421" s="520"/>
      <c r="E421" s="520"/>
      <c r="F421" s="521"/>
      <c r="G421" s="122"/>
      <c r="H421" s="117">
        <f>$R$11</f>
        <v>15000</v>
      </c>
      <c r="I421" s="99">
        <f t="shared" si="56"/>
        <v>0</v>
      </c>
      <c r="M421" s="519" t="s">
        <v>326</v>
      </c>
      <c r="N421" s="520"/>
      <c r="O421" s="520"/>
      <c r="P421" s="520"/>
      <c r="Q421" s="521"/>
      <c r="R421" s="122"/>
      <c r="S421" s="117">
        <f>$R$11</f>
        <v>15000</v>
      </c>
      <c r="T421" s="99">
        <f t="shared" si="57"/>
        <v>0</v>
      </c>
    </row>
    <row r="422" spans="2:23">
      <c r="B422" s="135" t="s">
        <v>276</v>
      </c>
      <c r="C422" s="136"/>
      <c r="D422" s="136"/>
      <c r="E422" s="136"/>
      <c r="F422" s="137"/>
      <c r="G422" s="122"/>
      <c r="H422" s="117">
        <f>$R$12</f>
        <v>75000</v>
      </c>
      <c r="I422" s="99">
        <f t="shared" si="56"/>
        <v>0</v>
      </c>
      <c r="J422" s="499" t="s">
        <v>275</v>
      </c>
      <c r="K422" s="500"/>
      <c r="L422" s="501"/>
      <c r="M422" s="135" t="s">
        <v>276</v>
      </c>
      <c r="N422" s="136"/>
      <c r="O422" s="136"/>
      <c r="P422" s="136"/>
      <c r="Q422" s="137"/>
      <c r="R422" s="122"/>
      <c r="S422" s="117">
        <f>$R$12</f>
        <v>75000</v>
      </c>
      <c r="T422" s="99">
        <f t="shared" si="57"/>
        <v>0</v>
      </c>
      <c r="U422" s="499" t="s">
        <v>275</v>
      </c>
      <c r="V422" s="500"/>
      <c r="W422" s="501"/>
    </row>
    <row r="423" spans="2:23" ht="14.4" thickBot="1">
      <c r="B423" s="135" t="s">
        <v>277</v>
      </c>
      <c r="C423" s="136"/>
      <c r="D423" s="136"/>
      <c r="E423" s="136"/>
      <c r="F423" s="137"/>
      <c r="G423" s="122"/>
      <c r="H423" s="117">
        <f>$R$13</f>
        <v>75000</v>
      </c>
      <c r="I423" s="99">
        <f t="shared" si="56"/>
        <v>0</v>
      </c>
      <c r="J423" s="502"/>
      <c r="K423" s="503"/>
      <c r="L423" s="504"/>
      <c r="M423" s="135" t="s">
        <v>277</v>
      </c>
      <c r="N423" s="136"/>
      <c r="O423" s="136"/>
      <c r="P423" s="136"/>
      <c r="Q423" s="137"/>
      <c r="R423" s="122"/>
      <c r="S423" s="117">
        <f>$R$13</f>
        <v>75000</v>
      </c>
      <c r="T423" s="99">
        <f t="shared" si="57"/>
        <v>0</v>
      </c>
      <c r="U423" s="502"/>
      <c r="V423" s="503"/>
      <c r="W423" s="504"/>
    </row>
    <row r="424" spans="2:23">
      <c r="B424" s="519" t="s">
        <v>347</v>
      </c>
      <c r="C424" s="520"/>
      <c r="D424" s="520"/>
      <c r="E424" s="520"/>
      <c r="F424" s="521"/>
      <c r="G424" s="122"/>
      <c r="H424" s="117">
        <f>$R$14</f>
        <v>30000</v>
      </c>
      <c r="I424" s="99">
        <f t="shared" si="56"/>
        <v>0</v>
      </c>
      <c r="J424" s="491">
        <f>SUM(I414:I425)</f>
        <v>0</v>
      </c>
      <c r="K424" s="492"/>
      <c r="L424" s="493"/>
      <c r="M424" s="519" t="s">
        <v>366</v>
      </c>
      <c r="N424" s="520"/>
      <c r="O424" s="520"/>
      <c r="P424" s="520"/>
      <c r="Q424" s="521"/>
      <c r="R424" s="122"/>
      <c r="S424" s="117">
        <f>$R$14</f>
        <v>30000</v>
      </c>
      <c r="T424" s="99">
        <f t="shared" si="57"/>
        <v>0</v>
      </c>
      <c r="U424" s="491">
        <f>SUM(T414:T425)</f>
        <v>0</v>
      </c>
      <c r="V424" s="492"/>
      <c r="W424" s="493"/>
    </row>
    <row r="425" spans="2:23" ht="14.4" thickBot="1">
      <c r="B425" s="519" t="s">
        <v>12</v>
      </c>
      <c r="C425" s="520"/>
      <c r="D425" s="520"/>
      <c r="E425" s="520"/>
      <c r="F425" s="521"/>
      <c r="G425" s="124"/>
      <c r="H425" s="117">
        <f>$R$15</f>
        <v>12000</v>
      </c>
      <c r="I425" s="99">
        <f t="shared" si="56"/>
        <v>0</v>
      </c>
      <c r="J425" s="494"/>
      <c r="K425" s="495"/>
      <c r="L425" s="496"/>
      <c r="M425" s="519" t="s">
        <v>12</v>
      </c>
      <c r="N425" s="520"/>
      <c r="O425" s="520"/>
      <c r="P425" s="520"/>
      <c r="Q425" s="521"/>
      <c r="R425" s="124"/>
      <c r="S425" s="117">
        <f>$R$15</f>
        <v>12000</v>
      </c>
      <c r="T425" s="99">
        <f t="shared" si="57"/>
        <v>0</v>
      </c>
      <c r="U425" s="494"/>
      <c r="V425" s="495"/>
      <c r="W425" s="496"/>
    </row>
    <row r="426" spans="2:23" ht="14.4" thickBot="1">
      <c r="B426" s="522" t="s">
        <v>27</v>
      </c>
      <c r="C426" s="523"/>
      <c r="D426" s="523"/>
      <c r="E426" s="523"/>
      <c r="F426" s="523"/>
      <c r="G426" s="523"/>
      <c r="H426" s="523"/>
      <c r="I426" s="524"/>
      <c r="M426" s="522" t="s">
        <v>27</v>
      </c>
      <c r="N426" s="523"/>
      <c r="O426" s="523"/>
      <c r="P426" s="523"/>
      <c r="Q426" s="523"/>
      <c r="R426" s="523"/>
      <c r="S426" s="523"/>
      <c r="T426" s="524"/>
    </row>
    <row r="427" spans="2:23" ht="14.4" thickBot="1">
      <c r="B427" s="522" t="s">
        <v>267</v>
      </c>
      <c r="C427" s="523"/>
      <c r="D427" s="523"/>
      <c r="E427" s="523"/>
      <c r="F427" s="523"/>
      <c r="G427" s="138" t="s">
        <v>266</v>
      </c>
      <c r="H427" s="138" t="s">
        <v>0</v>
      </c>
      <c r="I427" s="102" t="s">
        <v>265</v>
      </c>
      <c r="M427" s="522" t="s">
        <v>267</v>
      </c>
      <c r="N427" s="523"/>
      <c r="O427" s="523"/>
      <c r="P427" s="523"/>
      <c r="Q427" s="523"/>
      <c r="R427" s="138" t="s">
        <v>266</v>
      </c>
      <c r="S427" s="138" t="s">
        <v>0</v>
      </c>
      <c r="T427" s="102" t="s">
        <v>265</v>
      </c>
    </row>
    <row r="428" spans="2:23">
      <c r="B428" s="525" t="s">
        <v>278</v>
      </c>
      <c r="C428" s="526"/>
      <c r="D428" s="526"/>
      <c r="E428" s="526"/>
      <c r="F428" s="527"/>
      <c r="G428" s="116"/>
      <c r="H428" s="117"/>
      <c r="I428" s="99">
        <f t="shared" ref="I428:I439" si="58">G428*H428</f>
        <v>0</v>
      </c>
      <c r="M428" s="525" t="s">
        <v>278</v>
      </c>
      <c r="N428" s="526"/>
      <c r="O428" s="526"/>
      <c r="P428" s="526"/>
      <c r="Q428" s="527"/>
      <c r="R428" s="116"/>
      <c r="S428" s="117"/>
      <c r="T428" s="99">
        <f t="shared" ref="T428:T439" si="59">R428*S428</f>
        <v>0</v>
      </c>
    </row>
    <row r="429" spans="2:23">
      <c r="B429" s="525" t="s">
        <v>279</v>
      </c>
      <c r="C429" s="526"/>
      <c r="D429" s="526"/>
      <c r="E429" s="526"/>
      <c r="F429" s="527"/>
      <c r="G429" s="122"/>
      <c r="H429" s="123"/>
      <c r="I429" s="99">
        <f t="shared" si="58"/>
        <v>0</v>
      </c>
      <c r="M429" s="525" t="s">
        <v>279</v>
      </c>
      <c r="N429" s="526"/>
      <c r="O429" s="526"/>
      <c r="P429" s="526"/>
      <c r="Q429" s="527"/>
      <c r="R429" s="122"/>
      <c r="S429" s="123"/>
      <c r="T429" s="99">
        <f t="shared" si="59"/>
        <v>0</v>
      </c>
    </row>
    <row r="430" spans="2:23">
      <c r="B430" s="528" t="s">
        <v>280</v>
      </c>
      <c r="C430" s="529"/>
      <c r="D430" s="529"/>
      <c r="E430" s="529"/>
      <c r="F430" s="530"/>
      <c r="G430" s="122"/>
      <c r="H430" s="123"/>
      <c r="I430" s="99">
        <f t="shared" si="58"/>
        <v>0</v>
      </c>
      <c r="M430" s="528" t="s">
        <v>280</v>
      </c>
      <c r="N430" s="529"/>
      <c r="O430" s="529"/>
      <c r="P430" s="529"/>
      <c r="Q430" s="530"/>
      <c r="R430" s="122"/>
      <c r="S430" s="123"/>
      <c r="T430" s="99">
        <f t="shared" si="59"/>
        <v>0</v>
      </c>
    </row>
    <row r="431" spans="2:23">
      <c r="B431" s="528" t="s">
        <v>94</v>
      </c>
      <c r="C431" s="529"/>
      <c r="D431" s="529"/>
      <c r="E431" s="529"/>
      <c r="F431" s="530"/>
      <c r="G431" s="122"/>
      <c r="H431" s="123"/>
      <c r="I431" s="99">
        <f t="shared" si="58"/>
        <v>0</v>
      </c>
      <c r="M431" s="528" t="s">
        <v>94</v>
      </c>
      <c r="N431" s="529"/>
      <c r="O431" s="529"/>
      <c r="P431" s="529"/>
      <c r="Q431" s="530"/>
      <c r="R431" s="122"/>
      <c r="S431" s="123"/>
      <c r="T431" s="99">
        <f t="shared" si="59"/>
        <v>0</v>
      </c>
    </row>
    <row r="432" spans="2:23">
      <c r="B432" s="139" t="s">
        <v>281</v>
      </c>
      <c r="C432" s="140"/>
      <c r="D432" s="140"/>
      <c r="E432" s="140"/>
      <c r="F432" s="141"/>
      <c r="G432" s="122"/>
      <c r="H432" s="123"/>
      <c r="I432" s="99">
        <f t="shared" si="58"/>
        <v>0</v>
      </c>
      <c r="M432" s="139" t="s">
        <v>281</v>
      </c>
      <c r="N432" s="140"/>
      <c r="O432" s="140"/>
      <c r="P432" s="140"/>
      <c r="Q432" s="141"/>
      <c r="R432" s="122"/>
      <c r="S432" s="123"/>
      <c r="T432" s="99">
        <f t="shared" si="59"/>
        <v>0</v>
      </c>
    </row>
    <row r="433" spans="2:23">
      <c r="B433" s="528" t="s">
        <v>284</v>
      </c>
      <c r="C433" s="529"/>
      <c r="D433" s="529"/>
      <c r="E433" s="529"/>
      <c r="F433" s="530"/>
      <c r="G433" s="122"/>
      <c r="H433" s="123"/>
      <c r="I433" s="99">
        <f t="shared" si="58"/>
        <v>0</v>
      </c>
      <c r="M433" s="528" t="s">
        <v>284</v>
      </c>
      <c r="N433" s="529"/>
      <c r="O433" s="529"/>
      <c r="P433" s="529"/>
      <c r="Q433" s="530"/>
      <c r="R433" s="122"/>
      <c r="S433" s="123"/>
      <c r="T433" s="99">
        <f t="shared" si="59"/>
        <v>0</v>
      </c>
    </row>
    <row r="434" spans="2:23">
      <c r="B434" s="528" t="s">
        <v>285</v>
      </c>
      <c r="C434" s="529"/>
      <c r="D434" s="529"/>
      <c r="E434" s="529"/>
      <c r="F434" s="530"/>
      <c r="G434" s="122"/>
      <c r="H434" s="123"/>
      <c r="I434" s="99">
        <f t="shared" si="58"/>
        <v>0</v>
      </c>
      <c r="M434" s="528" t="s">
        <v>285</v>
      </c>
      <c r="N434" s="529"/>
      <c r="O434" s="529"/>
      <c r="P434" s="529"/>
      <c r="Q434" s="530"/>
      <c r="R434" s="122"/>
      <c r="S434" s="123"/>
      <c r="T434" s="99">
        <f t="shared" si="59"/>
        <v>0</v>
      </c>
    </row>
    <row r="435" spans="2:23" ht="14.4" thickBot="1">
      <c r="B435" s="139" t="s">
        <v>288</v>
      </c>
      <c r="C435" s="140"/>
      <c r="D435" s="140"/>
      <c r="E435" s="140"/>
      <c r="F435" s="141"/>
      <c r="G435" s="122"/>
      <c r="H435" s="123"/>
      <c r="I435" s="99">
        <f t="shared" si="58"/>
        <v>0</v>
      </c>
      <c r="M435" s="139" t="s">
        <v>288</v>
      </c>
      <c r="N435" s="140"/>
      <c r="O435" s="140"/>
      <c r="P435" s="140"/>
      <c r="Q435" s="141"/>
      <c r="R435" s="122"/>
      <c r="S435" s="123"/>
      <c r="T435" s="99">
        <f t="shared" si="59"/>
        <v>0</v>
      </c>
    </row>
    <row r="436" spans="2:23">
      <c r="B436" s="528" t="s">
        <v>289</v>
      </c>
      <c r="C436" s="529"/>
      <c r="D436" s="529"/>
      <c r="E436" s="529"/>
      <c r="F436" s="530"/>
      <c r="G436" s="122"/>
      <c r="H436" s="123"/>
      <c r="I436" s="99">
        <f t="shared" si="58"/>
        <v>0</v>
      </c>
      <c r="J436" s="499" t="s">
        <v>275</v>
      </c>
      <c r="K436" s="500"/>
      <c r="L436" s="501"/>
      <c r="M436" s="528" t="s">
        <v>289</v>
      </c>
      <c r="N436" s="529"/>
      <c r="O436" s="529"/>
      <c r="P436" s="529"/>
      <c r="Q436" s="530"/>
      <c r="R436" s="122"/>
      <c r="S436" s="123"/>
      <c r="T436" s="99">
        <f t="shared" si="59"/>
        <v>0</v>
      </c>
      <c r="U436" s="499" t="s">
        <v>275</v>
      </c>
      <c r="V436" s="500"/>
      <c r="W436" s="501"/>
    </row>
    <row r="437" spans="2:23" ht="14.4" thickBot="1">
      <c r="B437" s="528" t="s">
        <v>290</v>
      </c>
      <c r="C437" s="529"/>
      <c r="D437" s="529"/>
      <c r="E437" s="529"/>
      <c r="F437" s="530"/>
      <c r="G437" s="122"/>
      <c r="H437" s="123"/>
      <c r="I437" s="99">
        <f t="shared" si="58"/>
        <v>0</v>
      </c>
      <c r="J437" s="502"/>
      <c r="K437" s="503"/>
      <c r="L437" s="504"/>
      <c r="M437" s="528" t="s">
        <v>290</v>
      </c>
      <c r="N437" s="529"/>
      <c r="O437" s="529"/>
      <c r="P437" s="529"/>
      <c r="Q437" s="530"/>
      <c r="R437" s="122"/>
      <c r="S437" s="123"/>
      <c r="T437" s="99">
        <f t="shared" si="59"/>
        <v>0</v>
      </c>
      <c r="U437" s="502"/>
      <c r="V437" s="503"/>
      <c r="W437" s="504"/>
    </row>
    <row r="438" spans="2:23">
      <c r="B438" s="528"/>
      <c r="C438" s="529"/>
      <c r="D438" s="529"/>
      <c r="E438" s="529"/>
      <c r="F438" s="530"/>
      <c r="G438" s="122"/>
      <c r="H438" s="123"/>
      <c r="I438" s="99">
        <f t="shared" si="58"/>
        <v>0</v>
      </c>
      <c r="J438" s="491">
        <f>SUM(I428:I439)</f>
        <v>0</v>
      </c>
      <c r="K438" s="492"/>
      <c r="L438" s="493"/>
      <c r="M438" s="528"/>
      <c r="N438" s="529"/>
      <c r="O438" s="529"/>
      <c r="P438" s="529"/>
      <c r="Q438" s="530"/>
      <c r="R438" s="122"/>
      <c r="S438" s="123"/>
      <c r="T438" s="99">
        <f t="shared" si="59"/>
        <v>0</v>
      </c>
      <c r="U438" s="491">
        <f>SUM(T428:T439)</f>
        <v>0</v>
      </c>
      <c r="V438" s="492"/>
      <c r="W438" s="493"/>
    </row>
    <row r="439" spans="2:23" ht="14.4" thickBot="1">
      <c r="B439" s="537"/>
      <c r="C439" s="538"/>
      <c r="D439" s="538"/>
      <c r="E439" s="538"/>
      <c r="F439" s="539"/>
      <c r="G439" s="124"/>
      <c r="H439" s="125"/>
      <c r="I439" s="100">
        <f t="shared" si="58"/>
        <v>0</v>
      </c>
      <c r="J439" s="494"/>
      <c r="K439" s="495"/>
      <c r="L439" s="496"/>
      <c r="M439" s="537"/>
      <c r="N439" s="538"/>
      <c r="O439" s="538"/>
      <c r="P439" s="538"/>
      <c r="Q439" s="539"/>
      <c r="R439" s="124"/>
      <c r="S439" s="125"/>
      <c r="T439" s="100">
        <f t="shared" si="59"/>
        <v>0</v>
      </c>
      <c r="U439" s="494"/>
      <c r="V439" s="495"/>
      <c r="W439" s="496"/>
    </row>
    <row r="440" spans="2:23" ht="14.4" thickBot="1">
      <c r="B440" s="531" t="s">
        <v>26</v>
      </c>
      <c r="C440" s="532"/>
      <c r="D440" s="532"/>
      <c r="E440" s="532"/>
      <c r="F440" s="532"/>
      <c r="G440" s="532"/>
      <c r="H440" s="532"/>
      <c r="I440" s="533"/>
      <c r="J440" s="132"/>
      <c r="K440" s="132"/>
      <c r="L440" s="132"/>
      <c r="M440" s="531" t="s">
        <v>26</v>
      </c>
      <c r="N440" s="532"/>
      <c r="O440" s="532"/>
      <c r="P440" s="532"/>
      <c r="Q440" s="532"/>
      <c r="R440" s="532"/>
      <c r="S440" s="532"/>
      <c r="T440" s="533"/>
      <c r="U440" s="132"/>
      <c r="V440" s="132"/>
      <c r="W440" s="132"/>
    </row>
    <row r="441" spans="2:23" ht="14.4" thickBot="1">
      <c r="B441" s="531" t="s">
        <v>267</v>
      </c>
      <c r="C441" s="532"/>
      <c r="D441" s="532"/>
      <c r="E441" s="532"/>
      <c r="F441" s="532"/>
      <c r="G441" s="142" t="s">
        <v>266</v>
      </c>
      <c r="H441" s="142" t="s">
        <v>0</v>
      </c>
      <c r="I441" s="103" t="s">
        <v>265</v>
      </c>
      <c r="J441" s="132"/>
      <c r="K441" s="132"/>
      <c r="L441" s="132"/>
      <c r="M441" s="531" t="s">
        <v>267</v>
      </c>
      <c r="N441" s="532"/>
      <c r="O441" s="532"/>
      <c r="P441" s="532"/>
      <c r="Q441" s="532"/>
      <c r="R441" s="142" t="s">
        <v>266</v>
      </c>
      <c r="S441" s="142" t="s">
        <v>0</v>
      </c>
      <c r="T441" s="103" t="s">
        <v>265</v>
      </c>
      <c r="U441" s="132"/>
      <c r="V441" s="132"/>
      <c r="W441" s="132"/>
    </row>
    <row r="442" spans="2:23">
      <c r="B442" s="534" t="s">
        <v>296</v>
      </c>
      <c r="C442" s="535"/>
      <c r="D442" s="535"/>
      <c r="E442" s="535"/>
      <c r="F442" s="536"/>
      <c r="G442" s="143"/>
      <c r="H442" s="144"/>
      <c r="I442" s="104">
        <f t="shared" ref="I442:I458" si="60">G442*H442</f>
        <v>0</v>
      </c>
      <c r="M442" s="534" t="s">
        <v>296</v>
      </c>
      <c r="N442" s="535"/>
      <c r="O442" s="535"/>
      <c r="P442" s="535"/>
      <c r="Q442" s="536"/>
      <c r="R442" s="143"/>
      <c r="S442" s="144"/>
      <c r="T442" s="104">
        <f t="shared" ref="T442:T458" si="61">R442*S442</f>
        <v>0</v>
      </c>
    </row>
    <row r="443" spans="2:23">
      <c r="B443" s="540" t="s">
        <v>295</v>
      </c>
      <c r="C443" s="541"/>
      <c r="D443" s="541"/>
      <c r="E443" s="541"/>
      <c r="F443" s="542"/>
      <c r="G443" s="122"/>
      <c r="H443" s="123"/>
      <c r="I443" s="99">
        <f t="shared" si="60"/>
        <v>0</v>
      </c>
      <c r="M443" s="540" t="s">
        <v>295</v>
      </c>
      <c r="N443" s="541"/>
      <c r="O443" s="541"/>
      <c r="P443" s="541"/>
      <c r="Q443" s="542"/>
      <c r="R443" s="122"/>
      <c r="S443" s="123"/>
      <c r="T443" s="99">
        <f t="shared" si="61"/>
        <v>0</v>
      </c>
    </row>
    <row r="444" spans="2:23">
      <c r="B444" s="540" t="s">
        <v>330</v>
      </c>
      <c r="C444" s="541"/>
      <c r="D444" s="541"/>
      <c r="E444" s="541"/>
      <c r="F444" s="542"/>
      <c r="G444" s="122"/>
      <c r="H444" s="123"/>
      <c r="I444" s="99">
        <f t="shared" si="60"/>
        <v>0</v>
      </c>
      <c r="M444" s="540" t="s">
        <v>330</v>
      </c>
      <c r="N444" s="541"/>
      <c r="O444" s="541"/>
      <c r="P444" s="541"/>
      <c r="Q444" s="542"/>
      <c r="R444" s="122"/>
      <c r="S444" s="123"/>
      <c r="T444" s="99">
        <f t="shared" si="61"/>
        <v>0</v>
      </c>
    </row>
    <row r="445" spans="2:23">
      <c r="B445" s="540" t="s">
        <v>329</v>
      </c>
      <c r="C445" s="541"/>
      <c r="D445" s="541"/>
      <c r="E445" s="541"/>
      <c r="F445" s="542"/>
      <c r="G445" s="122"/>
      <c r="H445" s="123"/>
      <c r="I445" s="99">
        <f t="shared" si="60"/>
        <v>0</v>
      </c>
      <c r="M445" s="540" t="s">
        <v>329</v>
      </c>
      <c r="N445" s="541"/>
      <c r="O445" s="541"/>
      <c r="P445" s="541"/>
      <c r="Q445" s="542"/>
      <c r="R445" s="122"/>
      <c r="S445" s="123"/>
      <c r="T445" s="99">
        <f t="shared" si="61"/>
        <v>0</v>
      </c>
    </row>
    <row r="446" spans="2:23">
      <c r="B446" s="540" t="s">
        <v>331</v>
      </c>
      <c r="C446" s="541"/>
      <c r="D446" s="541"/>
      <c r="E446" s="541"/>
      <c r="F446" s="542"/>
      <c r="G446" s="122"/>
      <c r="H446" s="123"/>
      <c r="I446" s="99">
        <f t="shared" si="60"/>
        <v>0</v>
      </c>
      <c r="M446" s="540" t="s">
        <v>331</v>
      </c>
      <c r="N446" s="541"/>
      <c r="O446" s="541"/>
      <c r="P446" s="541"/>
      <c r="Q446" s="542"/>
      <c r="R446" s="122"/>
      <c r="S446" s="123"/>
      <c r="T446" s="99">
        <f t="shared" si="61"/>
        <v>0</v>
      </c>
    </row>
    <row r="447" spans="2:23">
      <c r="B447" s="145" t="s">
        <v>42</v>
      </c>
      <c r="C447" s="146"/>
      <c r="D447" s="146"/>
      <c r="E447" s="146"/>
      <c r="F447" s="147"/>
      <c r="G447" s="122"/>
      <c r="H447" s="123"/>
      <c r="I447" s="99">
        <f t="shared" si="60"/>
        <v>0</v>
      </c>
      <c r="M447" s="145" t="s">
        <v>42</v>
      </c>
      <c r="N447" s="146"/>
      <c r="O447" s="146"/>
      <c r="P447" s="146"/>
      <c r="Q447" s="147"/>
      <c r="R447" s="122"/>
      <c r="S447" s="123"/>
      <c r="T447" s="99">
        <f t="shared" si="61"/>
        <v>0</v>
      </c>
    </row>
    <row r="448" spans="2:23">
      <c r="B448" s="145" t="s">
        <v>41</v>
      </c>
      <c r="C448" s="146"/>
      <c r="D448" s="146"/>
      <c r="E448" s="146"/>
      <c r="F448" s="147"/>
      <c r="G448" s="122"/>
      <c r="H448" s="123"/>
      <c r="I448" s="99">
        <f t="shared" si="60"/>
        <v>0</v>
      </c>
      <c r="M448" s="145" t="s">
        <v>41</v>
      </c>
      <c r="N448" s="146"/>
      <c r="O448" s="146"/>
      <c r="P448" s="146"/>
      <c r="Q448" s="147"/>
      <c r="R448" s="122"/>
      <c r="S448" s="123"/>
      <c r="T448" s="99">
        <f t="shared" si="61"/>
        <v>0</v>
      </c>
    </row>
    <row r="449" spans="2:23">
      <c r="B449" s="145" t="s">
        <v>3</v>
      </c>
      <c r="C449" s="146"/>
      <c r="D449" s="146"/>
      <c r="E449" s="146"/>
      <c r="F449" s="147"/>
      <c r="G449" s="122"/>
      <c r="H449" s="123"/>
      <c r="I449" s="99">
        <f t="shared" si="60"/>
        <v>0</v>
      </c>
      <c r="M449" s="145" t="s">
        <v>3</v>
      </c>
      <c r="N449" s="146"/>
      <c r="O449" s="146"/>
      <c r="P449" s="146"/>
      <c r="Q449" s="147"/>
      <c r="R449" s="122"/>
      <c r="S449" s="123"/>
      <c r="T449" s="99">
        <f t="shared" si="61"/>
        <v>0</v>
      </c>
    </row>
    <row r="450" spans="2:23">
      <c r="B450" s="145" t="s">
        <v>4</v>
      </c>
      <c r="C450" s="146"/>
      <c r="D450" s="146"/>
      <c r="E450" s="146"/>
      <c r="F450" s="147"/>
      <c r="G450" s="122"/>
      <c r="H450" s="123"/>
      <c r="I450" s="99">
        <f t="shared" si="60"/>
        <v>0</v>
      </c>
      <c r="M450" s="145" t="s">
        <v>4</v>
      </c>
      <c r="N450" s="146"/>
      <c r="O450" s="146"/>
      <c r="P450" s="146"/>
      <c r="Q450" s="147"/>
      <c r="R450" s="122"/>
      <c r="S450" s="123"/>
      <c r="T450" s="99">
        <f t="shared" si="61"/>
        <v>0</v>
      </c>
    </row>
    <row r="451" spans="2:23">
      <c r="B451" s="145" t="s">
        <v>67</v>
      </c>
      <c r="C451" s="146"/>
      <c r="D451" s="146"/>
      <c r="E451" s="146"/>
      <c r="F451" s="147"/>
      <c r="G451" s="122"/>
      <c r="H451" s="123"/>
      <c r="I451" s="99">
        <f t="shared" si="60"/>
        <v>0</v>
      </c>
      <c r="M451" s="145" t="s">
        <v>67</v>
      </c>
      <c r="N451" s="146"/>
      <c r="O451" s="146"/>
      <c r="P451" s="146"/>
      <c r="Q451" s="147"/>
      <c r="R451" s="122"/>
      <c r="S451" s="123"/>
      <c r="T451" s="99">
        <f t="shared" si="61"/>
        <v>0</v>
      </c>
    </row>
    <row r="452" spans="2:23">
      <c r="B452" s="145" t="s">
        <v>68</v>
      </c>
      <c r="C452" s="146"/>
      <c r="D452" s="146"/>
      <c r="E452" s="146"/>
      <c r="F452" s="147"/>
      <c r="G452" s="122"/>
      <c r="H452" s="123"/>
      <c r="I452" s="99">
        <f t="shared" si="60"/>
        <v>0</v>
      </c>
      <c r="M452" s="145" t="s">
        <v>68</v>
      </c>
      <c r="N452" s="146"/>
      <c r="O452" s="146"/>
      <c r="P452" s="146"/>
      <c r="Q452" s="147"/>
      <c r="R452" s="122"/>
      <c r="S452" s="123"/>
      <c r="T452" s="99">
        <f t="shared" si="61"/>
        <v>0</v>
      </c>
    </row>
    <row r="453" spans="2:23">
      <c r="B453" s="540" t="s">
        <v>70</v>
      </c>
      <c r="C453" s="541"/>
      <c r="D453" s="541"/>
      <c r="E453" s="541"/>
      <c r="F453" s="542"/>
      <c r="G453" s="122"/>
      <c r="H453" s="123"/>
      <c r="I453" s="99">
        <f t="shared" si="60"/>
        <v>0</v>
      </c>
      <c r="M453" s="540" t="s">
        <v>70</v>
      </c>
      <c r="N453" s="541"/>
      <c r="O453" s="541"/>
      <c r="P453" s="541"/>
      <c r="Q453" s="542"/>
      <c r="R453" s="122"/>
      <c r="S453" s="123"/>
      <c r="T453" s="99">
        <f t="shared" si="61"/>
        <v>0</v>
      </c>
    </row>
    <row r="454" spans="2:23" ht="14.4" thickBot="1">
      <c r="B454" s="540" t="s">
        <v>380</v>
      </c>
      <c r="C454" s="541"/>
      <c r="D454" s="541"/>
      <c r="E454" s="541"/>
      <c r="F454" s="542"/>
      <c r="G454" s="122"/>
      <c r="H454" s="123"/>
      <c r="I454" s="99">
        <f t="shared" si="60"/>
        <v>0</v>
      </c>
      <c r="M454" s="540" t="s">
        <v>380</v>
      </c>
      <c r="N454" s="541"/>
      <c r="O454" s="541"/>
      <c r="P454" s="541"/>
      <c r="Q454" s="542"/>
      <c r="R454" s="122"/>
      <c r="S454" s="123"/>
      <c r="T454" s="99">
        <f t="shared" si="61"/>
        <v>0</v>
      </c>
    </row>
    <row r="455" spans="2:23">
      <c r="B455" s="540" t="s">
        <v>16</v>
      </c>
      <c r="C455" s="541"/>
      <c r="D455" s="541"/>
      <c r="E455" s="541"/>
      <c r="F455" s="542"/>
      <c r="G455" s="122"/>
      <c r="H455" s="123"/>
      <c r="I455" s="99">
        <f t="shared" si="60"/>
        <v>0</v>
      </c>
      <c r="J455" s="499" t="s">
        <v>275</v>
      </c>
      <c r="K455" s="500"/>
      <c r="L455" s="501"/>
      <c r="M455" s="540" t="s">
        <v>16</v>
      </c>
      <c r="N455" s="541"/>
      <c r="O455" s="541"/>
      <c r="P455" s="541"/>
      <c r="Q455" s="542"/>
      <c r="R455" s="122"/>
      <c r="S455" s="123"/>
      <c r="T455" s="99">
        <f t="shared" si="61"/>
        <v>0</v>
      </c>
      <c r="U455" s="499" t="s">
        <v>275</v>
      </c>
      <c r="V455" s="500"/>
      <c r="W455" s="501"/>
    </row>
    <row r="456" spans="2:23" ht="14.4" thickBot="1">
      <c r="B456" s="540" t="s">
        <v>17</v>
      </c>
      <c r="C456" s="541"/>
      <c r="D456" s="541"/>
      <c r="E456" s="541"/>
      <c r="F456" s="542"/>
      <c r="G456" s="122"/>
      <c r="H456" s="123"/>
      <c r="I456" s="99">
        <f t="shared" si="60"/>
        <v>0</v>
      </c>
      <c r="J456" s="502"/>
      <c r="K456" s="503"/>
      <c r="L456" s="504"/>
      <c r="M456" s="540" t="s">
        <v>17</v>
      </c>
      <c r="N456" s="541"/>
      <c r="O456" s="541"/>
      <c r="P456" s="541"/>
      <c r="Q456" s="542"/>
      <c r="R456" s="122"/>
      <c r="S456" s="123"/>
      <c r="T456" s="99">
        <f t="shared" si="61"/>
        <v>0</v>
      </c>
      <c r="U456" s="502"/>
      <c r="V456" s="503"/>
      <c r="W456" s="504"/>
    </row>
    <row r="457" spans="2:23">
      <c r="B457" s="540"/>
      <c r="C457" s="541"/>
      <c r="D457" s="541"/>
      <c r="E457" s="541"/>
      <c r="F457" s="542"/>
      <c r="G457" s="122"/>
      <c r="H457" s="123"/>
      <c r="I457" s="99">
        <f t="shared" si="60"/>
        <v>0</v>
      </c>
      <c r="J457" s="491">
        <f>SUM(I442:I458)</f>
        <v>0</v>
      </c>
      <c r="K457" s="492"/>
      <c r="L457" s="493"/>
      <c r="M457" s="540"/>
      <c r="N457" s="541"/>
      <c r="O457" s="541"/>
      <c r="P457" s="541"/>
      <c r="Q457" s="542"/>
      <c r="R457" s="122"/>
      <c r="S457" s="123"/>
      <c r="T457" s="99">
        <f t="shared" si="61"/>
        <v>0</v>
      </c>
      <c r="U457" s="491">
        <f>SUM(T442:T458)</f>
        <v>0</v>
      </c>
      <c r="V457" s="492"/>
      <c r="W457" s="493"/>
    </row>
    <row r="458" spans="2:23" ht="14.4" thickBot="1">
      <c r="B458" s="543"/>
      <c r="C458" s="544"/>
      <c r="D458" s="544"/>
      <c r="E458" s="544"/>
      <c r="F458" s="545"/>
      <c r="G458" s="124"/>
      <c r="H458" s="125"/>
      <c r="I458" s="100">
        <f t="shared" si="60"/>
        <v>0</v>
      </c>
      <c r="J458" s="494"/>
      <c r="K458" s="495"/>
      <c r="L458" s="496"/>
      <c r="M458" s="543"/>
      <c r="N458" s="544"/>
      <c r="O458" s="544"/>
      <c r="P458" s="544"/>
      <c r="Q458" s="545"/>
      <c r="R458" s="124"/>
      <c r="S458" s="125"/>
      <c r="T458" s="100">
        <f t="shared" si="61"/>
        <v>0</v>
      </c>
      <c r="U458" s="494"/>
      <c r="V458" s="495"/>
      <c r="W458" s="496"/>
    </row>
    <row r="459" spans="2:23" ht="14.4" thickBot="1">
      <c r="B459" s="546" t="s">
        <v>297</v>
      </c>
      <c r="C459" s="547"/>
      <c r="D459" s="547"/>
      <c r="E459" s="547"/>
      <c r="F459" s="547"/>
      <c r="G459" s="547"/>
      <c r="H459" s="547"/>
      <c r="I459" s="548"/>
      <c r="J459" s="132"/>
      <c r="K459" s="132"/>
      <c r="L459" s="132"/>
      <c r="M459" s="546" t="s">
        <v>297</v>
      </c>
      <c r="N459" s="547"/>
      <c r="O459" s="547"/>
      <c r="P459" s="547"/>
      <c r="Q459" s="547"/>
      <c r="R459" s="547"/>
      <c r="S459" s="547"/>
      <c r="T459" s="548"/>
      <c r="U459" s="132"/>
      <c r="V459" s="132"/>
      <c r="W459" s="132"/>
    </row>
    <row r="460" spans="2:23" ht="14.4" thickBot="1">
      <c r="B460" s="546" t="s">
        <v>267</v>
      </c>
      <c r="C460" s="547"/>
      <c r="D460" s="547"/>
      <c r="E460" s="547"/>
      <c r="F460" s="547"/>
      <c r="G460" s="148" t="s">
        <v>266</v>
      </c>
      <c r="H460" s="148" t="s">
        <v>0</v>
      </c>
      <c r="I460" s="105" t="s">
        <v>265</v>
      </c>
      <c r="J460" s="132"/>
      <c r="K460" s="132"/>
      <c r="L460" s="132"/>
      <c r="M460" s="546" t="s">
        <v>267</v>
      </c>
      <c r="N460" s="547"/>
      <c r="O460" s="547"/>
      <c r="P460" s="547"/>
      <c r="Q460" s="547"/>
      <c r="R460" s="148" t="s">
        <v>266</v>
      </c>
      <c r="S460" s="148" t="s">
        <v>0</v>
      </c>
      <c r="T460" s="105" t="s">
        <v>265</v>
      </c>
      <c r="U460" s="132"/>
      <c r="V460" s="132"/>
      <c r="W460" s="132"/>
    </row>
    <row r="461" spans="2:23">
      <c r="B461" s="549" t="s">
        <v>333</v>
      </c>
      <c r="C461" s="550"/>
      <c r="D461" s="550"/>
      <c r="E461" s="550"/>
      <c r="F461" s="551"/>
      <c r="G461" s="116"/>
      <c r="H461" s="117"/>
      <c r="I461" s="98"/>
      <c r="M461" s="549" t="s">
        <v>333</v>
      </c>
      <c r="N461" s="550"/>
      <c r="O461" s="550"/>
      <c r="P461" s="550"/>
      <c r="Q461" s="551"/>
      <c r="R461" s="116"/>
      <c r="S461" s="117"/>
      <c r="T461" s="98"/>
    </row>
    <row r="462" spans="2:23">
      <c r="B462" s="552" t="s">
        <v>291</v>
      </c>
      <c r="C462" s="553"/>
      <c r="D462" s="553"/>
      <c r="E462" s="553"/>
      <c r="F462" s="554"/>
      <c r="G462" s="122"/>
      <c r="H462" s="123"/>
      <c r="I462" s="99">
        <f t="shared" ref="I462:I472" si="62">G462*H462</f>
        <v>0</v>
      </c>
      <c r="M462" s="552" t="s">
        <v>291</v>
      </c>
      <c r="N462" s="553"/>
      <c r="O462" s="553"/>
      <c r="P462" s="553"/>
      <c r="Q462" s="554"/>
      <c r="R462" s="122"/>
      <c r="S462" s="123"/>
      <c r="T462" s="99">
        <f t="shared" ref="T462:T472" si="63">R462*S462</f>
        <v>0</v>
      </c>
    </row>
    <row r="463" spans="2:23">
      <c r="B463" s="552" t="s">
        <v>292</v>
      </c>
      <c r="C463" s="553"/>
      <c r="D463" s="553"/>
      <c r="E463" s="553"/>
      <c r="F463" s="554"/>
      <c r="G463" s="122"/>
      <c r="H463" s="123"/>
      <c r="I463" s="99">
        <f t="shared" si="62"/>
        <v>0</v>
      </c>
      <c r="M463" s="552" t="s">
        <v>292</v>
      </c>
      <c r="N463" s="553"/>
      <c r="O463" s="553"/>
      <c r="P463" s="553"/>
      <c r="Q463" s="554"/>
      <c r="R463" s="122"/>
      <c r="S463" s="123"/>
      <c r="T463" s="99">
        <f t="shared" si="63"/>
        <v>0</v>
      </c>
    </row>
    <row r="464" spans="2:23">
      <c r="B464" s="552" t="s">
        <v>293</v>
      </c>
      <c r="C464" s="553"/>
      <c r="D464" s="553"/>
      <c r="E464" s="553"/>
      <c r="F464" s="554"/>
      <c r="G464" s="122"/>
      <c r="H464" s="123"/>
      <c r="I464" s="99">
        <f t="shared" si="62"/>
        <v>0</v>
      </c>
      <c r="M464" s="552" t="s">
        <v>293</v>
      </c>
      <c r="N464" s="553"/>
      <c r="O464" s="553"/>
      <c r="P464" s="553"/>
      <c r="Q464" s="554"/>
      <c r="R464" s="122"/>
      <c r="S464" s="123"/>
      <c r="T464" s="99">
        <f t="shared" si="63"/>
        <v>0</v>
      </c>
    </row>
    <row r="465" spans="2:23">
      <c r="B465" s="552" t="s">
        <v>193</v>
      </c>
      <c r="C465" s="553"/>
      <c r="D465" s="553"/>
      <c r="E465" s="553"/>
      <c r="F465" s="554"/>
      <c r="G465" s="122"/>
      <c r="H465" s="123"/>
      <c r="I465" s="99">
        <f t="shared" si="62"/>
        <v>0</v>
      </c>
      <c r="M465" s="552" t="s">
        <v>193</v>
      </c>
      <c r="N465" s="553"/>
      <c r="O465" s="553"/>
      <c r="P465" s="553"/>
      <c r="Q465" s="554"/>
      <c r="R465" s="122"/>
      <c r="S465" s="123"/>
      <c r="T465" s="99">
        <f t="shared" si="63"/>
        <v>0</v>
      </c>
    </row>
    <row r="466" spans="2:23">
      <c r="B466" s="552" t="s">
        <v>294</v>
      </c>
      <c r="C466" s="553"/>
      <c r="D466" s="553"/>
      <c r="E466" s="553"/>
      <c r="F466" s="554"/>
      <c r="G466" s="122"/>
      <c r="H466" s="123"/>
      <c r="I466" s="99">
        <f t="shared" si="62"/>
        <v>0</v>
      </c>
      <c r="M466" s="552" t="s">
        <v>294</v>
      </c>
      <c r="N466" s="553"/>
      <c r="O466" s="553"/>
      <c r="P466" s="553"/>
      <c r="Q466" s="554"/>
      <c r="R466" s="122"/>
      <c r="S466" s="123"/>
      <c r="T466" s="99">
        <f t="shared" si="63"/>
        <v>0</v>
      </c>
    </row>
    <row r="467" spans="2:23">
      <c r="B467" s="552"/>
      <c r="C467" s="553"/>
      <c r="D467" s="553"/>
      <c r="E467" s="553"/>
      <c r="F467" s="554"/>
      <c r="G467" s="122"/>
      <c r="H467" s="123"/>
      <c r="I467" s="99">
        <f t="shared" si="62"/>
        <v>0</v>
      </c>
      <c r="M467" s="552"/>
      <c r="N467" s="553"/>
      <c r="O467" s="553"/>
      <c r="P467" s="553"/>
      <c r="Q467" s="554"/>
      <c r="R467" s="122"/>
      <c r="S467" s="123"/>
      <c r="T467" s="99">
        <f t="shared" si="63"/>
        <v>0</v>
      </c>
    </row>
    <row r="468" spans="2:23" ht="14.4" thickBot="1">
      <c r="B468" s="552"/>
      <c r="C468" s="553"/>
      <c r="D468" s="553"/>
      <c r="E468" s="553"/>
      <c r="F468" s="554"/>
      <c r="G468" s="122"/>
      <c r="H468" s="123"/>
      <c r="I468" s="99">
        <f t="shared" si="62"/>
        <v>0</v>
      </c>
      <c r="M468" s="552"/>
      <c r="N468" s="553"/>
      <c r="O468" s="553"/>
      <c r="P468" s="553"/>
      <c r="Q468" s="554"/>
      <c r="R468" s="122"/>
      <c r="S468" s="123"/>
      <c r="T468" s="99">
        <f t="shared" si="63"/>
        <v>0</v>
      </c>
    </row>
    <row r="469" spans="2:23">
      <c r="B469" s="552"/>
      <c r="C469" s="553"/>
      <c r="D469" s="553"/>
      <c r="E469" s="553"/>
      <c r="F469" s="554"/>
      <c r="G469" s="122"/>
      <c r="H469" s="123"/>
      <c r="I469" s="99">
        <f t="shared" si="62"/>
        <v>0</v>
      </c>
      <c r="J469" s="499" t="s">
        <v>275</v>
      </c>
      <c r="K469" s="500"/>
      <c r="L469" s="501"/>
      <c r="M469" s="552"/>
      <c r="N469" s="553"/>
      <c r="O469" s="553"/>
      <c r="P469" s="553"/>
      <c r="Q469" s="554"/>
      <c r="R469" s="122"/>
      <c r="S469" s="123"/>
      <c r="T469" s="99">
        <f t="shared" si="63"/>
        <v>0</v>
      </c>
      <c r="U469" s="499" t="s">
        <v>275</v>
      </c>
      <c r="V469" s="500"/>
      <c r="W469" s="501"/>
    </row>
    <row r="470" spans="2:23" ht="14.4" thickBot="1">
      <c r="B470" s="557" t="s">
        <v>2</v>
      </c>
      <c r="C470" s="558"/>
      <c r="D470" s="558"/>
      <c r="E470" s="558"/>
      <c r="F470" s="559"/>
      <c r="G470" s="149"/>
      <c r="H470" s="150"/>
      <c r="I470" s="100">
        <f t="shared" si="62"/>
        <v>0</v>
      </c>
      <c r="J470" s="502"/>
      <c r="K470" s="503"/>
      <c r="L470" s="504"/>
      <c r="M470" s="557" t="s">
        <v>2</v>
      </c>
      <c r="N470" s="558"/>
      <c r="O470" s="558"/>
      <c r="P470" s="558"/>
      <c r="Q470" s="559"/>
      <c r="R470" s="149"/>
      <c r="S470" s="150"/>
      <c r="T470" s="100">
        <f t="shared" si="63"/>
        <v>0</v>
      </c>
      <c r="U470" s="502"/>
      <c r="V470" s="503"/>
      <c r="W470" s="504"/>
    </row>
    <row r="471" spans="2:23">
      <c r="B471" s="555" t="s">
        <v>22</v>
      </c>
      <c r="C471" s="556"/>
      <c r="D471" s="556"/>
      <c r="E471" s="556"/>
      <c r="F471" s="556"/>
      <c r="G471" s="122"/>
      <c r="H471" s="123"/>
      <c r="I471" s="99">
        <f t="shared" si="62"/>
        <v>0</v>
      </c>
      <c r="J471" s="491">
        <f>SUM(I461:I472)</f>
        <v>0</v>
      </c>
      <c r="K471" s="492"/>
      <c r="L471" s="493"/>
      <c r="M471" s="555" t="s">
        <v>22</v>
      </c>
      <c r="N471" s="556"/>
      <c r="O471" s="556"/>
      <c r="P471" s="556"/>
      <c r="Q471" s="556"/>
      <c r="R471" s="122"/>
      <c r="S471" s="123"/>
      <c r="T471" s="99">
        <f t="shared" si="63"/>
        <v>0</v>
      </c>
      <c r="U471" s="491">
        <f>SUM(T461:T472)</f>
        <v>0</v>
      </c>
      <c r="V471" s="492"/>
      <c r="W471" s="493"/>
    </row>
    <row r="472" spans="2:23" ht="14.4" thickBot="1">
      <c r="B472" s="555" t="s">
        <v>21</v>
      </c>
      <c r="C472" s="556"/>
      <c r="D472" s="556"/>
      <c r="E472" s="556"/>
      <c r="F472" s="556"/>
      <c r="G472" s="122"/>
      <c r="H472" s="123"/>
      <c r="I472" s="99">
        <f t="shared" si="62"/>
        <v>0</v>
      </c>
      <c r="J472" s="494"/>
      <c r="K472" s="495"/>
      <c r="L472" s="496"/>
      <c r="M472" s="555" t="s">
        <v>21</v>
      </c>
      <c r="N472" s="556"/>
      <c r="O472" s="556"/>
      <c r="P472" s="556"/>
      <c r="Q472" s="556"/>
      <c r="R472" s="122"/>
      <c r="S472" s="123"/>
      <c r="T472" s="99">
        <f t="shared" si="63"/>
        <v>0</v>
      </c>
      <c r="U472" s="494"/>
      <c r="V472" s="495"/>
      <c r="W472" s="496"/>
    </row>
    <row r="473" spans="2:23" ht="14.4" thickBot="1">
      <c r="B473" s="560" t="s">
        <v>334</v>
      </c>
      <c r="C473" s="561"/>
      <c r="D473" s="561"/>
      <c r="E473" s="561"/>
      <c r="F473" s="561"/>
      <c r="G473" s="561"/>
      <c r="H473" s="561"/>
      <c r="I473" s="562"/>
      <c r="J473" s="151"/>
      <c r="K473" s="132"/>
      <c r="L473" s="132"/>
      <c r="M473" s="560" t="s">
        <v>334</v>
      </c>
      <c r="N473" s="561"/>
      <c r="O473" s="561"/>
      <c r="P473" s="561"/>
      <c r="Q473" s="561"/>
      <c r="R473" s="561"/>
      <c r="S473" s="561"/>
      <c r="T473" s="562"/>
      <c r="U473" s="151"/>
      <c r="V473" s="132"/>
      <c r="W473" s="132"/>
    </row>
    <row r="474" spans="2:23" ht="14.4" thickBot="1">
      <c r="B474" s="560" t="s">
        <v>267</v>
      </c>
      <c r="C474" s="561"/>
      <c r="D474" s="561"/>
      <c r="E474" s="561"/>
      <c r="F474" s="561"/>
      <c r="G474" s="152" t="s">
        <v>266</v>
      </c>
      <c r="H474" s="152" t="s">
        <v>0</v>
      </c>
      <c r="I474" s="106" t="s">
        <v>265</v>
      </c>
      <c r="J474" s="151"/>
      <c r="K474" s="132"/>
      <c r="L474" s="132"/>
      <c r="M474" s="560" t="s">
        <v>267</v>
      </c>
      <c r="N474" s="561"/>
      <c r="O474" s="561"/>
      <c r="P474" s="561"/>
      <c r="Q474" s="561"/>
      <c r="R474" s="152" t="s">
        <v>266</v>
      </c>
      <c r="S474" s="152" t="s">
        <v>0</v>
      </c>
      <c r="T474" s="106" t="s">
        <v>265</v>
      </c>
      <c r="U474" s="151"/>
      <c r="V474" s="132"/>
      <c r="W474" s="132"/>
    </row>
    <row r="475" spans="2:23">
      <c r="B475" s="563" t="s">
        <v>8</v>
      </c>
      <c r="C475" s="564"/>
      <c r="D475" s="564"/>
      <c r="E475" s="564"/>
      <c r="F475" s="564"/>
      <c r="G475" s="122"/>
      <c r="H475" s="123"/>
      <c r="I475" s="99">
        <f t="shared" ref="I475:I478" si="64">G475*H475</f>
        <v>0</v>
      </c>
      <c r="J475" s="499" t="s">
        <v>275</v>
      </c>
      <c r="K475" s="500"/>
      <c r="L475" s="501"/>
      <c r="M475" s="563" t="s">
        <v>8</v>
      </c>
      <c r="N475" s="564"/>
      <c r="O475" s="564"/>
      <c r="P475" s="564"/>
      <c r="Q475" s="564"/>
      <c r="R475" s="122"/>
      <c r="S475" s="123"/>
      <c r="T475" s="99">
        <f t="shared" ref="T475:T478" si="65">R475*S475</f>
        <v>0</v>
      </c>
      <c r="U475" s="499" t="s">
        <v>275</v>
      </c>
      <c r="V475" s="500"/>
      <c r="W475" s="501"/>
    </row>
    <row r="476" spans="2:23" ht="14.4" thickBot="1">
      <c r="B476" s="563" t="s">
        <v>9</v>
      </c>
      <c r="C476" s="564"/>
      <c r="D476" s="564"/>
      <c r="E476" s="564"/>
      <c r="F476" s="564"/>
      <c r="G476" s="122"/>
      <c r="H476" s="123"/>
      <c r="I476" s="99">
        <f t="shared" si="64"/>
        <v>0</v>
      </c>
      <c r="J476" s="502"/>
      <c r="K476" s="503"/>
      <c r="L476" s="504"/>
      <c r="M476" s="563" t="s">
        <v>9</v>
      </c>
      <c r="N476" s="564"/>
      <c r="O476" s="564"/>
      <c r="P476" s="564"/>
      <c r="Q476" s="564"/>
      <c r="R476" s="122"/>
      <c r="S476" s="123"/>
      <c r="T476" s="99">
        <f t="shared" si="65"/>
        <v>0</v>
      </c>
      <c r="U476" s="502"/>
      <c r="V476" s="503"/>
      <c r="W476" s="504"/>
    </row>
    <row r="477" spans="2:23">
      <c r="B477" s="563" t="s">
        <v>335</v>
      </c>
      <c r="C477" s="564"/>
      <c r="D477" s="564"/>
      <c r="E477" s="564"/>
      <c r="F477" s="564"/>
      <c r="G477" s="122"/>
      <c r="H477" s="123"/>
      <c r="I477" s="99">
        <f t="shared" si="64"/>
        <v>0</v>
      </c>
      <c r="J477" s="491">
        <f>SUM(I475:I478)</f>
        <v>0</v>
      </c>
      <c r="K477" s="492"/>
      <c r="L477" s="493"/>
      <c r="M477" s="563" t="s">
        <v>335</v>
      </c>
      <c r="N477" s="564"/>
      <c r="O477" s="564"/>
      <c r="P477" s="564"/>
      <c r="Q477" s="564"/>
      <c r="R477" s="122"/>
      <c r="S477" s="123"/>
      <c r="T477" s="99">
        <f t="shared" si="65"/>
        <v>0</v>
      </c>
      <c r="U477" s="491">
        <f>SUM(T475:T478)</f>
        <v>0</v>
      </c>
      <c r="V477" s="492"/>
      <c r="W477" s="493"/>
    </row>
    <row r="478" spans="2:23" ht="14.4" thickBot="1">
      <c r="B478" s="583" t="s">
        <v>336</v>
      </c>
      <c r="C478" s="584"/>
      <c r="D478" s="584"/>
      <c r="E478" s="584"/>
      <c r="F478" s="584"/>
      <c r="G478" s="153"/>
      <c r="H478" s="154"/>
      <c r="I478" s="107">
        <f t="shared" si="64"/>
        <v>0</v>
      </c>
      <c r="J478" s="494"/>
      <c r="K478" s="495"/>
      <c r="L478" s="496"/>
      <c r="M478" s="583" t="s">
        <v>336</v>
      </c>
      <c r="N478" s="584"/>
      <c r="O478" s="584"/>
      <c r="P478" s="584"/>
      <c r="Q478" s="584"/>
      <c r="R478" s="153"/>
      <c r="S478" s="154"/>
      <c r="T478" s="107">
        <f t="shared" si="65"/>
        <v>0</v>
      </c>
      <c r="U478" s="494"/>
      <c r="V478" s="495"/>
      <c r="W478" s="496"/>
    </row>
    <row r="479" spans="2:23">
      <c r="B479" s="565" t="s">
        <v>298</v>
      </c>
      <c r="C479" s="566"/>
      <c r="D479" s="566"/>
      <c r="E479" s="566"/>
      <c r="F479" s="566"/>
      <c r="G479" s="566"/>
      <c r="H479" s="566"/>
      <c r="I479" s="567"/>
      <c r="J479" s="574">
        <f>SUM(J477,J471,J457,J438,J424,J410,J396)</f>
        <v>0</v>
      </c>
      <c r="K479" s="575"/>
      <c r="L479" s="576"/>
      <c r="M479" s="565" t="s">
        <v>298</v>
      </c>
      <c r="N479" s="566"/>
      <c r="O479" s="566"/>
      <c r="P479" s="566"/>
      <c r="Q479" s="566"/>
      <c r="R479" s="566"/>
      <c r="S479" s="566"/>
      <c r="T479" s="567"/>
      <c r="U479" s="574">
        <f>SUM(U477,U471,U457,U438,U424,U410,U396)</f>
        <v>0</v>
      </c>
      <c r="V479" s="575"/>
      <c r="W479" s="576"/>
    </row>
    <row r="480" spans="2:23">
      <c r="B480" s="568"/>
      <c r="C480" s="569"/>
      <c r="D480" s="569"/>
      <c r="E480" s="569"/>
      <c r="F480" s="569"/>
      <c r="G480" s="569"/>
      <c r="H480" s="569"/>
      <c r="I480" s="570"/>
      <c r="J480" s="577"/>
      <c r="K480" s="578"/>
      <c r="L480" s="579"/>
      <c r="M480" s="568"/>
      <c r="N480" s="569"/>
      <c r="O480" s="569"/>
      <c r="P480" s="569"/>
      <c r="Q480" s="569"/>
      <c r="R480" s="569"/>
      <c r="S480" s="569"/>
      <c r="T480" s="570"/>
      <c r="U480" s="577"/>
      <c r="V480" s="578"/>
      <c r="W480" s="579"/>
    </row>
    <row r="481" spans="2:23" ht="14.4" thickBot="1">
      <c r="B481" s="571"/>
      <c r="C481" s="572"/>
      <c r="D481" s="572"/>
      <c r="E481" s="572"/>
      <c r="F481" s="572"/>
      <c r="G481" s="572"/>
      <c r="H481" s="572"/>
      <c r="I481" s="573"/>
      <c r="J481" s="580"/>
      <c r="K481" s="581"/>
      <c r="L481" s="582"/>
      <c r="M481" s="571"/>
      <c r="N481" s="572"/>
      <c r="O481" s="572"/>
      <c r="P481" s="572"/>
      <c r="Q481" s="572"/>
      <c r="R481" s="572"/>
      <c r="S481" s="572"/>
      <c r="T481" s="573"/>
      <c r="U481" s="580"/>
      <c r="V481" s="581"/>
      <c r="W481" s="582"/>
    </row>
  </sheetData>
  <mergeCells count="947">
    <mergeCell ref="B479:I481"/>
    <mergeCell ref="J479:L481"/>
    <mergeCell ref="M479:T481"/>
    <mergeCell ref="U479:W481"/>
    <mergeCell ref="U475:W476"/>
    <mergeCell ref="B476:F476"/>
    <mergeCell ref="M476:Q476"/>
    <mergeCell ref="B477:F477"/>
    <mergeCell ref="J477:L478"/>
    <mergeCell ref="M477:Q477"/>
    <mergeCell ref="U477:W478"/>
    <mergeCell ref="B478:F478"/>
    <mergeCell ref="M478:Q478"/>
    <mergeCell ref="B473:I473"/>
    <mergeCell ref="M473:T473"/>
    <mergeCell ref="B474:F474"/>
    <mergeCell ref="M474:Q474"/>
    <mergeCell ref="B475:F475"/>
    <mergeCell ref="J475:L476"/>
    <mergeCell ref="M475:Q475"/>
    <mergeCell ref="B471:F471"/>
    <mergeCell ref="J471:L472"/>
    <mergeCell ref="M471:Q471"/>
    <mergeCell ref="U471:W472"/>
    <mergeCell ref="B472:F472"/>
    <mergeCell ref="M472:Q472"/>
    <mergeCell ref="B468:F468"/>
    <mergeCell ref="M468:Q468"/>
    <mergeCell ref="B469:F469"/>
    <mergeCell ref="J469:L470"/>
    <mergeCell ref="M469:Q469"/>
    <mergeCell ref="U469:W470"/>
    <mergeCell ref="B470:F470"/>
    <mergeCell ref="M470:Q470"/>
    <mergeCell ref="B465:F465"/>
    <mergeCell ref="M465:Q465"/>
    <mergeCell ref="B466:F466"/>
    <mergeCell ref="M466:Q466"/>
    <mergeCell ref="B467:F467"/>
    <mergeCell ref="M467:Q467"/>
    <mergeCell ref="B462:F462"/>
    <mergeCell ref="M462:Q462"/>
    <mergeCell ref="B463:F463"/>
    <mergeCell ref="M463:Q463"/>
    <mergeCell ref="B464:F464"/>
    <mergeCell ref="M464:Q464"/>
    <mergeCell ref="B459:I459"/>
    <mergeCell ref="M459:T459"/>
    <mergeCell ref="B460:F460"/>
    <mergeCell ref="M460:Q460"/>
    <mergeCell ref="B461:F461"/>
    <mergeCell ref="M461:Q461"/>
    <mergeCell ref="B457:F457"/>
    <mergeCell ref="J457:L458"/>
    <mergeCell ref="M457:Q457"/>
    <mergeCell ref="U457:W458"/>
    <mergeCell ref="B458:F458"/>
    <mergeCell ref="M458:Q458"/>
    <mergeCell ref="B455:F455"/>
    <mergeCell ref="J455:L456"/>
    <mergeCell ref="M455:Q455"/>
    <mergeCell ref="U455:W456"/>
    <mergeCell ref="B456:F456"/>
    <mergeCell ref="M456:Q456"/>
    <mergeCell ref="B446:F446"/>
    <mergeCell ref="M446:Q446"/>
    <mergeCell ref="B453:F453"/>
    <mergeCell ref="M453:Q453"/>
    <mergeCell ref="B454:F454"/>
    <mergeCell ref="M454:Q454"/>
    <mergeCell ref="B443:F443"/>
    <mergeCell ref="M443:Q443"/>
    <mergeCell ref="B444:F444"/>
    <mergeCell ref="M444:Q444"/>
    <mergeCell ref="B445:F445"/>
    <mergeCell ref="M445:Q445"/>
    <mergeCell ref="B440:I440"/>
    <mergeCell ref="M440:T440"/>
    <mergeCell ref="B441:F441"/>
    <mergeCell ref="M441:Q441"/>
    <mergeCell ref="B442:F442"/>
    <mergeCell ref="M442:Q442"/>
    <mergeCell ref="U436:W437"/>
    <mergeCell ref="B437:F437"/>
    <mergeCell ref="M437:Q437"/>
    <mergeCell ref="B438:F438"/>
    <mergeCell ref="J438:L439"/>
    <mergeCell ref="M438:Q438"/>
    <mergeCell ref="U438:W439"/>
    <mergeCell ref="B439:F439"/>
    <mergeCell ref="M439:Q439"/>
    <mergeCell ref="B433:F433"/>
    <mergeCell ref="M433:Q433"/>
    <mergeCell ref="B434:F434"/>
    <mergeCell ref="M434:Q434"/>
    <mergeCell ref="B436:F436"/>
    <mergeCell ref="J436:L437"/>
    <mergeCell ref="M436:Q436"/>
    <mergeCell ref="B429:F429"/>
    <mergeCell ref="M429:Q429"/>
    <mergeCell ref="B430:F430"/>
    <mergeCell ref="M430:Q430"/>
    <mergeCell ref="B431:F431"/>
    <mergeCell ref="M431:Q431"/>
    <mergeCell ref="B426:I426"/>
    <mergeCell ref="M426:T426"/>
    <mergeCell ref="B427:F427"/>
    <mergeCell ref="M427:Q427"/>
    <mergeCell ref="B428:F428"/>
    <mergeCell ref="M428:Q428"/>
    <mergeCell ref="J422:L423"/>
    <mergeCell ref="U422:W423"/>
    <mergeCell ref="B424:F424"/>
    <mergeCell ref="J424:L425"/>
    <mergeCell ref="M424:Q424"/>
    <mergeCell ref="U424:W425"/>
    <mergeCell ref="B425:F425"/>
    <mergeCell ref="M425:Q425"/>
    <mergeCell ref="B419:F419"/>
    <mergeCell ref="M419:Q419"/>
    <mergeCell ref="B420:F420"/>
    <mergeCell ref="M420:Q420"/>
    <mergeCell ref="B421:F421"/>
    <mergeCell ref="M421:Q421"/>
    <mergeCell ref="B416:F416"/>
    <mergeCell ref="M416:Q416"/>
    <mergeCell ref="B417:F417"/>
    <mergeCell ref="M417:Q417"/>
    <mergeCell ref="B418:F418"/>
    <mergeCell ref="M418:Q418"/>
    <mergeCell ref="B413:F413"/>
    <mergeCell ref="M413:Q413"/>
    <mergeCell ref="B414:F414"/>
    <mergeCell ref="M414:Q414"/>
    <mergeCell ref="B415:F415"/>
    <mergeCell ref="M415:Q415"/>
    <mergeCell ref="B410:F410"/>
    <mergeCell ref="J410:L411"/>
    <mergeCell ref="M410:Q410"/>
    <mergeCell ref="U410:W411"/>
    <mergeCell ref="B412:I412"/>
    <mergeCell ref="M412:T412"/>
    <mergeCell ref="B404:F404"/>
    <mergeCell ref="M404:Q404"/>
    <mergeCell ref="B408:F408"/>
    <mergeCell ref="J408:L409"/>
    <mergeCell ref="M408:Q408"/>
    <mergeCell ref="U408:W409"/>
    <mergeCell ref="B409:F409"/>
    <mergeCell ref="M409:Q409"/>
    <mergeCell ref="B401:F401"/>
    <mergeCell ref="M401:Q401"/>
    <mergeCell ref="B402:F402"/>
    <mergeCell ref="M402:Q402"/>
    <mergeCell ref="B403:F403"/>
    <mergeCell ref="M403:Q403"/>
    <mergeCell ref="B398:I398"/>
    <mergeCell ref="M398:T398"/>
    <mergeCell ref="B399:F399"/>
    <mergeCell ref="M399:Q399"/>
    <mergeCell ref="B400:F400"/>
    <mergeCell ref="M400:Q400"/>
    <mergeCell ref="U394:W395"/>
    <mergeCell ref="B395:F395"/>
    <mergeCell ref="M395:Q395"/>
    <mergeCell ref="B396:F396"/>
    <mergeCell ref="J396:L397"/>
    <mergeCell ref="M396:Q396"/>
    <mergeCell ref="U396:W397"/>
    <mergeCell ref="B397:F397"/>
    <mergeCell ref="M397:Q397"/>
    <mergeCell ref="B392:F392"/>
    <mergeCell ref="M392:Q392"/>
    <mergeCell ref="B393:F393"/>
    <mergeCell ref="M393:Q393"/>
    <mergeCell ref="B394:F394"/>
    <mergeCell ref="J394:L395"/>
    <mergeCell ref="M394:Q394"/>
    <mergeCell ref="B389:F389"/>
    <mergeCell ref="M389:Q389"/>
    <mergeCell ref="B390:F390"/>
    <mergeCell ref="M390:Q390"/>
    <mergeCell ref="B391:F391"/>
    <mergeCell ref="M391:Q391"/>
    <mergeCell ref="B386:F386"/>
    <mergeCell ref="M386:Q386"/>
    <mergeCell ref="B387:F387"/>
    <mergeCell ref="M387:Q387"/>
    <mergeCell ref="B388:F388"/>
    <mergeCell ref="M388:Q388"/>
    <mergeCell ref="B383:F383"/>
    <mergeCell ref="M383:Q383"/>
    <mergeCell ref="B384:F384"/>
    <mergeCell ref="M384:Q384"/>
    <mergeCell ref="B385:F385"/>
    <mergeCell ref="M385:Q385"/>
    <mergeCell ref="B380:E380"/>
    <mergeCell ref="M380:P380"/>
    <mergeCell ref="B381:E381"/>
    <mergeCell ref="M381:P381"/>
    <mergeCell ref="B382:E382"/>
    <mergeCell ref="M382:P382"/>
    <mergeCell ref="B376:I376"/>
    <mergeCell ref="M376:T376"/>
    <mergeCell ref="B377:F377"/>
    <mergeCell ref="M377:Q377"/>
    <mergeCell ref="B378:E378"/>
    <mergeCell ref="M378:P378"/>
    <mergeCell ref="B370:I372"/>
    <mergeCell ref="J370:L372"/>
    <mergeCell ref="M370:T372"/>
    <mergeCell ref="U370:W372"/>
    <mergeCell ref="B373:I375"/>
    <mergeCell ref="M373:T375"/>
    <mergeCell ref="U366:W367"/>
    <mergeCell ref="B367:F367"/>
    <mergeCell ref="M367:Q367"/>
    <mergeCell ref="B368:F368"/>
    <mergeCell ref="J368:L369"/>
    <mergeCell ref="M368:Q368"/>
    <mergeCell ref="U368:W369"/>
    <mergeCell ref="B369:F369"/>
    <mergeCell ref="M369:Q369"/>
    <mergeCell ref="B364:I364"/>
    <mergeCell ref="M364:T364"/>
    <mergeCell ref="B365:F365"/>
    <mergeCell ref="M365:Q365"/>
    <mergeCell ref="B366:F366"/>
    <mergeCell ref="J366:L367"/>
    <mergeCell ref="M366:Q366"/>
    <mergeCell ref="B362:F362"/>
    <mergeCell ref="J362:L363"/>
    <mergeCell ref="M362:Q362"/>
    <mergeCell ref="U362:W363"/>
    <mergeCell ref="B363:F363"/>
    <mergeCell ref="M363:Q363"/>
    <mergeCell ref="B359:F359"/>
    <mergeCell ref="M359:Q359"/>
    <mergeCell ref="B360:F360"/>
    <mergeCell ref="J360:L361"/>
    <mergeCell ref="M360:Q360"/>
    <mergeCell ref="U360:W361"/>
    <mergeCell ref="B361:F361"/>
    <mergeCell ref="M361:Q361"/>
    <mergeCell ref="B356:F356"/>
    <mergeCell ref="M356:Q356"/>
    <mergeCell ref="B357:F357"/>
    <mergeCell ref="M357:Q357"/>
    <mergeCell ref="B358:F358"/>
    <mergeCell ref="M358:Q358"/>
    <mergeCell ref="B353:F353"/>
    <mergeCell ref="M353:Q353"/>
    <mergeCell ref="B354:F354"/>
    <mergeCell ref="M354:Q354"/>
    <mergeCell ref="B355:F355"/>
    <mergeCell ref="M355:Q355"/>
    <mergeCell ref="B350:I350"/>
    <mergeCell ref="M350:T350"/>
    <mergeCell ref="B351:F351"/>
    <mergeCell ref="M351:Q351"/>
    <mergeCell ref="B352:F352"/>
    <mergeCell ref="M352:Q352"/>
    <mergeCell ref="B348:F348"/>
    <mergeCell ref="J348:L349"/>
    <mergeCell ref="M348:Q348"/>
    <mergeCell ref="U348:W349"/>
    <mergeCell ref="B349:F349"/>
    <mergeCell ref="M349:Q349"/>
    <mergeCell ref="B346:F346"/>
    <mergeCell ref="J346:L347"/>
    <mergeCell ref="M346:Q346"/>
    <mergeCell ref="U346:W347"/>
    <mergeCell ref="B347:F347"/>
    <mergeCell ref="M347:Q347"/>
    <mergeCell ref="B337:F337"/>
    <mergeCell ref="M337:Q337"/>
    <mergeCell ref="B344:F344"/>
    <mergeCell ref="M344:Q344"/>
    <mergeCell ref="B345:F345"/>
    <mergeCell ref="M345:Q345"/>
    <mergeCell ref="B334:F334"/>
    <mergeCell ref="M334:Q334"/>
    <mergeCell ref="B335:F335"/>
    <mergeCell ref="M335:Q335"/>
    <mergeCell ref="B336:F336"/>
    <mergeCell ref="M336:Q336"/>
    <mergeCell ref="B331:I331"/>
    <mergeCell ref="M331:T331"/>
    <mergeCell ref="B332:F332"/>
    <mergeCell ref="M332:Q332"/>
    <mergeCell ref="B333:F333"/>
    <mergeCell ref="M333:Q333"/>
    <mergeCell ref="U327:W328"/>
    <mergeCell ref="B328:F328"/>
    <mergeCell ref="M328:Q328"/>
    <mergeCell ref="B329:F329"/>
    <mergeCell ref="J329:L330"/>
    <mergeCell ref="M329:Q329"/>
    <mergeCell ref="U329:W330"/>
    <mergeCell ref="B330:F330"/>
    <mergeCell ref="M330:Q330"/>
    <mergeCell ref="B324:F324"/>
    <mergeCell ref="M324:Q324"/>
    <mergeCell ref="B325:F325"/>
    <mergeCell ref="M325:Q325"/>
    <mergeCell ref="B327:F327"/>
    <mergeCell ref="J327:L328"/>
    <mergeCell ref="M327:Q327"/>
    <mergeCell ref="B320:F320"/>
    <mergeCell ref="M320:Q320"/>
    <mergeCell ref="B321:F321"/>
    <mergeCell ref="M321:Q321"/>
    <mergeCell ref="B322:F322"/>
    <mergeCell ref="M322:Q322"/>
    <mergeCell ref="B317:I317"/>
    <mergeCell ref="M317:T317"/>
    <mergeCell ref="B318:F318"/>
    <mergeCell ref="M318:Q318"/>
    <mergeCell ref="B319:F319"/>
    <mergeCell ref="M319:Q319"/>
    <mergeCell ref="J313:L314"/>
    <mergeCell ref="U313:W314"/>
    <mergeCell ref="B315:F315"/>
    <mergeCell ref="J315:L316"/>
    <mergeCell ref="M315:Q315"/>
    <mergeCell ref="U315:W316"/>
    <mergeCell ref="B316:F316"/>
    <mergeCell ref="M316:Q316"/>
    <mergeCell ref="B310:F310"/>
    <mergeCell ref="M310:Q310"/>
    <mergeCell ref="B311:F311"/>
    <mergeCell ref="M311:Q311"/>
    <mergeCell ref="B312:F312"/>
    <mergeCell ref="M312:Q312"/>
    <mergeCell ref="B307:F307"/>
    <mergeCell ref="M307:Q307"/>
    <mergeCell ref="B308:F308"/>
    <mergeCell ref="M308:Q308"/>
    <mergeCell ref="B309:F309"/>
    <mergeCell ref="M309:Q309"/>
    <mergeCell ref="B304:F304"/>
    <mergeCell ref="M304:Q304"/>
    <mergeCell ref="B305:F305"/>
    <mergeCell ref="M305:Q305"/>
    <mergeCell ref="B306:F306"/>
    <mergeCell ref="M306:Q306"/>
    <mergeCell ref="B301:F301"/>
    <mergeCell ref="J301:L302"/>
    <mergeCell ref="M301:Q301"/>
    <mergeCell ref="U301:W302"/>
    <mergeCell ref="B303:I303"/>
    <mergeCell ref="M303:T303"/>
    <mergeCell ref="B295:F295"/>
    <mergeCell ref="M295:Q295"/>
    <mergeCell ref="B299:F299"/>
    <mergeCell ref="J299:L300"/>
    <mergeCell ref="M299:Q299"/>
    <mergeCell ref="U299:W300"/>
    <mergeCell ref="B300:F300"/>
    <mergeCell ref="M300:Q300"/>
    <mergeCell ref="B292:F292"/>
    <mergeCell ref="M292:Q292"/>
    <mergeCell ref="B293:F293"/>
    <mergeCell ref="M293:Q293"/>
    <mergeCell ref="B294:F294"/>
    <mergeCell ref="M294:Q294"/>
    <mergeCell ref="B289:I289"/>
    <mergeCell ref="M289:T289"/>
    <mergeCell ref="B290:F290"/>
    <mergeCell ref="M290:Q290"/>
    <mergeCell ref="B291:F291"/>
    <mergeCell ref="M291:Q291"/>
    <mergeCell ref="U285:W286"/>
    <mergeCell ref="B286:F286"/>
    <mergeCell ref="M286:Q286"/>
    <mergeCell ref="B287:F287"/>
    <mergeCell ref="J287:L288"/>
    <mergeCell ref="M287:Q287"/>
    <mergeCell ref="U287:W288"/>
    <mergeCell ref="B288:F288"/>
    <mergeCell ref="M288:Q288"/>
    <mergeCell ref="B283:F283"/>
    <mergeCell ref="M283:Q283"/>
    <mergeCell ref="B284:F284"/>
    <mergeCell ref="M284:Q284"/>
    <mergeCell ref="B285:F285"/>
    <mergeCell ref="J285:L286"/>
    <mergeCell ref="M285:Q285"/>
    <mergeCell ref="B280:F280"/>
    <mergeCell ref="M280:Q280"/>
    <mergeCell ref="B281:F281"/>
    <mergeCell ref="M281:Q281"/>
    <mergeCell ref="B282:F282"/>
    <mergeCell ref="M282:Q282"/>
    <mergeCell ref="B277:F277"/>
    <mergeCell ref="M277:Q277"/>
    <mergeCell ref="B278:F278"/>
    <mergeCell ref="M278:Q278"/>
    <mergeCell ref="B279:F279"/>
    <mergeCell ref="M279:Q279"/>
    <mergeCell ref="B274:F274"/>
    <mergeCell ref="M274:Q274"/>
    <mergeCell ref="B275:F275"/>
    <mergeCell ref="M275:Q275"/>
    <mergeCell ref="B276:F276"/>
    <mergeCell ref="M276:Q276"/>
    <mergeCell ref="B271:E271"/>
    <mergeCell ref="M271:P271"/>
    <mergeCell ref="B272:E272"/>
    <mergeCell ref="M272:P272"/>
    <mergeCell ref="B273:E273"/>
    <mergeCell ref="M273:P273"/>
    <mergeCell ref="B267:I267"/>
    <mergeCell ref="M267:T267"/>
    <mergeCell ref="B268:F268"/>
    <mergeCell ref="M268:Q268"/>
    <mergeCell ref="B269:E269"/>
    <mergeCell ref="M269:P269"/>
    <mergeCell ref="B260:I262"/>
    <mergeCell ref="J260:L262"/>
    <mergeCell ref="M260:T262"/>
    <mergeCell ref="U260:W262"/>
    <mergeCell ref="B264:I266"/>
    <mergeCell ref="M264:T266"/>
    <mergeCell ref="U256:W257"/>
    <mergeCell ref="B257:F257"/>
    <mergeCell ref="M257:Q257"/>
    <mergeCell ref="B258:F258"/>
    <mergeCell ref="J258:L259"/>
    <mergeCell ref="M258:Q258"/>
    <mergeCell ref="U258:W259"/>
    <mergeCell ref="B259:F259"/>
    <mergeCell ref="M259:Q259"/>
    <mergeCell ref="B254:I254"/>
    <mergeCell ref="M254:T254"/>
    <mergeCell ref="B255:F255"/>
    <mergeCell ref="M255:Q255"/>
    <mergeCell ref="B256:F256"/>
    <mergeCell ref="J256:L257"/>
    <mergeCell ref="M256:Q256"/>
    <mergeCell ref="B252:F252"/>
    <mergeCell ref="J252:L253"/>
    <mergeCell ref="M252:Q252"/>
    <mergeCell ref="U252:W253"/>
    <mergeCell ref="B253:F253"/>
    <mergeCell ref="M253:Q253"/>
    <mergeCell ref="B249:F249"/>
    <mergeCell ref="M249:Q249"/>
    <mergeCell ref="B250:F250"/>
    <mergeCell ref="J250:L251"/>
    <mergeCell ref="M250:Q250"/>
    <mergeCell ref="U250:W251"/>
    <mergeCell ref="B251:F251"/>
    <mergeCell ref="M251:Q251"/>
    <mergeCell ref="B246:F246"/>
    <mergeCell ref="M246:Q246"/>
    <mergeCell ref="B247:F247"/>
    <mergeCell ref="M247:Q247"/>
    <mergeCell ref="B248:F248"/>
    <mergeCell ref="M248:Q248"/>
    <mergeCell ref="B243:F243"/>
    <mergeCell ref="M243:Q243"/>
    <mergeCell ref="B244:F244"/>
    <mergeCell ref="M244:Q244"/>
    <mergeCell ref="B245:F245"/>
    <mergeCell ref="M245:Q245"/>
    <mergeCell ref="B240:I240"/>
    <mergeCell ref="M240:T240"/>
    <mergeCell ref="B241:F241"/>
    <mergeCell ref="M241:Q241"/>
    <mergeCell ref="B242:F242"/>
    <mergeCell ref="M242:Q242"/>
    <mergeCell ref="B238:F238"/>
    <mergeCell ref="J238:L239"/>
    <mergeCell ref="M238:Q238"/>
    <mergeCell ref="U238:W239"/>
    <mergeCell ref="B239:F239"/>
    <mergeCell ref="M239:Q239"/>
    <mergeCell ref="B236:F236"/>
    <mergeCell ref="J236:L237"/>
    <mergeCell ref="M236:Q236"/>
    <mergeCell ref="U236:W237"/>
    <mergeCell ref="B237:F237"/>
    <mergeCell ref="M237:Q237"/>
    <mergeCell ref="B227:F227"/>
    <mergeCell ref="M227:Q227"/>
    <mergeCell ref="B234:F234"/>
    <mergeCell ref="M234:Q234"/>
    <mergeCell ref="B235:F235"/>
    <mergeCell ref="M235:Q235"/>
    <mergeCell ref="B224:F224"/>
    <mergeCell ref="M224:Q224"/>
    <mergeCell ref="B225:F225"/>
    <mergeCell ref="M225:Q225"/>
    <mergeCell ref="B226:F226"/>
    <mergeCell ref="M226:Q226"/>
    <mergeCell ref="B221:I221"/>
    <mergeCell ref="M221:T221"/>
    <mergeCell ref="B222:F222"/>
    <mergeCell ref="M222:Q222"/>
    <mergeCell ref="B223:F223"/>
    <mergeCell ref="M223:Q223"/>
    <mergeCell ref="U217:W218"/>
    <mergeCell ref="B218:F218"/>
    <mergeCell ref="M218:Q218"/>
    <mergeCell ref="B219:F219"/>
    <mergeCell ref="J219:L220"/>
    <mergeCell ref="M219:Q219"/>
    <mergeCell ref="U219:W220"/>
    <mergeCell ref="B220:F220"/>
    <mergeCell ref="M220:Q220"/>
    <mergeCell ref="B214:F214"/>
    <mergeCell ref="M214:Q214"/>
    <mergeCell ref="B215:F215"/>
    <mergeCell ref="M215:Q215"/>
    <mergeCell ref="B217:F217"/>
    <mergeCell ref="J217:L218"/>
    <mergeCell ref="M217:Q217"/>
    <mergeCell ref="B210:F210"/>
    <mergeCell ref="M210:Q210"/>
    <mergeCell ref="B211:F211"/>
    <mergeCell ref="M211:Q211"/>
    <mergeCell ref="B212:F212"/>
    <mergeCell ref="M212:Q212"/>
    <mergeCell ref="B207:I207"/>
    <mergeCell ref="M207:T207"/>
    <mergeCell ref="B208:F208"/>
    <mergeCell ref="M208:Q208"/>
    <mergeCell ref="B209:F209"/>
    <mergeCell ref="M209:Q209"/>
    <mergeCell ref="J203:L204"/>
    <mergeCell ref="U203:W204"/>
    <mergeCell ref="B205:F205"/>
    <mergeCell ref="J205:L206"/>
    <mergeCell ref="M205:Q205"/>
    <mergeCell ref="U205:W206"/>
    <mergeCell ref="B206:F206"/>
    <mergeCell ref="M206:Q206"/>
    <mergeCell ref="B200:F200"/>
    <mergeCell ref="M200:Q200"/>
    <mergeCell ref="B201:F201"/>
    <mergeCell ref="M201:Q201"/>
    <mergeCell ref="B202:F202"/>
    <mergeCell ref="M202:Q202"/>
    <mergeCell ref="B197:F197"/>
    <mergeCell ref="M197:Q197"/>
    <mergeCell ref="B198:F198"/>
    <mergeCell ref="M198:Q198"/>
    <mergeCell ref="B199:F199"/>
    <mergeCell ref="M199:Q199"/>
    <mergeCell ref="B194:F194"/>
    <mergeCell ref="M194:Q194"/>
    <mergeCell ref="B195:F195"/>
    <mergeCell ref="M195:Q195"/>
    <mergeCell ref="B196:F196"/>
    <mergeCell ref="M196:Q196"/>
    <mergeCell ref="B191:F191"/>
    <mergeCell ref="J191:L192"/>
    <mergeCell ref="M191:Q191"/>
    <mergeCell ref="U191:W192"/>
    <mergeCell ref="B193:I193"/>
    <mergeCell ref="M193:T193"/>
    <mergeCell ref="B185:F185"/>
    <mergeCell ref="M185:Q185"/>
    <mergeCell ref="B189:F189"/>
    <mergeCell ref="J189:L190"/>
    <mergeCell ref="M189:Q189"/>
    <mergeCell ref="U189:W190"/>
    <mergeCell ref="B190:F190"/>
    <mergeCell ref="M190:Q190"/>
    <mergeCell ref="B182:F182"/>
    <mergeCell ref="M182:Q182"/>
    <mergeCell ref="B183:F183"/>
    <mergeCell ref="M183:Q183"/>
    <mergeCell ref="B184:F184"/>
    <mergeCell ref="M184:Q184"/>
    <mergeCell ref="B179:I179"/>
    <mergeCell ref="M179:T179"/>
    <mergeCell ref="B180:F180"/>
    <mergeCell ref="M180:Q180"/>
    <mergeCell ref="B181:F181"/>
    <mergeCell ref="M181:Q181"/>
    <mergeCell ref="U175:W176"/>
    <mergeCell ref="B176:F176"/>
    <mergeCell ref="M176:Q176"/>
    <mergeCell ref="B177:F177"/>
    <mergeCell ref="J177:L178"/>
    <mergeCell ref="M177:Q177"/>
    <mergeCell ref="U177:W178"/>
    <mergeCell ref="B178:F178"/>
    <mergeCell ref="M178:Q178"/>
    <mergeCell ref="B173:F173"/>
    <mergeCell ref="M173:Q173"/>
    <mergeCell ref="B174:F174"/>
    <mergeCell ref="M174:Q174"/>
    <mergeCell ref="B175:F175"/>
    <mergeCell ref="J175:L176"/>
    <mergeCell ref="M175:Q175"/>
    <mergeCell ref="B170:F170"/>
    <mergeCell ref="M170:Q170"/>
    <mergeCell ref="B171:F171"/>
    <mergeCell ref="M171:Q171"/>
    <mergeCell ref="B172:F172"/>
    <mergeCell ref="M172:Q172"/>
    <mergeCell ref="B167:F167"/>
    <mergeCell ref="M167:Q167"/>
    <mergeCell ref="B168:F168"/>
    <mergeCell ref="M168:Q168"/>
    <mergeCell ref="B169:F169"/>
    <mergeCell ref="M169:Q169"/>
    <mergeCell ref="B164:F164"/>
    <mergeCell ref="M164:Q164"/>
    <mergeCell ref="B165:F165"/>
    <mergeCell ref="M165:Q165"/>
    <mergeCell ref="B166:F166"/>
    <mergeCell ref="M166:Q166"/>
    <mergeCell ref="B161:E161"/>
    <mergeCell ref="M161:P161"/>
    <mergeCell ref="B162:E162"/>
    <mergeCell ref="M162:P162"/>
    <mergeCell ref="B163:E163"/>
    <mergeCell ref="M163:P163"/>
    <mergeCell ref="B157:I157"/>
    <mergeCell ref="M157:T157"/>
    <mergeCell ref="B158:F158"/>
    <mergeCell ref="M158:Q158"/>
    <mergeCell ref="B159:E159"/>
    <mergeCell ref="M159:P159"/>
    <mergeCell ref="B151:I153"/>
    <mergeCell ref="J151:L153"/>
    <mergeCell ref="M151:T153"/>
    <mergeCell ref="U151:W153"/>
    <mergeCell ref="B154:I156"/>
    <mergeCell ref="M154:T156"/>
    <mergeCell ref="U147:W148"/>
    <mergeCell ref="B148:F148"/>
    <mergeCell ref="M148:Q148"/>
    <mergeCell ref="B149:F149"/>
    <mergeCell ref="J149:L150"/>
    <mergeCell ref="M149:Q149"/>
    <mergeCell ref="U149:W150"/>
    <mergeCell ref="B150:F150"/>
    <mergeCell ref="M150:Q150"/>
    <mergeCell ref="B145:I145"/>
    <mergeCell ref="M145:T145"/>
    <mergeCell ref="B146:F146"/>
    <mergeCell ref="M146:Q146"/>
    <mergeCell ref="B147:F147"/>
    <mergeCell ref="J147:L148"/>
    <mergeCell ref="M147:Q147"/>
    <mergeCell ref="B143:F143"/>
    <mergeCell ref="J143:L144"/>
    <mergeCell ref="M143:Q143"/>
    <mergeCell ref="U143:W144"/>
    <mergeCell ref="B144:F144"/>
    <mergeCell ref="M144:Q144"/>
    <mergeCell ref="B140:F140"/>
    <mergeCell ref="M140:Q140"/>
    <mergeCell ref="B141:F141"/>
    <mergeCell ref="J141:L142"/>
    <mergeCell ref="M141:Q141"/>
    <mergeCell ref="U141:W142"/>
    <mergeCell ref="B142:F142"/>
    <mergeCell ref="M142:Q142"/>
    <mergeCell ref="B137:F137"/>
    <mergeCell ref="M137:Q137"/>
    <mergeCell ref="B138:F138"/>
    <mergeCell ref="M138:Q138"/>
    <mergeCell ref="B139:F139"/>
    <mergeCell ref="M139:Q139"/>
    <mergeCell ref="B134:F134"/>
    <mergeCell ref="M134:Q134"/>
    <mergeCell ref="B135:F135"/>
    <mergeCell ref="M135:Q135"/>
    <mergeCell ref="B136:F136"/>
    <mergeCell ref="M136:Q136"/>
    <mergeCell ref="B131:I131"/>
    <mergeCell ref="M131:T131"/>
    <mergeCell ref="B132:F132"/>
    <mergeCell ref="M132:Q132"/>
    <mergeCell ref="B133:F133"/>
    <mergeCell ref="M133:Q133"/>
    <mergeCell ref="B129:F129"/>
    <mergeCell ref="J129:L130"/>
    <mergeCell ref="M129:Q129"/>
    <mergeCell ref="U129:W130"/>
    <mergeCell ref="B130:F130"/>
    <mergeCell ref="M130:Q130"/>
    <mergeCell ref="B127:F127"/>
    <mergeCell ref="J127:L128"/>
    <mergeCell ref="M127:Q127"/>
    <mergeCell ref="U127:W128"/>
    <mergeCell ref="B128:F128"/>
    <mergeCell ref="M128:Q128"/>
    <mergeCell ref="B118:F118"/>
    <mergeCell ref="M118:Q118"/>
    <mergeCell ref="B125:F125"/>
    <mergeCell ref="M125:Q125"/>
    <mergeCell ref="B126:F126"/>
    <mergeCell ref="M126:Q126"/>
    <mergeCell ref="B115:F115"/>
    <mergeCell ref="M115:Q115"/>
    <mergeCell ref="B116:F116"/>
    <mergeCell ref="M116:Q116"/>
    <mergeCell ref="B117:F117"/>
    <mergeCell ref="M117:Q117"/>
    <mergeCell ref="B112:I112"/>
    <mergeCell ref="M112:T112"/>
    <mergeCell ref="B113:F113"/>
    <mergeCell ref="M113:Q113"/>
    <mergeCell ref="B114:F114"/>
    <mergeCell ref="M114:Q114"/>
    <mergeCell ref="U108:W109"/>
    <mergeCell ref="B109:F109"/>
    <mergeCell ref="M109:Q109"/>
    <mergeCell ref="B110:F110"/>
    <mergeCell ref="J110:L111"/>
    <mergeCell ref="M110:Q110"/>
    <mergeCell ref="U110:W111"/>
    <mergeCell ref="B111:F111"/>
    <mergeCell ref="M111:Q111"/>
    <mergeCell ref="B105:F105"/>
    <mergeCell ref="M105:Q105"/>
    <mergeCell ref="B106:F106"/>
    <mergeCell ref="M106:Q106"/>
    <mergeCell ref="B108:F108"/>
    <mergeCell ref="J108:L109"/>
    <mergeCell ref="M108:Q108"/>
    <mergeCell ref="B101:F101"/>
    <mergeCell ref="M101:Q101"/>
    <mergeCell ref="B102:F102"/>
    <mergeCell ref="M102:Q102"/>
    <mergeCell ref="B103:F103"/>
    <mergeCell ref="M103:Q103"/>
    <mergeCell ref="B98:I98"/>
    <mergeCell ref="M98:T98"/>
    <mergeCell ref="B99:F99"/>
    <mergeCell ref="M99:Q99"/>
    <mergeCell ref="B100:F100"/>
    <mergeCell ref="M100:Q100"/>
    <mergeCell ref="J94:L95"/>
    <mergeCell ref="U94:W95"/>
    <mergeCell ref="B96:F96"/>
    <mergeCell ref="J96:L97"/>
    <mergeCell ref="M96:Q96"/>
    <mergeCell ref="U96:W97"/>
    <mergeCell ref="B97:F97"/>
    <mergeCell ref="M97:Q97"/>
    <mergeCell ref="B91:F91"/>
    <mergeCell ref="M91:Q91"/>
    <mergeCell ref="B92:F92"/>
    <mergeCell ref="M92:Q92"/>
    <mergeCell ref="B93:F93"/>
    <mergeCell ref="M93:Q93"/>
    <mergeCell ref="B88:F88"/>
    <mergeCell ref="M88:Q88"/>
    <mergeCell ref="B89:F89"/>
    <mergeCell ref="M89:Q89"/>
    <mergeCell ref="B90:F90"/>
    <mergeCell ref="M90:Q90"/>
    <mergeCell ref="B85:F85"/>
    <mergeCell ref="M85:Q85"/>
    <mergeCell ref="B86:F86"/>
    <mergeCell ref="M86:Q86"/>
    <mergeCell ref="B87:F87"/>
    <mergeCell ref="M87:Q87"/>
    <mergeCell ref="B82:F82"/>
    <mergeCell ref="J82:L83"/>
    <mergeCell ref="M82:Q82"/>
    <mergeCell ref="U82:W83"/>
    <mergeCell ref="B84:I84"/>
    <mergeCell ref="M84:T84"/>
    <mergeCell ref="B76:F76"/>
    <mergeCell ref="M76:Q76"/>
    <mergeCell ref="B80:F80"/>
    <mergeCell ref="J80:L81"/>
    <mergeCell ref="M80:Q80"/>
    <mergeCell ref="U80:W81"/>
    <mergeCell ref="B81:F81"/>
    <mergeCell ref="M81:Q81"/>
    <mergeCell ref="B73:F73"/>
    <mergeCell ref="M73:Q73"/>
    <mergeCell ref="B74:F74"/>
    <mergeCell ref="M74:Q74"/>
    <mergeCell ref="B75:F75"/>
    <mergeCell ref="M75:Q75"/>
    <mergeCell ref="B70:I70"/>
    <mergeCell ref="M70:T70"/>
    <mergeCell ref="B71:F71"/>
    <mergeCell ref="M71:Q71"/>
    <mergeCell ref="B72:F72"/>
    <mergeCell ref="M72:Q72"/>
    <mergeCell ref="B68:F68"/>
    <mergeCell ref="J68:L69"/>
    <mergeCell ref="M68:Q68"/>
    <mergeCell ref="U68:W69"/>
    <mergeCell ref="B69:F69"/>
    <mergeCell ref="M69:Q69"/>
    <mergeCell ref="B65:F65"/>
    <mergeCell ref="M65:Q65"/>
    <mergeCell ref="B66:F66"/>
    <mergeCell ref="J66:L67"/>
    <mergeCell ref="M66:Q66"/>
    <mergeCell ref="U66:W67"/>
    <mergeCell ref="B67:F67"/>
    <mergeCell ref="M67:Q67"/>
    <mergeCell ref="B62:F62"/>
    <mergeCell ref="M62:Q62"/>
    <mergeCell ref="B63:F63"/>
    <mergeCell ref="M63:Q63"/>
    <mergeCell ref="B64:F64"/>
    <mergeCell ref="M64:Q64"/>
    <mergeCell ref="B59:F59"/>
    <mergeCell ref="M59:Q59"/>
    <mergeCell ref="B60:F60"/>
    <mergeCell ref="M60:Q60"/>
    <mergeCell ref="B61:F61"/>
    <mergeCell ref="M61:Q61"/>
    <mergeCell ref="B56:F56"/>
    <mergeCell ref="M56:Q56"/>
    <mergeCell ref="B57:F57"/>
    <mergeCell ref="M57:Q57"/>
    <mergeCell ref="B58:F58"/>
    <mergeCell ref="M58:Q58"/>
    <mergeCell ref="B53:E53"/>
    <mergeCell ref="M53:P53"/>
    <mergeCell ref="B54:E54"/>
    <mergeCell ref="M54:P54"/>
    <mergeCell ref="B55:F55"/>
    <mergeCell ref="M55:Q55"/>
    <mergeCell ref="B49:F49"/>
    <mergeCell ref="M49:Q49"/>
    <mergeCell ref="B50:E50"/>
    <mergeCell ref="M50:P50"/>
    <mergeCell ref="B52:E52"/>
    <mergeCell ref="M52:P52"/>
    <mergeCell ref="K40:Q40"/>
    <mergeCell ref="T40:Z40"/>
    <mergeCell ref="B45:I47"/>
    <mergeCell ref="M45:T47"/>
    <mergeCell ref="B48:I48"/>
    <mergeCell ref="M48:T48"/>
    <mergeCell ref="K37:Q37"/>
    <mergeCell ref="T37:Z37"/>
    <mergeCell ref="K38:Q38"/>
    <mergeCell ref="T38:Z38"/>
    <mergeCell ref="K39:Q39"/>
    <mergeCell ref="T39:Z39"/>
    <mergeCell ref="B34:H34"/>
    <mergeCell ref="K34:Q34"/>
    <mergeCell ref="T34:Z34"/>
    <mergeCell ref="B35:I36"/>
    <mergeCell ref="K35:Q35"/>
    <mergeCell ref="T35:Z35"/>
    <mergeCell ref="K36:Q36"/>
    <mergeCell ref="T36:Z36"/>
    <mergeCell ref="B32:H32"/>
    <mergeCell ref="K32:Q32"/>
    <mergeCell ref="T32:Z32"/>
    <mergeCell ref="B33:H33"/>
    <mergeCell ref="K33:Q33"/>
    <mergeCell ref="T33:Z33"/>
    <mergeCell ref="B30:H30"/>
    <mergeCell ref="K30:Q30"/>
    <mergeCell ref="T30:Z30"/>
    <mergeCell ref="B31:H31"/>
    <mergeCell ref="K31:Q31"/>
    <mergeCell ref="T31:Z31"/>
    <mergeCell ref="B28:H28"/>
    <mergeCell ref="K28:Q28"/>
    <mergeCell ref="T28:Z28"/>
    <mergeCell ref="B29:H29"/>
    <mergeCell ref="K29:Q29"/>
    <mergeCell ref="T29:Z29"/>
    <mergeCell ref="B26:H26"/>
    <mergeCell ref="K26:Q26"/>
    <mergeCell ref="T26:Z26"/>
    <mergeCell ref="B27:H27"/>
    <mergeCell ref="K27:Q27"/>
    <mergeCell ref="T27:Z27"/>
    <mergeCell ref="B24:H24"/>
    <mergeCell ref="K24:Q24"/>
    <mergeCell ref="T24:Z24"/>
    <mergeCell ref="B25:H25"/>
    <mergeCell ref="K25:Q25"/>
    <mergeCell ref="T25:Z25"/>
    <mergeCell ref="B21:H21"/>
    <mergeCell ref="K21:Q21"/>
    <mergeCell ref="T21:Z21"/>
    <mergeCell ref="B22:H22"/>
    <mergeCell ref="K22:R23"/>
    <mergeCell ref="T22:AA23"/>
    <mergeCell ref="B23:H23"/>
    <mergeCell ref="B19:H19"/>
    <mergeCell ref="K19:Q19"/>
    <mergeCell ref="T19:Z19"/>
    <mergeCell ref="B20:H20"/>
    <mergeCell ref="K20:Q20"/>
    <mergeCell ref="T20:Z20"/>
    <mergeCell ref="B17:H17"/>
    <mergeCell ref="K17:Q17"/>
    <mergeCell ref="T17:Z17"/>
    <mergeCell ref="B18:H18"/>
    <mergeCell ref="K18:Q18"/>
    <mergeCell ref="T18:Z18"/>
    <mergeCell ref="B15:H15"/>
    <mergeCell ref="K15:Q15"/>
    <mergeCell ref="T15:Z15"/>
    <mergeCell ref="B16:H16"/>
    <mergeCell ref="K16:Q16"/>
    <mergeCell ref="T16:Z16"/>
    <mergeCell ref="B13:H13"/>
    <mergeCell ref="K13:Q13"/>
    <mergeCell ref="T13:Z13"/>
    <mergeCell ref="B14:H14"/>
    <mergeCell ref="K14:Q14"/>
    <mergeCell ref="T14:Z14"/>
    <mergeCell ref="B11:H11"/>
    <mergeCell ref="K11:Q11"/>
    <mergeCell ref="T11:Z11"/>
    <mergeCell ref="B12:H12"/>
    <mergeCell ref="K12:Q12"/>
    <mergeCell ref="T12:Z12"/>
    <mergeCell ref="B9:H9"/>
    <mergeCell ref="K9:Q9"/>
    <mergeCell ref="T9:Z9"/>
    <mergeCell ref="B10:H10"/>
    <mergeCell ref="K10:Q10"/>
    <mergeCell ref="T10:Z10"/>
    <mergeCell ref="B8:H8"/>
    <mergeCell ref="K8:Q8"/>
    <mergeCell ref="T8:Z8"/>
    <mergeCell ref="B5:H5"/>
    <mergeCell ref="K5:Q5"/>
    <mergeCell ref="T5:Z5"/>
    <mergeCell ref="B6:H6"/>
    <mergeCell ref="K6:Q6"/>
    <mergeCell ref="T6:Z6"/>
    <mergeCell ref="B2:I3"/>
    <mergeCell ref="K2:R3"/>
    <mergeCell ref="T2:AA3"/>
    <mergeCell ref="B4:H4"/>
    <mergeCell ref="K4:Q4"/>
    <mergeCell ref="T4:Z4"/>
    <mergeCell ref="B7:H7"/>
    <mergeCell ref="K7:Q7"/>
    <mergeCell ref="T7:Z7"/>
  </mergeCells>
  <pageMargins left="0.7" right="0.7" top="0.75" bottom="0.75" header="0.3" footer="0.3"/>
  <ignoredErrors>
    <ignoredError sqref="H74" formula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1920-201F-42AE-9A83-E4D1469C69E6}">
  <dimension ref="B1:AA262"/>
  <sheetViews>
    <sheetView topLeftCell="A9" workbookViewId="0">
      <selection activeCell="B13" sqref="B13:H13"/>
    </sheetView>
  </sheetViews>
  <sheetFormatPr baseColWidth="10" defaultColWidth="11.44140625" defaultRowHeight="13.8"/>
  <cols>
    <col min="1" max="1" width="3.109375" style="93" customWidth="1"/>
    <col min="2" max="16384" width="11.44140625" style="93"/>
  </cols>
  <sheetData>
    <row r="1" spans="2:27" ht="14.4" thickBot="1"/>
    <row r="2" spans="2:27">
      <c r="B2" s="421" t="s">
        <v>24</v>
      </c>
      <c r="C2" s="422"/>
      <c r="D2" s="422"/>
      <c r="E2" s="422"/>
      <c r="F2" s="422"/>
      <c r="G2" s="422"/>
      <c r="H2" s="422"/>
      <c r="I2" s="423"/>
      <c r="K2" s="427" t="s">
        <v>25</v>
      </c>
      <c r="L2" s="428"/>
      <c r="M2" s="428"/>
      <c r="N2" s="428"/>
      <c r="O2" s="428"/>
      <c r="P2" s="428"/>
      <c r="Q2" s="428"/>
      <c r="R2" s="429"/>
      <c r="T2" s="433" t="s">
        <v>27</v>
      </c>
      <c r="U2" s="434"/>
      <c r="V2" s="434"/>
      <c r="W2" s="434"/>
      <c r="X2" s="434"/>
      <c r="Y2" s="434"/>
      <c r="Z2" s="434"/>
      <c r="AA2" s="435"/>
    </row>
    <row r="3" spans="2:27" ht="14.4" thickBot="1">
      <c r="B3" s="424"/>
      <c r="C3" s="425"/>
      <c r="D3" s="425"/>
      <c r="E3" s="425"/>
      <c r="F3" s="425"/>
      <c r="G3" s="425"/>
      <c r="H3" s="425"/>
      <c r="I3" s="426"/>
      <c r="K3" s="430"/>
      <c r="L3" s="431"/>
      <c r="M3" s="431"/>
      <c r="N3" s="431"/>
      <c r="O3" s="431"/>
      <c r="P3" s="431"/>
      <c r="Q3" s="431"/>
      <c r="R3" s="432"/>
      <c r="T3" s="436"/>
      <c r="U3" s="437"/>
      <c r="V3" s="437"/>
      <c r="W3" s="437"/>
      <c r="X3" s="437"/>
      <c r="Y3" s="437"/>
      <c r="Z3" s="437"/>
      <c r="AA3" s="438"/>
    </row>
    <row r="4" spans="2:27">
      <c r="B4" s="439" t="s">
        <v>13</v>
      </c>
      <c r="C4" s="440"/>
      <c r="D4" s="440"/>
      <c r="E4" s="440"/>
      <c r="F4" s="440"/>
      <c r="G4" s="440"/>
      <c r="H4" s="440"/>
      <c r="I4" s="94">
        <v>160000</v>
      </c>
      <c r="K4" s="439" t="s">
        <v>31</v>
      </c>
      <c r="L4" s="440"/>
      <c r="M4" s="440"/>
      <c r="N4" s="440"/>
      <c r="O4" s="440"/>
      <c r="P4" s="440"/>
      <c r="Q4" s="440"/>
      <c r="R4" s="95">
        <v>300000</v>
      </c>
      <c r="T4" s="441" t="s">
        <v>29</v>
      </c>
      <c r="U4" s="442"/>
      <c r="V4" s="442"/>
      <c r="W4" s="442"/>
      <c r="X4" s="442"/>
      <c r="Y4" s="442"/>
      <c r="Z4" s="442"/>
      <c r="AA4" s="95">
        <v>580000</v>
      </c>
    </row>
    <row r="5" spans="2:27">
      <c r="B5" s="443" t="s">
        <v>261</v>
      </c>
      <c r="C5" s="444"/>
      <c r="D5" s="444"/>
      <c r="E5" s="444"/>
      <c r="F5" s="444"/>
      <c r="G5" s="444"/>
      <c r="H5" s="444"/>
      <c r="I5" s="95">
        <v>165000</v>
      </c>
      <c r="K5" s="443" t="s">
        <v>32</v>
      </c>
      <c r="L5" s="444"/>
      <c r="M5" s="444"/>
      <c r="N5" s="444"/>
      <c r="O5" s="444"/>
      <c r="P5" s="444"/>
      <c r="Q5" s="444"/>
      <c r="R5" s="95">
        <v>65000</v>
      </c>
      <c r="T5" s="445" t="s">
        <v>65</v>
      </c>
      <c r="U5" s="446"/>
      <c r="V5" s="446"/>
      <c r="W5" s="446"/>
      <c r="X5" s="446"/>
      <c r="Y5" s="446"/>
      <c r="Z5" s="446"/>
      <c r="AA5" s="95">
        <v>1100000</v>
      </c>
    </row>
    <row r="6" spans="2:27">
      <c r="B6" s="443" t="s">
        <v>14</v>
      </c>
      <c r="C6" s="444"/>
      <c r="D6" s="444"/>
      <c r="E6" s="444"/>
      <c r="F6" s="444"/>
      <c r="G6" s="444"/>
      <c r="H6" s="444"/>
      <c r="I6" s="95">
        <v>140000</v>
      </c>
      <c r="K6" s="443" t="s">
        <v>11</v>
      </c>
      <c r="L6" s="444"/>
      <c r="M6" s="444"/>
      <c r="N6" s="444"/>
      <c r="O6" s="444"/>
      <c r="P6" s="444"/>
      <c r="Q6" s="444"/>
      <c r="R6" s="95">
        <v>250000</v>
      </c>
      <c r="T6" s="445" t="s">
        <v>30</v>
      </c>
      <c r="U6" s="446"/>
      <c r="V6" s="446"/>
      <c r="W6" s="446"/>
      <c r="X6" s="446"/>
      <c r="Y6" s="446"/>
      <c r="Z6" s="446"/>
      <c r="AA6" s="95">
        <v>700000</v>
      </c>
    </row>
    <row r="7" spans="2:27">
      <c r="B7" s="443" t="s">
        <v>23</v>
      </c>
      <c r="C7" s="444"/>
      <c r="D7" s="444"/>
      <c r="E7" s="444"/>
      <c r="F7" s="444"/>
      <c r="G7" s="444"/>
      <c r="H7" s="444"/>
      <c r="I7" s="95">
        <v>150000</v>
      </c>
      <c r="K7" s="443" t="s">
        <v>327</v>
      </c>
      <c r="L7" s="444"/>
      <c r="M7" s="444"/>
      <c r="N7" s="444"/>
      <c r="O7" s="444"/>
      <c r="P7" s="444"/>
      <c r="Q7" s="444"/>
      <c r="R7" s="95">
        <v>30000</v>
      </c>
      <c r="T7" s="445" t="s">
        <v>62</v>
      </c>
      <c r="U7" s="446"/>
      <c r="V7" s="446"/>
      <c r="W7" s="446"/>
      <c r="X7" s="446"/>
      <c r="Y7" s="446"/>
      <c r="Z7" s="446"/>
      <c r="AA7" s="95">
        <v>590000</v>
      </c>
    </row>
    <row r="8" spans="2:27">
      <c r="B8" s="443" t="s">
        <v>18</v>
      </c>
      <c r="C8" s="444"/>
      <c r="D8" s="444"/>
      <c r="E8" s="444"/>
      <c r="F8" s="444"/>
      <c r="G8" s="444"/>
      <c r="H8" s="444"/>
      <c r="I8" s="95">
        <v>12800</v>
      </c>
      <c r="K8" s="443" t="s">
        <v>100</v>
      </c>
      <c r="L8" s="444"/>
      <c r="M8" s="444"/>
      <c r="N8" s="444"/>
      <c r="O8" s="444"/>
      <c r="P8" s="444"/>
      <c r="Q8" s="444"/>
      <c r="R8" s="95">
        <v>30000</v>
      </c>
      <c r="T8" s="445" t="s">
        <v>63</v>
      </c>
      <c r="U8" s="446"/>
      <c r="V8" s="446"/>
      <c r="W8" s="446"/>
      <c r="X8" s="446"/>
      <c r="Y8" s="446"/>
      <c r="Z8" s="446"/>
      <c r="AA8" s="95">
        <v>520000</v>
      </c>
    </row>
    <row r="9" spans="2:27">
      <c r="B9" s="443" t="s">
        <v>19</v>
      </c>
      <c r="C9" s="444"/>
      <c r="D9" s="444"/>
      <c r="E9" s="444"/>
      <c r="F9" s="444"/>
      <c r="G9" s="444"/>
      <c r="H9" s="444"/>
      <c r="I9" s="95">
        <v>11100</v>
      </c>
      <c r="K9" s="443" t="s">
        <v>328</v>
      </c>
      <c r="L9" s="444"/>
      <c r="M9" s="444"/>
      <c r="N9" s="444"/>
      <c r="O9" s="444"/>
      <c r="P9" s="444"/>
      <c r="Q9" s="444"/>
      <c r="R9" s="95">
        <v>50000</v>
      </c>
      <c r="T9" s="445" t="s">
        <v>64</v>
      </c>
      <c r="U9" s="446"/>
      <c r="V9" s="446"/>
      <c r="W9" s="446"/>
      <c r="X9" s="446"/>
      <c r="Y9" s="446"/>
      <c r="Z9" s="446"/>
      <c r="AA9" s="95">
        <v>480000</v>
      </c>
    </row>
    <row r="10" spans="2:27">
      <c r="B10" s="443" t="s">
        <v>259</v>
      </c>
      <c r="C10" s="444"/>
      <c r="D10" s="444"/>
      <c r="E10" s="444"/>
      <c r="F10" s="444"/>
      <c r="G10" s="444"/>
      <c r="H10" s="444"/>
      <c r="I10" s="95">
        <v>58</v>
      </c>
      <c r="K10" s="443" t="s">
        <v>325</v>
      </c>
      <c r="L10" s="444"/>
      <c r="M10" s="444"/>
      <c r="N10" s="444"/>
      <c r="O10" s="444"/>
      <c r="P10" s="444"/>
      <c r="Q10" s="444"/>
      <c r="R10" s="95">
        <v>15000</v>
      </c>
      <c r="T10" s="443" t="s">
        <v>66</v>
      </c>
      <c r="U10" s="444"/>
      <c r="V10" s="444"/>
      <c r="W10" s="444"/>
      <c r="X10" s="444"/>
      <c r="Y10" s="444"/>
      <c r="Z10" s="444"/>
      <c r="AA10" s="95">
        <v>360000</v>
      </c>
    </row>
    <row r="11" spans="2:27">
      <c r="B11" s="443" t="s">
        <v>260</v>
      </c>
      <c r="C11" s="444"/>
      <c r="D11" s="444"/>
      <c r="E11" s="444"/>
      <c r="F11" s="444"/>
      <c r="G11" s="444"/>
      <c r="H11" s="444"/>
      <c r="I11" s="95">
        <v>35</v>
      </c>
      <c r="K11" s="443" t="s">
        <v>326</v>
      </c>
      <c r="L11" s="444"/>
      <c r="M11" s="444"/>
      <c r="N11" s="444"/>
      <c r="O11" s="444"/>
      <c r="P11" s="444"/>
      <c r="Q11" s="444"/>
      <c r="R11" s="95">
        <v>15000</v>
      </c>
      <c r="T11" s="443" t="s">
        <v>33</v>
      </c>
      <c r="U11" s="444"/>
      <c r="V11" s="444"/>
      <c r="W11" s="444"/>
      <c r="X11" s="444"/>
      <c r="Y11" s="444"/>
      <c r="Z11" s="444"/>
      <c r="AA11" s="95"/>
    </row>
    <row r="12" spans="2:27">
      <c r="B12" s="443" t="s">
        <v>218</v>
      </c>
      <c r="C12" s="444"/>
      <c r="D12" s="444"/>
      <c r="E12" s="444"/>
      <c r="F12" s="444"/>
      <c r="G12" s="444"/>
      <c r="H12" s="444"/>
      <c r="I12" s="95">
        <v>1250</v>
      </c>
      <c r="K12" s="443" t="s">
        <v>276</v>
      </c>
      <c r="L12" s="444"/>
      <c r="M12" s="444"/>
      <c r="N12" s="444"/>
      <c r="O12" s="444"/>
      <c r="P12" s="444"/>
      <c r="Q12" s="444"/>
      <c r="R12" s="95">
        <v>75000</v>
      </c>
      <c r="T12" s="443" t="s">
        <v>34</v>
      </c>
      <c r="U12" s="444"/>
      <c r="V12" s="444"/>
      <c r="W12" s="444"/>
      <c r="X12" s="444"/>
      <c r="Y12" s="444"/>
      <c r="Z12" s="444"/>
      <c r="AA12" s="95"/>
    </row>
    <row r="13" spans="2:27">
      <c r="B13" s="443" t="s">
        <v>219</v>
      </c>
      <c r="C13" s="444"/>
      <c r="D13" s="444"/>
      <c r="E13" s="444"/>
      <c r="F13" s="444"/>
      <c r="G13" s="444"/>
      <c r="H13" s="444"/>
      <c r="I13" s="95">
        <v>1250</v>
      </c>
      <c r="K13" s="443" t="s">
        <v>277</v>
      </c>
      <c r="L13" s="444"/>
      <c r="M13" s="444"/>
      <c r="N13" s="444"/>
      <c r="O13" s="444"/>
      <c r="P13" s="444"/>
      <c r="Q13" s="444"/>
      <c r="R13" s="95">
        <v>75000</v>
      </c>
      <c r="T13" s="443" t="s">
        <v>35</v>
      </c>
      <c r="U13" s="444"/>
      <c r="V13" s="444"/>
      <c r="W13" s="444"/>
      <c r="X13" s="444"/>
      <c r="Y13" s="444"/>
      <c r="Z13" s="444"/>
      <c r="AA13" s="95"/>
    </row>
    <row r="14" spans="2:27">
      <c r="B14" s="443" t="s">
        <v>220</v>
      </c>
      <c r="C14" s="444"/>
      <c r="D14" s="444"/>
      <c r="E14" s="444"/>
      <c r="F14" s="444"/>
      <c r="G14" s="444"/>
      <c r="H14" s="444"/>
      <c r="I14" s="95">
        <v>750</v>
      </c>
      <c r="K14" s="443" t="s">
        <v>6</v>
      </c>
      <c r="L14" s="444"/>
      <c r="M14" s="444"/>
      <c r="N14" s="444"/>
      <c r="O14" s="444"/>
      <c r="P14" s="444"/>
      <c r="Q14" s="444"/>
      <c r="R14" s="95">
        <v>30000</v>
      </c>
      <c r="T14" s="443" t="s">
        <v>36</v>
      </c>
      <c r="U14" s="444"/>
      <c r="V14" s="444"/>
      <c r="W14" s="444"/>
      <c r="X14" s="444"/>
      <c r="Y14" s="444"/>
      <c r="Z14" s="444"/>
      <c r="AA14" s="95"/>
    </row>
    <row r="15" spans="2:27">
      <c r="B15" s="443" t="s">
        <v>268</v>
      </c>
      <c r="C15" s="444"/>
      <c r="D15" s="444"/>
      <c r="E15" s="444"/>
      <c r="F15" s="444"/>
      <c r="G15" s="444"/>
      <c r="H15" s="444"/>
      <c r="I15" s="95">
        <v>175</v>
      </c>
      <c r="K15" s="443" t="s">
        <v>12</v>
      </c>
      <c r="L15" s="444"/>
      <c r="M15" s="444"/>
      <c r="N15" s="444"/>
      <c r="O15" s="444"/>
      <c r="P15" s="444"/>
      <c r="Q15" s="444"/>
      <c r="R15" s="95">
        <v>12000</v>
      </c>
      <c r="T15" s="445" t="s">
        <v>76</v>
      </c>
      <c r="U15" s="446"/>
      <c r="V15" s="446"/>
      <c r="W15" s="446"/>
      <c r="X15" s="446"/>
      <c r="Y15" s="446"/>
      <c r="Z15" s="446"/>
      <c r="AA15" s="95"/>
    </row>
    <row r="16" spans="2:27">
      <c r="B16" s="443" t="s">
        <v>221</v>
      </c>
      <c r="C16" s="444"/>
      <c r="D16" s="444"/>
      <c r="E16" s="444"/>
      <c r="F16" s="444"/>
      <c r="G16" s="444"/>
      <c r="H16" s="444"/>
      <c r="I16" s="95">
        <v>175</v>
      </c>
      <c r="K16" s="443"/>
      <c r="L16" s="444"/>
      <c r="M16" s="444"/>
      <c r="N16" s="444"/>
      <c r="O16" s="444"/>
      <c r="P16" s="444"/>
      <c r="Q16" s="444"/>
      <c r="R16" s="95"/>
      <c r="T16" s="445" t="s">
        <v>37</v>
      </c>
      <c r="U16" s="446"/>
      <c r="V16" s="446"/>
      <c r="W16" s="446"/>
      <c r="X16" s="446"/>
      <c r="Y16" s="446"/>
      <c r="Z16" s="446"/>
      <c r="AA16" s="95"/>
    </row>
    <row r="17" spans="2:27">
      <c r="B17" s="443" t="s">
        <v>222</v>
      </c>
      <c r="C17" s="444"/>
      <c r="D17" s="444"/>
      <c r="E17" s="444"/>
      <c r="F17" s="444"/>
      <c r="G17" s="444"/>
      <c r="H17" s="444"/>
      <c r="I17" s="95">
        <v>90000</v>
      </c>
      <c r="K17" s="443"/>
      <c r="L17" s="444"/>
      <c r="M17" s="444"/>
      <c r="N17" s="444"/>
      <c r="O17" s="444"/>
      <c r="P17" s="444"/>
      <c r="Q17" s="444"/>
      <c r="R17" s="95"/>
      <c r="T17" s="445" t="s">
        <v>38</v>
      </c>
      <c r="U17" s="446"/>
      <c r="V17" s="446"/>
      <c r="W17" s="446"/>
      <c r="X17" s="446"/>
      <c r="Y17" s="446"/>
      <c r="Z17" s="446"/>
      <c r="AA17" s="95"/>
    </row>
    <row r="18" spans="2:27">
      <c r="B18" s="443" t="s">
        <v>10</v>
      </c>
      <c r="C18" s="444"/>
      <c r="D18" s="444"/>
      <c r="E18" s="444"/>
      <c r="F18" s="444"/>
      <c r="G18" s="444"/>
      <c r="H18" s="444"/>
      <c r="I18" s="95">
        <v>21000</v>
      </c>
      <c r="K18" s="443"/>
      <c r="L18" s="444"/>
      <c r="M18" s="444"/>
      <c r="N18" s="444"/>
      <c r="O18" s="444"/>
      <c r="P18" s="444"/>
      <c r="Q18" s="444"/>
      <c r="R18" s="95"/>
      <c r="T18" s="445" t="s">
        <v>39</v>
      </c>
      <c r="U18" s="446"/>
      <c r="V18" s="446"/>
      <c r="W18" s="446"/>
      <c r="X18" s="446"/>
      <c r="Y18" s="446"/>
      <c r="Z18" s="446"/>
      <c r="AA18" s="95"/>
    </row>
    <row r="19" spans="2:27">
      <c r="B19" s="443" t="s">
        <v>269</v>
      </c>
      <c r="C19" s="444"/>
      <c r="D19" s="444"/>
      <c r="E19" s="444"/>
      <c r="F19" s="444"/>
      <c r="G19" s="444"/>
      <c r="H19" s="444"/>
      <c r="I19" s="95">
        <v>40000</v>
      </c>
      <c r="K19" s="443"/>
      <c r="L19" s="444"/>
      <c r="M19" s="444"/>
      <c r="N19" s="444"/>
      <c r="O19" s="444"/>
      <c r="P19" s="444"/>
      <c r="Q19" s="444"/>
      <c r="R19" s="95"/>
      <c r="T19" s="443" t="s">
        <v>40</v>
      </c>
      <c r="U19" s="444"/>
      <c r="V19" s="444"/>
      <c r="W19" s="444"/>
      <c r="X19" s="444"/>
      <c r="Y19" s="444"/>
      <c r="Z19" s="444"/>
      <c r="AA19" s="95"/>
    </row>
    <row r="20" spans="2:27">
      <c r="B20" s="443" t="s">
        <v>270</v>
      </c>
      <c r="C20" s="444"/>
      <c r="D20" s="444"/>
      <c r="E20" s="444"/>
      <c r="F20" s="444"/>
      <c r="G20" s="444"/>
      <c r="H20" s="444"/>
      <c r="I20" s="95">
        <v>13000</v>
      </c>
      <c r="K20" s="443"/>
      <c r="L20" s="444"/>
      <c r="M20" s="444"/>
      <c r="N20" s="444"/>
      <c r="O20" s="444"/>
      <c r="P20" s="444"/>
      <c r="Q20" s="444"/>
      <c r="R20" s="95"/>
      <c r="T20" s="443"/>
      <c r="U20" s="444"/>
      <c r="V20" s="444"/>
      <c r="W20" s="444"/>
      <c r="X20" s="444"/>
      <c r="Y20" s="444"/>
      <c r="Z20" s="444"/>
      <c r="AA20" s="95"/>
    </row>
    <row r="21" spans="2:27" ht="14.4" thickBot="1">
      <c r="B21" s="443"/>
      <c r="C21" s="444"/>
      <c r="D21" s="444"/>
      <c r="E21" s="444"/>
      <c r="F21" s="444"/>
      <c r="G21" s="444"/>
      <c r="H21" s="444"/>
      <c r="I21" s="95"/>
      <c r="K21" s="447"/>
      <c r="L21" s="448"/>
      <c r="M21" s="448"/>
      <c r="N21" s="448"/>
      <c r="O21" s="448"/>
      <c r="P21" s="448"/>
      <c r="Q21" s="448"/>
      <c r="R21" s="95"/>
      <c r="T21" s="447"/>
      <c r="U21" s="448"/>
      <c r="V21" s="448"/>
      <c r="W21" s="448"/>
      <c r="X21" s="448"/>
      <c r="Y21" s="448"/>
      <c r="Z21" s="448"/>
      <c r="AA21" s="95"/>
    </row>
    <row r="22" spans="2:27">
      <c r="B22" s="443"/>
      <c r="C22" s="444"/>
      <c r="D22" s="444"/>
      <c r="E22" s="444"/>
      <c r="F22" s="444"/>
      <c r="G22" s="444"/>
      <c r="H22" s="444"/>
      <c r="I22" s="95"/>
      <c r="K22" s="449" t="s">
        <v>26</v>
      </c>
      <c r="L22" s="450"/>
      <c r="M22" s="450"/>
      <c r="N22" s="450"/>
      <c r="O22" s="450"/>
      <c r="P22" s="450"/>
      <c r="Q22" s="450"/>
      <c r="R22" s="451"/>
      <c r="T22" s="455" t="s">
        <v>28</v>
      </c>
      <c r="U22" s="456"/>
      <c r="V22" s="456"/>
      <c r="W22" s="456"/>
      <c r="X22" s="456"/>
      <c r="Y22" s="456"/>
      <c r="Z22" s="456"/>
      <c r="AA22" s="457"/>
    </row>
    <row r="23" spans="2:27" ht="14.4" thickBot="1">
      <c r="B23" s="443" t="s">
        <v>302</v>
      </c>
      <c r="C23" s="444"/>
      <c r="D23" s="444"/>
      <c r="E23" s="444"/>
      <c r="F23" s="444"/>
      <c r="G23" s="444"/>
      <c r="H23" s="444"/>
      <c r="I23" s="95">
        <v>220000</v>
      </c>
      <c r="K23" s="452"/>
      <c r="L23" s="453"/>
      <c r="M23" s="453"/>
      <c r="N23" s="453"/>
      <c r="O23" s="453"/>
      <c r="P23" s="453"/>
      <c r="Q23" s="453"/>
      <c r="R23" s="454"/>
      <c r="T23" s="458"/>
      <c r="U23" s="459"/>
      <c r="V23" s="459"/>
      <c r="W23" s="459"/>
      <c r="X23" s="459"/>
      <c r="Y23" s="459"/>
      <c r="Z23" s="459"/>
      <c r="AA23" s="460"/>
    </row>
    <row r="24" spans="2:27">
      <c r="B24" s="443" t="s">
        <v>301</v>
      </c>
      <c r="C24" s="444"/>
      <c r="D24" s="444"/>
      <c r="E24" s="444"/>
      <c r="F24" s="444"/>
      <c r="G24" s="444"/>
      <c r="H24" s="444"/>
      <c r="I24" s="95">
        <v>260000</v>
      </c>
      <c r="K24" s="439" t="s">
        <v>296</v>
      </c>
      <c r="L24" s="440"/>
      <c r="M24" s="440"/>
      <c r="N24" s="440"/>
      <c r="O24" s="440"/>
      <c r="P24" s="440"/>
      <c r="Q24" s="440"/>
      <c r="R24" s="95"/>
      <c r="T24" s="439" t="s">
        <v>2</v>
      </c>
      <c r="U24" s="440"/>
      <c r="V24" s="440"/>
      <c r="W24" s="440"/>
      <c r="X24" s="440"/>
      <c r="Y24" s="440"/>
      <c r="Z24" s="440"/>
      <c r="AA24" s="95"/>
    </row>
    <row r="25" spans="2:27">
      <c r="B25" s="443" t="s">
        <v>303</v>
      </c>
      <c r="C25" s="444"/>
      <c r="D25" s="444"/>
      <c r="E25" s="444"/>
      <c r="F25" s="444"/>
      <c r="G25" s="444"/>
      <c r="H25" s="444"/>
      <c r="I25" s="95">
        <v>14000</v>
      </c>
      <c r="K25" s="443" t="s">
        <v>295</v>
      </c>
      <c r="L25" s="444"/>
      <c r="M25" s="444"/>
      <c r="N25" s="444"/>
      <c r="O25" s="444"/>
      <c r="P25" s="444"/>
      <c r="Q25" s="444"/>
      <c r="R25" s="95"/>
      <c r="T25" s="443" t="s">
        <v>22</v>
      </c>
      <c r="U25" s="444"/>
      <c r="V25" s="444"/>
      <c r="W25" s="444"/>
      <c r="X25" s="444"/>
      <c r="Y25" s="444"/>
      <c r="Z25" s="444"/>
      <c r="AA25" s="95"/>
    </row>
    <row r="26" spans="2:27">
      <c r="B26" s="443" t="s">
        <v>304</v>
      </c>
      <c r="C26" s="444"/>
      <c r="D26" s="444"/>
      <c r="E26" s="444"/>
      <c r="F26" s="444"/>
      <c r="G26" s="444"/>
      <c r="H26" s="444"/>
      <c r="I26" s="95">
        <v>90000</v>
      </c>
      <c r="K26" s="443" t="s">
        <v>330</v>
      </c>
      <c r="L26" s="444"/>
      <c r="M26" s="444"/>
      <c r="N26" s="444"/>
      <c r="O26" s="444"/>
      <c r="P26" s="444"/>
      <c r="Q26" s="444"/>
      <c r="R26" s="95"/>
      <c r="T26" s="443" t="s">
        <v>21</v>
      </c>
      <c r="U26" s="444"/>
      <c r="V26" s="444"/>
      <c r="W26" s="444"/>
      <c r="X26" s="444"/>
      <c r="Y26" s="444"/>
      <c r="Z26" s="444"/>
      <c r="AA26" s="95"/>
    </row>
    <row r="27" spans="2:27">
      <c r="B27" s="443" t="s">
        <v>305</v>
      </c>
      <c r="C27" s="444"/>
      <c r="D27" s="444"/>
      <c r="E27" s="444"/>
      <c r="F27" s="444"/>
      <c r="G27" s="444"/>
      <c r="H27" s="444"/>
      <c r="I27" s="95">
        <v>60000</v>
      </c>
      <c r="K27" s="443" t="s">
        <v>329</v>
      </c>
      <c r="L27" s="444"/>
      <c r="M27" s="444"/>
      <c r="N27" s="444"/>
      <c r="O27" s="444"/>
      <c r="P27" s="444"/>
      <c r="Q27" s="444"/>
      <c r="R27" s="95">
        <v>12000</v>
      </c>
      <c r="T27" s="443" t="s">
        <v>71</v>
      </c>
      <c r="U27" s="444"/>
      <c r="V27" s="444"/>
      <c r="W27" s="444"/>
      <c r="X27" s="444"/>
      <c r="Y27" s="444"/>
      <c r="Z27" s="444"/>
      <c r="AA27" s="95"/>
    </row>
    <row r="28" spans="2:27">
      <c r="B28" s="443"/>
      <c r="C28" s="444"/>
      <c r="D28" s="444"/>
      <c r="E28" s="444"/>
      <c r="F28" s="444"/>
      <c r="G28" s="444"/>
      <c r="H28" s="444"/>
      <c r="I28" s="95"/>
      <c r="K28" s="443" t="s">
        <v>331</v>
      </c>
      <c r="L28" s="444"/>
      <c r="M28" s="444"/>
      <c r="N28" s="444"/>
      <c r="O28" s="444"/>
      <c r="P28" s="444"/>
      <c r="Q28" s="444"/>
      <c r="R28" s="95">
        <v>28000</v>
      </c>
      <c r="T28" s="443" t="s">
        <v>72</v>
      </c>
      <c r="U28" s="444"/>
      <c r="V28" s="444"/>
      <c r="W28" s="444"/>
      <c r="X28" s="444"/>
      <c r="Y28" s="444"/>
      <c r="Z28" s="444"/>
      <c r="AA28" s="95"/>
    </row>
    <row r="29" spans="2:27">
      <c r="B29" s="443"/>
      <c r="C29" s="444"/>
      <c r="D29" s="444"/>
      <c r="E29" s="444"/>
      <c r="F29" s="444"/>
      <c r="G29" s="444"/>
      <c r="H29" s="444"/>
      <c r="I29" s="95"/>
      <c r="K29" s="443" t="s">
        <v>42</v>
      </c>
      <c r="L29" s="444"/>
      <c r="M29" s="444"/>
      <c r="N29" s="444"/>
      <c r="O29" s="444"/>
      <c r="P29" s="444"/>
      <c r="Q29" s="444"/>
      <c r="R29" s="95">
        <v>200000</v>
      </c>
      <c r="T29" s="443"/>
      <c r="U29" s="444"/>
      <c r="V29" s="444"/>
      <c r="W29" s="444"/>
      <c r="X29" s="444"/>
      <c r="Y29" s="444"/>
      <c r="Z29" s="444"/>
      <c r="AA29" s="95"/>
    </row>
    <row r="30" spans="2:27">
      <c r="B30" s="443"/>
      <c r="C30" s="444"/>
      <c r="D30" s="444"/>
      <c r="E30" s="444"/>
      <c r="F30" s="444"/>
      <c r="G30" s="444"/>
      <c r="H30" s="444"/>
      <c r="I30" s="95"/>
      <c r="K30" s="443" t="s">
        <v>41</v>
      </c>
      <c r="L30" s="444"/>
      <c r="M30" s="444"/>
      <c r="N30" s="444"/>
      <c r="O30" s="444"/>
      <c r="P30" s="444"/>
      <c r="Q30" s="444"/>
      <c r="R30" s="95">
        <v>150000</v>
      </c>
      <c r="T30" s="443"/>
      <c r="U30" s="444"/>
      <c r="V30" s="444"/>
      <c r="W30" s="444"/>
      <c r="X30" s="444"/>
      <c r="Y30" s="444"/>
      <c r="Z30" s="444"/>
      <c r="AA30" s="95"/>
    </row>
    <row r="31" spans="2:27">
      <c r="B31" s="443"/>
      <c r="C31" s="444"/>
      <c r="D31" s="444"/>
      <c r="E31" s="444"/>
      <c r="F31" s="444"/>
      <c r="G31" s="444"/>
      <c r="H31" s="444"/>
      <c r="I31" s="95"/>
      <c r="K31" s="443" t="s">
        <v>3</v>
      </c>
      <c r="L31" s="444"/>
      <c r="M31" s="444"/>
      <c r="N31" s="444"/>
      <c r="O31" s="444"/>
      <c r="P31" s="444"/>
      <c r="Q31" s="444"/>
      <c r="R31" s="95">
        <v>100000</v>
      </c>
      <c r="T31" s="443"/>
      <c r="U31" s="444"/>
      <c r="V31" s="444"/>
      <c r="W31" s="444"/>
      <c r="X31" s="444"/>
      <c r="Y31" s="444"/>
      <c r="Z31" s="444"/>
      <c r="AA31" s="95"/>
    </row>
    <row r="32" spans="2:27">
      <c r="B32" s="443"/>
      <c r="C32" s="444"/>
      <c r="D32" s="444"/>
      <c r="E32" s="444"/>
      <c r="F32" s="444"/>
      <c r="G32" s="444"/>
      <c r="H32" s="444"/>
      <c r="I32" s="95"/>
      <c r="K32" s="443" t="s">
        <v>4</v>
      </c>
      <c r="L32" s="444"/>
      <c r="M32" s="444"/>
      <c r="N32" s="444"/>
      <c r="O32" s="444"/>
      <c r="P32" s="444"/>
      <c r="Q32" s="444"/>
      <c r="R32" s="95">
        <v>75000</v>
      </c>
      <c r="T32" s="443"/>
      <c r="U32" s="444"/>
      <c r="V32" s="444"/>
      <c r="W32" s="444"/>
      <c r="X32" s="444"/>
      <c r="Y32" s="444"/>
      <c r="Z32" s="444"/>
      <c r="AA32" s="95"/>
    </row>
    <row r="33" spans="2:27">
      <c r="B33" s="443"/>
      <c r="C33" s="444"/>
      <c r="D33" s="444"/>
      <c r="E33" s="444"/>
      <c r="F33" s="444"/>
      <c r="G33" s="444"/>
      <c r="H33" s="444"/>
      <c r="I33" s="95"/>
      <c r="K33" s="443" t="s">
        <v>67</v>
      </c>
      <c r="L33" s="444"/>
      <c r="M33" s="444"/>
      <c r="N33" s="444"/>
      <c r="O33" s="444"/>
      <c r="P33" s="444"/>
      <c r="Q33" s="444"/>
      <c r="R33" s="95">
        <v>500</v>
      </c>
      <c r="T33" s="443"/>
      <c r="U33" s="444"/>
      <c r="V33" s="444"/>
      <c r="W33" s="444"/>
      <c r="X33" s="444"/>
      <c r="Y33" s="444"/>
      <c r="Z33" s="444"/>
      <c r="AA33" s="95"/>
    </row>
    <row r="34" spans="2:27" ht="14.4" thickBot="1">
      <c r="B34" s="447"/>
      <c r="C34" s="448"/>
      <c r="D34" s="448"/>
      <c r="E34" s="448"/>
      <c r="F34" s="448"/>
      <c r="G34" s="448"/>
      <c r="H34" s="448"/>
      <c r="I34" s="96"/>
      <c r="K34" s="443" t="s">
        <v>68</v>
      </c>
      <c r="L34" s="444"/>
      <c r="M34" s="444"/>
      <c r="N34" s="444"/>
      <c r="O34" s="444"/>
      <c r="P34" s="444"/>
      <c r="Q34" s="444"/>
      <c r="R34" s="95">
        <v>500</v>
      </c>
      <c r="T34" s="443"/>
      <c r="U34" s="444"/>
      <c r="V34" s="444"/>
      <c r="W34" s="444"/>
      <c r="X34" s="444"/>
      <c r="Y34" s="444"/>
      <c r="Z34" s="444"/>
      <c r="AA34" s="95"/>
    </row>
    <row r="35" spans="2:27">
      <c r="B35" s="461" t="s">
        <v>95</v>
      </c>
      <c r="C35" s="462"/>
      <c r="D35" s="462"/>
      <c r="E35" s="462"/>
      <c r="F35" s="462"/>
      <c r="G35" s="462"/>
      <c r="H35" s="462"/>
      <c r="I35" s="463"/>
      <c r="K35" s="443" t="s">
        <v>70</v>
      </c>
      <c r="L35" s="444"/>
      <c r="M35" s="444"/>
      <c r="N35" s="444"/>
      <c r="O35" s="444"/>
      <c r="P35" s="444"/>
      <c r="Q35" s="444"/>
      <c r="R35" s="95">
        <v>6000</v>
      </c>
      <c r="T35" s="443"/>
      <c r="U35" s="444"/>
      <c r="V35" s="444"/>
      <c r="W35" s="444"/>
      <c r="X35" s="444"/>
      <c r="Y35" s="444"/>
      <c r="Z35" s="444"/>
      <c r="AA35" s="95"/>
    </row>
    <row r="36" spans="2:27" ht="14.4" thickBot="1">
      <c r="B36" s="464"/>
      <c r="C36" s="465"/>
      <c r="D36" s="465"/>
      <c r="E36" s="465"/>
      <c r="F36" s="465"/>
      <c r="G36" s="465"/>
      <c r="H36" s="465"/>
      <c r="I36" s="466"/>
      <c r="K36" s="443" t="s">
        <v>380</v>
      </c>
      <c r="L36" s="444"/>
      <c r="M36" s="444"/>
      <c r="N36" s="444"/>
      <c r="O36" s="444"/>
      <c r="P36" s="444"/>
      <c r="Q36" s="444"/>
      <c r="R36" s="95">
        <v>15000</v>
      </c>
      <c r="T36" s="443"/>
      <c r="U36" s="444"/>
      <c r="V36" s="444"/>
      <c r="W36" s="444"/>
      <c r="X36" s="444"/>
      <c r="Y36" s="444"/>
      <c r="Z36" s="444"/>
      <c r="AA36" s="95"/>
    </row>
    <row r="37" spans="2:27">
      <c r="B37" s="108" t="s">
        <v>96</v>
      </c>
      <c r="C37" s="109"/>
      <c r="D37" s="109"/>
      <c r="E37" s="109"/>
      <c r="F37" s="109"/>
      <c r="G37" s="109">
        <v>1</v>
      </c>
      <c r="H37" s="110">
        <v>75000</v>
      </c>
      <c r="I37" s="95">
        <f>G37*H37</f>
        <v>75000</v>
      </c>
      <c r="K37" s="443" t="s">
        <v>16</v>
      </c>
      <c r="L37" s="444"/>
      <c r="M37" s="444"/>
      <c r="N37" s="444"/>
      <c r="O37" s="444"/>
      <c r="P37" s="444"/>
      <c r="Q37" s="444"/>
      <c r="R37" s="95">
        <v>150000</v>
      </c>
      <c r="T37" s="443"/>
      <c r="U37" s="444"/>
      <c r="V37" s="444"/>
      <c r="W37" s="444"/>
      <c r="X37" s="444"/>
      <c r="Y37" s="444"/>
      <c r="Z37" s="444"/>
      <c r="AA37" s="95"/>
    </row>
    <row r="38" spans="2:27">
      <c r="B38" s="108" t="s">
        <v>97</v>
      </c>
      <c r="C38" s="109"/>
      <c r="D38" s="109"/>
      <c r="E38" s="109"/>
      <c r="F38" s="109"/>
      <c r="G38" s="109">
        <v>2</v>
      </c>
      <c r="H38" s="110">
        <v>70000</v>
      </c>
      <c r="I38" s="95">
        <f>G38*H38</f>
        <v>140000</v>
      </c>
      <c r="K38" s="443" t="s">
        <v>17</v>
      </c>
      <c r="L38" s="444"/>
      <c r="M38" s="444"/>
      <c r="N38" s="444"/>
      <c r="O38" s="444"/>
      <c r="P38" s="444"/>
      <c r="Q38" s="444"/>
      <c r="R38" s="95">
        <v>150000</v>
      </c>
      <c r="T38" s="443"/>
      <c r="U38" s="444"/>
      <c r="V38" s="444"/>
      <c r="W38" s="444"/>
      <c r="X38" s="444"/>
      <c r="Y38" s="444"/>
      <c r="Z38" s="444"/>
      <c r="AA38" s="95"/>
    </row>
    <row r="39" spans="2:27">
      <c r="B39" s="108" t="s">
        <v>98</v>
      </c>
      <c r="C39" s="109"/>
      <c r="D39" s="109"/>
      <c r="E39" s="109"/>
      <c r="F39" s="109"/>
      <c r="G39" s="109">
        <v>1</v>
      </c>
      <c r="H39" s="110">
        <v>60000</v>
      </c>
      <c r="I39" s="95">
        <f>G39*H39</f>
        <v>60000</v>
      </c>
      <c r="K39" s="443"/>
      <c r="L39" s="444"/>
      <c r="M39" s="444"/>
      <c r="N39" s="444"/>
      <c r="O39" s="444"/>
      <c r="P39" s="444"/>
      <c r="Q39" s="444"/>
      <c r="R39" s="95"/>
      <c r="T39" s="443"/>
      <c r="U39" s="444"/>
      <c r="V39" s="444"/>
      <c r="W39" s="444"/>
      <c r="X39" s="444"/>
      <c r="Y39" s="444"/>
      <c r="Z39" s="444"/>
      <c r="AA39" s="95"/>
    </row>
    <row r="40" spans="2:27" ht="14.4" thickBot="1">
      <c r="B40" s="111" t="s">
        <v>99</v>
      </c>
      <c r="C40" s="112"/>
      <c r="D40" s="112"/>
      <c r="E40" s="112"/>
      <c r="F40" s="112"/>
      <c r="G40" s="112"/>
      <c r="H40" s="113">
        <v>60000</v>
      </c>
      <c r="I40" s="96">
        <f>G40*H40</f>
        <v>0</v>
      </c>
      <c r="K40" s="447"/>
      <c r="L40" s="448"/>
      <c r="M40" s="448"/>
      <c r="N40" s="448"/>
      <c r="O40" s="448"/>
      <c r="P40" s="448"/>
      <c r="Q40" s="448"/>
      <c r="R40" s="96"/>
      <c r="T40" s="447"/>
      <c r="U40" s="448"/>
      <c r="V40" s="448"/>
      <c r="W40" s="448"/>
      <c r="X40" s="448"/>
      <c r="Y40" s="448"/>
      <c r="Z40" s="448"/>
      <c r="AA40" s="96"/>
    </row>
    <row r="44" spans="2:27" ht="14.4" thickBot="1"/>
    <row r="45" spans="2:27" ht="15" customHeight="1">
      <c r="B45" s="475" t="s">
        <v>382</v>
      </c>
      <c r="C45" s="476"/>
      <c r="D45" s="476"/>
      <c r="E45" s="476"/>
      <c r="F45" s="476"/>
      <c r="G45" s="476"/>
      <c r="H45" s="476"/>
      <c r="I45" s="477"/>
      <c r="M45" s="475" t="s">
        <v>78</v>
      </c>
      <c r="N45" s="476"/>
      <c r="O45" s="476"/>
      <c r="P45" s="476"/>
      <c r="Q45" s="476"/>
      <c r="R45" s="476"/>
      <c r="S45" s="476"/>
      <c r="T45" s="477"/>
    </row>
    <row r="46" spans="2:27" ht="15" customHeight="1">
      <c r="B46" s="478"/>
      <c r="C46" s="479"/>
      <c r="D46" s="479"/>
      <c r="E46" s="479"/>
      <c r="F46" s="479"/>
      <c r="G46" s="479"/>
      <c r="H46" s="479"/>
      <c r="I46" s="480"/>
      <c r="M46" s="478"/>
      <c r="N46" s="479"/>
      <c r="O46" s="479"/>
      <c r="P46" s="479"/>
      <c r="Q46" s="479"/>
      <c r="R46" s="479"/>
      <c r="S46" s="479"/>
      <c r="T46" s="480"/>
    </row>
    <row r="47" spans="2:27" ht="15.75" customHeight="1" thickBot="1">
      <c r="B47" s="481"/>
      <c r="C47" s="482"/>
      <c r="D47" s="482"/>
      <c r="E47" s="482"/>
      <c r="F47" s="482"/>
      <c r="G47" s="482"/>
      <c r="H47" s="482"/>
      <c r="I47" s="483"/>
      <c r="M47" s="481"/>
      <c r="N47" s="482"/>
      <c r="O47" s="482"/>
      <c r="P47" s="482"/>
      <c r="Q47" s="482"/>
      <c r="R47" s="482"/>
      <c r="S47" s="482"/>
      <c r="T47" s="483"/>
    </row>
    <row r="48" spans="2:27" ht="14.4" thickBot="1">
      <c r="B48" s="467" t="s">
        <v>262</v>
      </c>
      <c r="C48" s="468"/>
      <c r="D48" s="468"/>
      <c r="E48" s="468"/>
      <c r="F48" s="468"/>
      <c r="G48" s="468"/>
      <c r="H48" s="468"/>
      <c r="I48" s="484"/>
      <c r="M48" s="467" t="s">
        <v>262</v>
      </c>
      <c r="N48" s="468"/>
      <c r="O48" s="468"/>
      <c r="P48" s="468"/>
      <c r="Q48" s="468"/>
      <c r="R48" s="468"/>
      <c r="S48" s="468"/>
      <c r="T48" s="484"/>
    </row>
    <row r="49" spans="2:20" ht="14.4" thickBot="1">
      <c r="B49" s="467" t="s">
        <v>267</v>
      </c>
      <c r="C49" s="468"/>
      <c r="D49" s="468"/>
      <c r="E49" s="468"/>
      <c r="F49" s="468"/>
      <c r="G49" s="114" t="s">
        <v>266</v>
      </c>
      <c r="H49" s="114" t="s">
        <v>0</v>
      </c>
      <c r="I49" s="97" t="s">
        <v>265</v>
      </c>
      <c r="M49" s="467" t="s">
        <v>267</v>
      </c>
      <c r="N49" s="468"/>
      <c r="O49" s="468"/>
      <c r="P49" s="468"/>
      <c r="Q49" s="468"/>
      <c r="R49" s="114" t="s">
        <v>266</v>
      </c>
      <c r="S49" s="114" t="s">
        <v>0</v>
      </c>
      <c r="T49" s="97" t="s">
        <v>265</v>
      </c>
    </row>
    <row r="50" spans="2:20">
      <c r="B50" s="469" t="s">
        <v>13</v>
      </c>
      <c r="C50" s="470"/>
      <c r="D50" s="470"/>
      <c r="E50" s="471"/>
      <c r="F50" s="115">
        <v>1</v>
      </c>
      <c r="G50" s="116">
        <v>10</v>
      </c>
      <c r="H50" s="117">
        <f>$I$4</f>
        <v>160000</v>
      </c>
      <c r="I50" s="98">
        <f>F50*G50*H50</f>
        <v>1600000</v>
      </c>
      <c r="M50" s="469" t="s">
        <v>13</v>
      </c>
      <c r="N50" s="470"/>
      <c r="O50" s="470"/>
      <c r="P50" s="471"/>
      <c r="Q50" s="115">
        <v>1</v>
      </c>
      <c r="R50" s="116">
        <v>12</v>
      </c>
      <c r="S50" s="117">
        <f>$I$4</f>
        <v>160000</v>
      </c>
      <c r="T50" s="98">
        <f>Q50*R50*S50</f>
        <v>1920000</v>
      </c>
    </row>
    <row r="51" spans="2:20">
      <c r="B51" s="118" t="s">
        <v>261</v>
      </c>
      <c r="C51" s="119"/>
      <c r="D51" s="119"/>
      <c r="E51" s="120"/>
      <c r="F51" s="121">
        <v>1</v>
      </c>
      <c r="G51" s="122"/>
      <c r="H51" s="123">
        <f>$I$5</f>
        <v>165000</v>
      </c>
      <c r="I51" s="99"/>
      <c r="M51" s="118" t="s">
        <v>261</v>
      </c>
      <c r="N51" s="119"/>
      <c r="O51" s="119"/>
      <c r="P51" s="120"/>
      <c r="Q51" s="121">
        <v>1</v>
      </c>
      <c r="R51" s="122"/>
      <c r="S51" s="123">
        <f>$I$5</f>
        <v>165000</v>
      </c>
      <c r="T51" s="99"/>
    </row>
    <row r="52" spans="2:20">
      <c r="B52" s="472" t="s">
        <v>14</v>
      </c>
      <c r="C52" s="473"/>
      <c r="D52" s="473"/>
      <c r="E52" s="474"/>
      <c r="F52" s="121">
        <v>1</v>
      </c>
      <c r="G52" s="122">
        <v>6</v>
      </c>
      <c r="H52" s="123">
        <f>$I$6</f>
        <v>140000</v>
      </c>
      <c r="I52" s="99">
        <f>F52*G52*H52</f>
        <v>840000</v>
      </c>
      <c r="M52" s="472" t="s">
        <v>14</v>
      </c>
      <c r="N52" s="473"/>
      <c r="O52" s="473"/>
      <c r="P52" s="474"/>
      <c r="Q52" s="121">
        <v>1</v>
      </c>
      <c r="R52" s="122">
        <v>0</v>
      </c>
      <c r="S52" s="123">
        <f>$I$6</f>
        <v>140000</v>
      </c>
      <c r="T52" s="99">
        <f>Q52*R52*S52</f>
        <v>0</v>
      </c>
    </row>
    <row r="53" spans="2:20">
      <c r="B53" s="472" t="s">
        <v>23</v>
      </c>
      <c r="C53" s="473"/>
      <c r="D53" s="473"/>
      <c r="E53" s="474"/>
      <c r="F53" s="121">
        <v>1</v>
      </c>
      <c r="G53" s="122">
        <v>4</v>
      </c>
      <c r="H53" s="123">
        <f>$I$7</f>
        <v>150000</v>
      </c>
      <c r="I53" s="99">
        <f>F53*G53*H53</f>
        <v>600000</v>
      </c>
      <c r="M53" s="472" t="s">
        <v>23</v>
      </c>
      <c r="N53" s="473"/>
      <c r="O53" s="473"/>
      <c r="P53" s="474"/>
      <c r="Q53" s="121">
        <v>1</v>
      </c>
      <c r="R53" s="122">
        <v>4</v>
      </c>
      <c r="S53" s="123">
        <f>$I$7</f>
        <v>150000</v>
      </c>
      <c r="T53" s="99">
        <f>Q53*R53*S53</f>
        <v>600000</v>
      </c>
    </row>
    <row r="54" spans="2:20">
      <c r="B54" s="472"/>
      <c r="C54" s="473"/>
      <c r="D54" s="473"/>
      <c r="E54" s="474"/>
      <c r="F54" s="121"/>
      <c r="G54" s="122"/>
      <c r="H54" s="123"/>
      <c r="I54" s="99">
        <f>F54*G54*H54</f>
        <v>0</v>
      </c>
      <c r="M54" s="472"/>
      <c r="N54" s="473"/>
      <c r="O54" s="473"/>
      <c r="P54" s="474"/>
      <c r="Q54" s="121"/>
      <c r="R54" s="122"/>
      <c r="S54" s="123"/>
      <c r="T54" s="99">
        <f>Q54*R54*S54</f>
        <v>0</v>
      </c>
    </row>
    <row r="55" spans="2:20">
      <c r="B55" s="485" t="s">
        <v>18</v>
      </c>
      <c r="C55" s="486"/>
      <c r="D55" s="486"/>
      <c r="E55" s="486"/>
      <c r="F55" s="487"/>
      <c r="G55" s="122">
        <v>25</v>
      </c>
      <c r="H55" s="123">
        <f>$I$8</f>
        <v>12800</v>
      </c>
      <c r="I55" s="99">
        <f>G55*H55</f>
        <v>320000</v>
      </c>
      <c r="M55" s="485" t="s">
        <v>18</v>
      </c>
      <c r="N55" s="486"/>
      <c r="O55" s="486"/>
      <c r="P55" s="486"/>
      <c r="Q55" s="487"/>
      <c r="R55" s="122">
        <v>25</v>
      </c>
      <c r="S55" s="123">
        <f>$I$8</f>
        <v>12800</v>
      </c>
      <c r="T55" s="99">
        <f>R55*S55</f>
        <v>320000</v>
      </c>
    </row>
    <row r="56" spans="2:20">
      <c r="B56" s="485" t="s">
        <v>19</v>
      </c>
      <c r="C56" s="486"/>
      <c r="D56" s="486"/>
      <c r="E56" s="486"/>
      <c r="F56" s="487"/>
      <c r="G56" s="122">
        <v>35</v>
      </c>
      <c r="H56" s="123">
        <f>$I$9</f>
        <v>11100</v>
      </c>
      <c r="I56" s="99">
        <f>G56*H56</f>
        <v>388500</v>
      </c>
      <c r="M56" s="485" t="s">
        <v>19</v>
      </c>
      <c r="N56" s="486"/>
      <c r="O56" s="486"/>
      <c r="P56" s="486"/>
      <c r="Q56" s="487"/>
      <c r="R56" s="122">
        <v>35</v>
      </c>
      <c r="S56" s="123">
        <f>$I$9</f>
        <v>11100</v>
      </c>
      <c r="T56" s="99">
        <f>R56*S56</f>
        <v>388500</v>
      </c>
    </row>
    <row r="57" spans="2:20">
      <c r="B57" s="488" t="s">
        <v>259</v>
      </c>
      <c r="C57" s="489"/>
      <c r="D57" s="489"/>
      <c r="E57" s="489"/>
      <c r="F57" s="490"/>
      <c r="G57" s="122">
        <v>500</v>
      </c>
      <c r="H57" s="123">
        <f>$I$10</f>
        <v>58</v>
      </c>
      <c r="I57" s="99">
        <f t="shared" ref="I57:I83" si="0">G57*H57</f>
        <v>29000</v>
      </c>
      <c r="M57" s="488" t="s">
        <v>259</v>
      </c>
      <c r="N57" s="489"/>
      <c r="O57" s="489"/>
      <c r="P57" s="489"/>
      <c r="Q57" s="490"/>
      <c r="R57" s="122">
        <v>250</v>
      </c>
      <c r="S57" s="123">
        <f>$I$10</f>
        <v>58</v>
      </c>
      <c r="T57" s="99">
        <f t="shared" ref="T57:T69" si="1">R57*S57</f>
        <v>14500</v>
      </c>
    </row>
    <row r="58" spans="2:20">
      <c r="B58" s="488" t="s">
        <v>260</v>
      </c>
      <c r="C58" s="489"/>
      <c r="D58" s="489"/>
      <c r="E58" s="489"/>
      <c r="F58" s="490"/>
      <c r="G58" s="122">
        <v>2000</v>
      </c>
      <c r="H58" s="123">
        <f>$I$11</f>
        <v>35</v>
      </c>
      <c r="I58" s="99">
        <f t="shared" si="0"/>
        <v>70000</v>
      </c>
      <c r="M58" s="488" t="s">
        <v>260</v>
      </c>
      <c r="N58" s="489"/>
      <c r="O58" s="489"/>
      <c r="P58" s="489"/>
      <c r="Q58" s="490"/>
      <c r="R58" s="122">
        <v>1500</v>
      </c>
      <c r="S58" s="123">
        <f>$I$11</f>
        <v>35</v>
      </c>
      <c r="T58" s="99">
        <f t="shared" si="1"/>
        <v>52500</v>
      </c>
    </row>
    <row r="59" spans="2:20">
      <c r="B59" s="488" t="s">
        <v>299</v>
      </c>
      <c r="C59" s="489"/>
      <c r="D59" s="489"/>
      <c r="E59" s="489"/>
      <c r="F59" s="490"/>
      <c r="G59" s="122"/>
      <c r="H59" s="123">
        <f>$I$12</f>
        <v>1250</v>
      </c>
      <c r="I59" s="99">
        <f t="shared" si="0"/>
        <v>0</v>
      </c>
      <c r="M59" s="488" t="s">
        <v>299</v>
      </c>
      <c r="N59" s="489"/>
      <c r="O59" s="489"/>
      <c r="P59" s="489"/>
      <c r="Q59" s="490"/>
      <c r="R59" s="122"/>
      <c r="S59" s="123">
        <f>$I$12</f>
        <v>1250</v>
      </c>
      <c r="T59" s="99">
        <f t="shared" si="1"/>
        <v>0</v>
      </c>
    </row>
    <row r="60" spans="2:20">
      <c r="B60" s="488" t="s">
        <v>300</v>
      </c>
      <c r="C60" s="489"/>
      <c r="D60" s="489"/>
      <c r="E60" s="489"/>
      <c r="F60" s="490"/>
      <c r="G60" s="122">
        <v>20</v>
      </c>
      <c r="H60" s="123">
        <f>$I$13</f>
        <v>1250</v>
      </c>
      <c r="I60" s="99">
        <f t="shared" si="0"/>
        <v>25000</v>
      </c>
      <c r="M60" s="488" t="s">
        <v>300</v>
      </c>
      <c r="N60" s="489"/>
      <c r="O60" s="489"/>
      <c r="P60" s="489"/>
      <c r="Q60" s="490"/>
      <c r="R60" s="122">
        <v>20</v>
      </c>
      <c r="S60" s="123">
        <f>$I$13</f>
        <v>1250</v>
      </c>
      <c r="T60" s="99">
        <f t="shared" si="1"/>
        <v>25000</v>
      </c>
    </row>
    <row r="61" spans="2:20">
      <c r="B61" s="488" t="s">
        <v>220</v>
      </c>
      <c r="C61" s="489"/>
      <c r="D61" s="489"/>
      <c r="E61" s="489"/>
      <c r="F61" s="490"/>
      <c r="G61" s="122">
        <v>50</v>
      </c>
      <c r="H61" s="123">
        <f>$I$14</f>
        <v>750</v>
      </c>
      <c r="I61" s="99">
        <f t="shared" si="0"/>
        <v>37500</v>
      </c>
      <c r="M61" s="488" t="s">
        <v>220</v>
      </c>
      <c r="N61" s="489"/>
      <c r="O61" s="489"/>
      <c r="P61" s="489"/>
      <c r="Q61" s="490"/>
      <c r="R61" s="122">
        <v>50</v>
      </c>
      <c r="S61" s="123">
        <f>$I$14</f>
        <v>750</v>
      </c>
      <c r="T61" s="99">
        <f t="shared" si="1"/>
        <v>37500</v>
      </c>
    </row>
    <row r="62" spans="2:20">
      <c r="B62" s="488" t="s">
        <v>268</v>
      </c>
      <c r="C62" s="489"/>
      <c r="D62" s="489"/>
      <c r="E62" s="489"/>
      <c r="F62" s="490"/>
      <c r="G62" s="122">
        <v>100</v>
      </c>
      <c r="H62" s="123">
        <f>$I$15</f>
        <v>175</v>
      </c>
      <c r="I62" s="99">
        <f t="shared" si="0"/>
        <v>17500</v>
      </c>
      <c r="M62" s="488" t="s">
        <v>268</v>
      </c>
      <c r="N62" s="489"/>
      <c r="O62" s="489"/>
      <c r="P62" s="489"/>
      <c r="Q62" s="490"/>
      <c r="R62" s="122">
        <v>100</v>
      </c>
      <c r="S62" s="123">
        <f>$I$15</f>
        <v>175</v>
      </c>
      <c r="T62" s="99">
        <f t="shared" si="1"/>
        <v>17500</v>
      </c>
    </row>
    <row r="63" spans="2:20">
      <c r="B63" s="488" t="s">
        <v>221</v>
      </c>
      <c r="C63" s="489"/>
      <c r="D63" s="489"/>
      <c r="E63" s="489"/>
      <c r="F63" s="490"/>
      <c r="G63" s="122">
        <v>200</v>
      </c>
      <c r="H63" s="123">
        <f>$I$16</f>
        <v>175</v>
      </c>
      <c r="I63" s="99">
        <f t="shared" si="0"/>
        <v>35000</v>
      </c>
      <c r="M63" s="488" t="s">
        <v>221</v>
      </c>
      <c r="N63" s="489"/>
      <c r="O63" s="489"/>
      <c r="P63" s="489"/>
      <c r="Q63" s="490"/>
      <c r="R63" s="122">
        <v>200</v>
      </c>
      <c r="S63" s="123">
        <f>$I$16</f>
        <v>175</v>
      </c>
      <c r="T63" s="99">
        <f t="shared" si="1"/>
        <v>35000</v>
      </c>
    </row>
    <row r="64" spans="2:20">
      <c r="B64" s="472" t="s">
        <v>222</v>
      </c>
      <c r="C64" s="473"/>
      <c r="D64" s="473"/>
      <c r="E64" s="473"/>
      <c r="F64" s="474"/>
      <c r="G64" s="122">
        <v>1</v>
      </c>
      <c r="H64" s="123">
        <v>1</v>
      </c>
      <c r="I64" s="99">
        <f t="shared" si="0"/>
        <v>1</v>
      </c>
      <c r="M64" s="472" t="s">
        <v>222</v>
      </c>
      <c r="N64" s="473"/>
      <c r="O64" s="473"/>
      <c r="P64" s="473"/>
      <c r="Q64" s="474"/>
      <c r="R64" s="122">
        <v>1</v>
      </c>
      <c r="S64" s="123">
        <f>$I$17</f>
        <v>90000</v>
      </c>
      <c r="T64" s="99">
        <f t="shared" si="1"/>
        <v>90000</v>
      </c>
    </row>
    <row r="65" spans="2:23" ht="14.4" thickBot="1">
      <c r="B65" s="485" t="s">
        <v>337</v>
      </c>
      <c r="C65" s="486"/>
      <c r="D65" s="486"/>
      <c r="E65" s="486"/>
      <c r="F65" s="487"/>
      <c r="G65" s="122">
        <v>15</v>
      </c>
      <c r="H65" s="123">
        <f>$I$18</f>
        <v>21000</v>
      </c>
      <c r="I65" s="99">
        <f t="shared" si="0"/>
        <v>315000</v>
      </c>
      <c r="M65" s="485" t="s">
        <v>337</v>
      </c>
      <c r="N65" s="486"/>
      <c r="O65" s="486"/>
      <c r="P65" s="486"/>
      <c r="Q65" s="487"/>
      <c r="R65" s="122">
        <v>12</v>
      </c>
      <c r="S65" s="123">
        <f>$I$18</f>
        <v>21000</v>
      </c>
      <c r="T65" s="99">
        <f t="shared" si="1"/>
        <v>252000</v>
      </c>
    </row>
    <row r="66" spans="2:23" ht="15" customHeight="1">
      <c r="B66" s="485" t="s">
        <v>269</v>
      </c>
      <c r="C66" s="486"/>
      <c r="D66" s="486"/>
      <c r="E66" s="486"/>
      <c r="F66" s="487"/>
      <c r="G66" s="122">
        <v>2</v>
      </c>
      <c r="H66" s="123">
        <f>$I$19</f>
        <v>40000</v>
      </c>
      <c r="I66" s="99">
        <f t="shared" si="0"/>
        <v>80000</v>
      </c>
      <c r="J66" s="499" t="s">
        <v>275</v>
      </c>
      <c r="K66" s="500"/>
      <c r="L66" s="501"/>
      <c r="M66" s="485" t="s">
        <v>269</v>
      </c>
      <c r="N66" s="486"/>
      <c r="O66" s="486"/>
      <c r="P66" s="486"/>
      <c r="Q66" s="487"/>
      <c r="R66" s="122">
        <v>2</v>
      </c>
      <c r="S66" s="123">
        <f>$I$19</f>
        <v>40000</v>
      </c>
      <c r="T66" s="99">
        <f t="shared" si="1"/>
        <v>80000</v>
      </c>
      <c r="U66" s="499" t="s">
        <v>275</v>
      </c>
      <c r="V66" s="500"/>
      <c r="W66" s="501"/>
    </row>
    <row r="67" spans="2:23" ht="15.75" customHeight="1" thickBot="1">
      <c r="B67" s="485" t="s">
        <v>270</v>
      </c>
      <c r="C67" s="486"/>
      <c r="D67" s="486"/>
      <c r="E67" s="486"/>
      <c r="F67" s="487"/>
      <c r="G67" s="122">
        <v>2</v>
      </c>
      <c r="H67" s="123">
        <f>$I$20</f>
        <v>13000</v>
      </c>
      <c r="I67" s="99">
        <f t="shared" si="0"/>
        <v>26000</v>
      </c>
      <c r="J67" s="502"/>
      <c r="K67" s="503"/>
      <c r="L67" s="504"/>
      <c r="M67" s="485" t="s">
        <v>270</v>
      </c>
      <c r="N67" s="486"/>
      <c r="O67" s="486"/>
      <c r="P67" s="486"/>
      <c r="Q67" s="487"/>
      <c r="R67" s="122">
        <v>2</v>
      </c>
      <c r="S67" s="123">
        <f>$I$20</f>
        <v>13000</v>
      </c>
      <c r="T67" s="99">
        <f t="shared" si="1"/>
        <v>26000</v>
      </c>
      <c r="U67" s="502"/>
      <c r="V67" s="503"/>
      <c r="W67" s="504"/>
    </row>
    <row r="68" spans="2:23" ht="15" customHeight="1">
      <c r="B68" s="488"/>
      <c r="C68" s="489"/>
      <c r="D68" s="489"/>
      <c r="E68" s="489"/>
      <c r="F68" s="490"/>
      <c r="G68" s="122"/>
      <c r="H68" s="123"/>
      <c r="I68" s="99">
        <f t="shared" si="0"/>
        <v>0</v>
      </c>
      <c r="J68" s="491">
        <f>SUM(I50:I69)</f>
        <v>4383501</v>
      </c>
      <c r="K68" s="492"/>
      <c r="L68" s="493"/>
      <c r="M68" s="488"/>
      <c r="N68" s="489"/>
      <c r="O68" s="489"/>
      <c r="P68" s="489"/>
      <c r="Q68" s="490"/>
      <c r="R68" s="122"/>
      <c r="S68" s="123"/>
      <c r="T68" s="99">
        <f t="shared" si="1"/>
        <v>0</v>
      </c>
      <c r="U68" s="491">
        <f>SUM(T50:T69)</f>
        <v>3858500</v>
      </c>
      <c r="V68" s="492"/>
      <c r="W68" s="493"/>
    </row>
    <row r="69" spans="2:23" ht="15.75" customHeight="1" thickBot="1">
      <c r="B69" s="497"/>
      <c r="C69" s="498"/>
      <c r="D69" s="498"/>
      <c r="E69" s="498"/>
      <c r="F69" s="498"/>
      <c r="G69" s="124"/>
      <c r="H69" s="125"/>
      <c r="I69" s="100">
        <f t="shared" si="0"/>
        <v>0</v>
      </c>
      <c r="J69" s="494"/>
      <c r="K69" s="495"/>
      <c r="L69" s="496"/>
      <c r="M69" s="497"/>
      <c r="N69" s="498"/>
      <c r="O69" s="498"/>
      <c r="P69" s="498"/>
      <c r="Q69" s="498"/>
      <c r="R69" s="124"/>
      <c r="S69" s="125"/>
      <c r="T69" s="100">
        <f t="shared" si="1"/>
        <v>0</v>
      </c>
      <c r="U69" s="494"/>
      <c r="V69" s="495"/>
      <c r="W69" s="496"/>
    </row>
    <row r="70" spans="2:23" ht="14.4" thickBot="1">
      <c r="B70" s="505" t="s">
        <v>271</v>
      </c>
      <c r="C70" s="506"/>
      <c r="D70" s="506"/>
      <c r="E70" s="506"/>
      <c r="F70" s="506"/>
      <c r="G70" s="506"/>
      <c r="H70" s="506"/>
      <c r="I70" s="507"/>
      <c r="M70" s="505" t="s">
        <v>271</v>
      </c>
      <c r="N70" s="506"/>
      <c r="O70" s="506"/>
      <c r="P70" s="506"/>
      <c r="Q70" s="506"/>
      <c r="R70" s="506"/>
      <c r="S70" s="506"/>
      <c r="T70" s="507"/>
    </row>
    <row r="71" spans="2:23" ht="14.4" thickBot="1">
      <c r="B71" s="467" t="s">
        <v>267</v>
      </c>
      <c r="C71" s="468"/>
      <c r="D71" s="468"/>
      <c r="E71" s="468"/>
      <c r="F71" s="468"/>
      <c r="G71" s="114" t="s">
        <v>266</v>
      </c>
      <c r="H71" s="114" t="s">
        <v>0</v>
      </c>
      <c r="I71" s="97" t="s">
        <v>265</v>
      </c>
      <c r="M71" s="467" t="s">
        <v>267</v>
      </c>
      <c r="N71" s="468"/>
      <c r="O71" s="468"/>
      <c r="P71" s="468"/>
      <c r="Q71" s="468"/>
      <c r="R71" s="114" t="s">
        <v>266</v>
      </c>
      <c r="S71" s="114" t="s">
        <v>0</v>
      </c>
      <c r="T71" s="97" t="s">
        <v>265</v>
      </c>
    </row>
    <row r="72" spans="2:23">
      <c r="B72" s="508" t="s">
        <v>272</v>
      </c>
      <c r="C72" s="509"/>
      <c r="D72" s="509"/>
      <c r="E72" s="509"/>
      <c r="F72" s="510"/>
      <c r="G72" s="116"/>
      <c r="H72" s="117">
        <f>$I$23</f>
        <v>220000</v>
      </c>
      <c r="I72" s="98">
        <f t="shared" si="0"/>
        <v>0</v>
      </c>
      <c r="M72" s="508" t="s">
        <v>272</v>
      </c>
      <c r="N72" s="509"/>
      <c r="O72" s="509"/>
      <c r="P72" s="509"/>
      <c r="Q72" s="510"/>
      <c r="R72" s="116"/>
      <c r="S72" s="117">
        <f>$I$23</f>
        <v>220000</v>
      </c>
      <c r="T72" s="98">
        <f t="shared" ref="T72:T77" si="2">R72*S72</f>
        <v>0</v>
      </c>
    </row>
    <row r="73" spans="2:23">
      <c r="B73" s="485" t="s">
        <v>273</v>
      </c>
      <c r="C73" s="486"/>
      <c r="D73" s="486"/>
      <c r="E73" s="486"/>
      <c r="F73" s="487"/>
      <c r="G73" s="122"/>
      <c r="H73" s="117">
        <f>$I$26</f>
        <v>90000</v>
      </c>
      <c r="I73" s="99">
        <f t="shared" si="0"/>
        <v>0</v>
      </c>
      <c r="M73" s="485" t="s">
        <v>273</v>
      </c>
      <c r="N73" s="486"/>
      <c r="O73" s="486"/>
      <c r="P73" s="486"/>
      <c r="Q73" s="487"/>
      <c r="R73" s="122"/>
      <c r="S73" s="117">
        <f>$I$26</f>
        <v>90000</v>
      </c>
      <c r="T73" s="99">
        <f t="shared" si="2"/>
        <v>0</v>
      </c>
    </row>
    <row r="74" spans="2:23">
      <c r="B74" s="485" t="s">
        <v>224</v>
      </c>
      <c r="C74" s="486"/>
      <c r="D74" s="486"/>
      <c r="E74" s="486"/>
      <c r="F74" s="487"/>
      <c r="G74" s="122"/>
      <c r="H74" s="117">
        <f>$I$27</f>
        <v>60000</v>
      </c>
      <c r="I74" s="99">
        <f t="shared" si="0"/>
        <v>0</v>
      </c>
      <c r="M74" s="485" t="s">
        <v>224</v>
      </c>
      <c r="N74" s="486"/>
      <c r="O74" s="486"/>
      <c r="P74" s="486"/>
      <c r="Q74" s="487"/>
      <c r="R74" s="122"/>
      <c r="S74" s="117">
        <f>$I$27</f>
        <v>60000</v>
      </c>
      <c r="T74" s="99">
        <f t="shared" si="2"/>
        <v>0</v>
      </c>
    </row>
    <row r="75" spans="2:23">
      <c r="B75" s="485" t="s">
        <v>274</v>
      </c>
      <c r="C75" s="486"/>
      <c r="D75" s="486"/>
      <c r="E75" s="486"/>
      <c r="F75" s="487"/>
      <c r="G75" s="122"/>
      <c r="H75" s="117">
        <f>$I$26</f>
        <v>90000</v>
      </c>
      <c r="I75" s="99">
        <f t="shared" si="0"/>
        <v>0</v>
      </c>
      <c r="M75" s="485" t="s">
        <v>274</v>
      </c>
      <c r="N75" s="486"/>
      <c r="O75" s="486"/>
      <c r="P75" s="486"/>
      <c r="Q75" s="487"/>
      <c r="R75" s="122"/>
      <c r="S75" s="117">
        <f>$I$26</f>
        <v>90000</v>
      </c>
      <c r="T75" s="99">
        <f t="shared" si="2"/>
        <v>0</v>
      </c>
    </row>
    <row r="76" spans="2:23">
      <c r="B76" s="485" t="s">
        <v>226</v>
      </c>
      <c r="C76" s="486"/>
      <c r="D76" s="486"/>
      <c r="E76" s="486"/>
      <c r="F76" s="487"/>
      <c r="G76" s="122"/>
      <c r="H76" s="117"/>
      <c r="I76" s="99">
        <f t="shared" si="0"/>
        <v>0</v>
      </c>
      <c r="M76" s="485" t="s">
        <v>226</v>
      </c>
      <c r="N76" s="486"/>
      <c r="O76" s="486"/>
      <c r="P76" s="486"/>
      <c r="Q76" s="487"/>
      <c r="R76" s="122"/>
      <c r="S76" s="117"/>
      <c r="T76" s="99">
        <f t="shared" si="2"/>
        <v>0</v>
      </c>
    </row>
    <row r="77" spans="2:23">
      <c r="B77" s="126" t="s">
        <v>227</v>
      </c>
      <c r="C77" s="127"/>
      <c r="D77" s="127"/>
      <c r="E77" s="127"/>
      <c r="F77" s="128"/>
      <c r="G77" s="122"/>
      <c r="H77" s="117"/>
      <c r="I77" s="99">
        <f t="shared" si="0"/>
        <v>0</v>
      </c>
      <c r="M77" s="126" t="s">
        <v>227</v>
      </c>
      <c r="N77" s="127"/>
      <c r="O77" s="127"/>
      <c r="P77" s="127"/>
      <c r="Q77" s="128"/>
      <c r="R77" s="122"/>
      <c r="S77" s="117"/>
      <c r="T77" s="99">
        <f t="shared" si="2"/>
        <v>0</v>
      </c>
    </row>
    <row r="78" spans="2:23">
      <c r="B78" s="126" t="s">
        <v>225</v>
      </c>
      <c r="C78" s="127"/>
      <c r="D78" s="127"/>
      <c r="E78" s="127"/>
      <c r="F78" s="128"/>
      <c r="G78" s="122"/>
      <c r="H78" s="117"/>
      <c r="I78" s="99"/>
      <c r="M78" s="126" t="s">
        <v>225</v>
      </c>
      <c r="N78" s="127"/>
      <c r="O78" s="127"/>
      <c r="P78" s="127"/>
      <c r="Q78" s="128"/>
      <c r="R78" s="122"/>
      <c r="S78" s="117"/>
      <c r="T78" s="99"/>
    </row>
    <row r="79" spans="2:23" ht="14.4" thickBot="1">
      <c r="B79" s="126"/>
      <c r="C79" s="127"/>
      <c r="D79" s="127"/>
      <c r="E79" s="127"/>
      <c r="F79" s="128"/>
      <c r="G79" s="122"/>
      <c r="H79" s="123"/>
      <c r="I79" s="99">
        <f t="shared" si="0"/>
        <v>0</v>
      </c>
      <c r="M79" s="126"/>
      <c r="N79" s="127"/>
      <c r="O79" s="127"/>
      <c r="P79" s="127"/>
      <c r="Q79" s="128"/>
      <c r="R79" s="122"/>
      <c r="S79" s="123"/>
      <c r="T79" s="99">
        <f t="shared" ref="T79:T83" si="3">R79*S79</f>
        <v>0</v>
      </c>
    </row>
    <row r="80" spans="2:23" ht="15" customHeight="1">
      <c r="B80" s="485"/>
      <c r="C80" s="486"/>
      <c r="D80" s="486"/>
      <c r="E80" s="486"/>
      <c r="F80" s="487"/>
      <c r="G80" s="122"/>
      <c r="H80" s="123"/>
      <c r="I80" s="99">
        <f t="shared" si="0"/>
        <v>0</v>
      </c>
      <c r="J80" s="499" t="s">
        <v>275</v>
      </c>
      <c r="K80" s="500"/>
      <c r="L80" s="501"/>
      <c r="M80" s="485"/>
      <c r="N80" s="486"/>
      <c r="O80" s="486"/>
      <c r="P80" s="486"/>
      <c r="Q80" s="487"/>
      <c r="R80" s="122"/>
      <c r="S80" s="123"/>
      <c r="T80" s="99">
        <f t="shared" si="3"/>
        <v>0</v>
      </c>
      <c r="U80" s="499" t="s">
        <v>275</v>
      </c>
      <c r="V80" s="500"/>
      <c r="W80" s="501"/>
    </row>
    <row r="81" spans="2:23" ht="15.75" customHeight="1" thickBot="1">
      <c r="B81" s="485"/>
      <c r="C81" s="486"/>
      <c r="D81" s="486"/>
      <c r="E81" s="486"/>
      <c r="F81" s="487"/>
      <c r="G81" s="122"/>
      <c r="H81" s="123"/>
      <c r="I81" s="99">
        <f t="shared" si="0"/>
        <v>0</v>
      </c>
      <c r="J81" s="502"/>
      <c r="K81" s="503"/>
      <c r="L81" s="504"/>
      <c r="M81" s="485"/>
      <c r="N81" s="486"/>
      <c r="O81" s="486"/>
      <c r="P81" s="486"/>
      <c r="Q81" s="487"/>
      <c r="R81" s="122"/>
      <c r="S81" s="123"/>
      <c r="T81" s="99">
        <f t="shared" si="3"/>
        <v>0</v>
      </c>
      <c r="U81" s="502"/>
      <c r="V81" s="503"/>
      <c r="W81" s="504"/>
    </row>
    <row r="82" spans="2:23" ht="15" customHeight="1">
      <c r="B82" s="485"/>
      <c r="C82" s="486"/>
      <c r="D82" s="486"/>
      <c r="E82" s="486"/>
      <c r="F82" s="487"/>
      <c r="G82" s="122"/>
      <c r="H82" s="123"/>
      <c r="I82" s="99">
        <f t="shared" si="0"/>
        <v>0</v>
      </c>
      <c r="J82" s="491">
        <f>SUM(I72:I83)</f>
        <v>0</v>
      </c>
      <c r="K82" s="492"/>
      <c r="L82" s="493"/>
      <c r="M82" s="485"/>
      <c r="N82" s="486"/>
      <c r="O82" s="486"/>
      <c r="P82" s="486"/>
      <c r="Q82" s="487"/>
      <c r="R82" s="122"/>
      <c r="S82" s="123"/>
      <c r="T82" s="99">
        <f t="shared" si="3"/>
        <v>0</v>
      </c>
      <c r="U82" s="491">
        <f>SUM(T72:T83)</f>
        <v>0</v>
      </c>
      <c r="V82" s="492"/>
      <c r="W82" s="493"/>
    </row>
    <row r="83" spans="2:23" ht="15" customHeight="1" thickBot="1">
      <c r="B83" s="129"/>
      <c r="C83" s="130"/>
      <c r="D83" s="130"/>
      <c r="E83" s="130"/>
      <c r="F83" s="131"/>
      <c r="G83" s="124"/>
      <c r="H83" s="125"/>
      <c r="I83" s="100">
        <f t="shared" si="0"/>
        <v>0</v>
      </c>
      <c r="J83" s="494"/>
      <c r="K83" s="495"/>
      <c r="L83" s="496"/>
      <c r="M83" s="129"/>
      <c r="N83" s="130"/>
      <c r="O83" s="130"/>
      <c r="P83" s="130"/>
      <c r="Q83" s="131"/>
      <c r="R83" s="124"/>
      <c r="S83" s="125"/>
      <c r="T83" s="100">
        <f t="shared" si="3"/>
        <v>0</v>
      </c>
      <c r="U83" s="494"/>
      <c r="V83" s="495"/>
      <c r="W83" s="496"/>
    </row>
    <row r="84" spans="2:23" ht="15" customHeight="1" thickBot="1">
      <c r="B84" s="511" t="s">
        <v>25</v>
      </c>
      <c r="C84" s="512"/>
      <c r="D84" s="512"/>
      <c r="E84" s="512"/>
      <c r="F84" s="512"/>
      <c r="G84" s="512"/>
      <c r="H84" s="512"/>
      <c r="I84" s="513"/>
      <c r="J84" s="132"/>
      <c r="K84" s="132"/>
      <c r="L84" s="132"/>
      <c r="M84" s="511" t="s">
        <v>25</v>
      </c>
      <c r="N84" s="512"/>
      <c r="O84" s="512"/>
      <c r="P84" s="512"/>
      <c r="Q84" s="512"/>
      <c r="R84" s="512"/>
      <c r="S84" s="512"/>
      <c r="T84" s="513"/>
      <c r="U84" s="132"/>
      <c r="V84" s="132"/>
      <c r="W84" s="132"/>
    </row>
    <row r="85" spans="2:23" ht="15" customHeight="1" thickBot="1">
      <c r="B85" s="514" t="s">
        <v>267</v>
      </c>
      <c r="C85" s="515"/>
      <c r="D85" s="515"/>
      <c r="E85" s="515"/>
      <c r="F85" s="515"/>
      <c r="G85" s="133" t="s">
        <v>266</v>
      </c>
      <c r="H85" s="134" t="s">
        <v>0</v>
      </c>
      <c r="I85" s="101" t="s">
        <v>265</v>
      </c>
      <c r="J85" s="132"/>
      <c r="K85" s="132"/>
      <c r="L85" s="132"/>
      <c r="M85" s="514" t="s">
        <v>267</v>
      </c>
      <c r="N85" s="515"/>
      <c r="O85" s="515"/>
      <c r="P85" s="515"/>
      <c r="Q85" s="515"/>
      <c r="R85" s="133" t="s">
        <v>266</v>
      </c>
      <c r="S85" s="134" t="s">
        <v>0</v>
      </c>
      <c r="T85" s="101" t="s">
        <v>265</v>
      </c>
      <c r="U85" s="132"/>
      <c r="V85" s="132"/>
      <c r="W85" s="132"/>
    </row>
    <row r="86" spans="2:23" ht="15" customHeight="1">
      <c r="B86" s="516" t="s">
        <v>31</v>
      </c>
      <c r="C86" s="517"/>
      <c r="D86" s="517"/>
      <c r="E86" s="517"/>
      <c r="F86" s="518"/>
      <c r="G86" s="116"/>
      <c r="H86" s="117">
        <f>$R$4</f>
        <v>300000</v>
      </c>
      <c r="I86" s="99">
        <f t="shared" ref="I86:I88" si="4">G86*H86</f>
        <v>0</v>
      </c>
      <c r="J86" s="132"/>
      <c r="K86" s="132"/>
      <c r="L86" s="132"/>
      <c r="M86" s="516" t="s">
        <v>31</v>
      </c>
      <c r="N86" s="517"/>
      <c r="O86" s="517"/>
      <c r="P86" s="517"/>
      <c r="Q86" s="518"/>
      <c r="R86" s="116"/>
      <c r="S86" s="117">
        <f>$R$4</f>
        <v>300000</v>
      </c>
      <c r="T86" s="99">
        <f t="shared" ref="T86:T88" si="5">R86*S86</f>
        <v>0</v>
      </c>
      <c r="U86" s="132"/>
      <c r="V86" s="132"/>
      <c r="W86" s="132"/>
    </row>
    <row r="87" spans="2:23" ht="15" customHeight="1">
      <c r="B87" s="519" t="s">
        <v>11</v>
      </c>
      <c r="C87" s="520"/>
      <c r="D87" s="520"/>
      <c r="E87" s="520"/>
      <c r="F87" s="521"/>
      <c r="G87" s="122">
        <v>0.5</v>
      </c>
      <c r="H87" s="117">
        <f>$R$5</f>
        <v>65000</v>
      </c>
      <c r="I87" s="99">
        <f t="shared" si="4"/>
        <v>32500</v>
      </c>
      <c r="J87" s="132"/>
      <c r="K87" s="132"/>
      <c r="L87" s="132"/>
      <c r="M87" s="519" t="s">
        <v>11</v>
      </c>
      <c r="N87" s="520"/>
      <c r="O87" s="520"/>
      <c r="P87" s="520"/>
      <c r="Q87" s="521"/>
      <c r="R87" s="122">
        <v>0.5</v>
      </c>
      <c r="S87" s="117">
        <f>$R$5</f>
        <v>65000</v>
      </c>
      <c r="T87" s="99">
        <f t="shared" si="5"/>
        <v>32500</v>
      </c>
      <c r="U87" s="132"/>
      <c r="V87" s="132"/>
      <c r="W87" s="132"/>
    </row>
    <row r="88" spans="2:23" ht="15" customHeight="1">
      <c r="B88" s="519" t="s">
        <v>32</v>
      </c>
      <c r="C88" s="520"/>
      <c r="D88" s="520"/>
      <c r="E88" s="520"/>
      <c r="F88" s="521"/>
      <c r="G88" s="122">
        <v>0.5</v>
      </c>
      <c r="H88" s="117">
        <f>$R$6</f>
        <v>250000</v>
      </c>
      <c r="I88" s="99">
        <f t="shared" si="4"/>
        <v>125000</v>
      </c>
      <c r="J88" s="132"/>
      <c r="K88" s="132"/>
      <c r="L88" s="132"/>
      <c r="M88" s="519" t="s">
        <v>32</v>
      </c>
      <c r="N88" s="520"/>
      <c r="O88" s="520"/>
      <c r="P88" s="520"/>
      <c r="Q88" s="521"/>
      <c r="R88" s="122">
        <v>0.5</v>
      </c>
      <c r="S88" s="117">
        <f>$R$6</f>
        <v>250000</v>
      </c>
      <c r="T88" s="99">
        <f t="shared" si="5"/>
        <v>125000</v>
      </c>
      <c r="U88" s="132"/>
      <c r="V88" s="132"/>
      <c r="W88" s="132"/>
    </row>
    <row r="89" spans="2:23" ht="15.75" customHeight="1">
      <c r="B89" s="519" t="s">
        <v>327</v>
      </c>
      <c r="C89" s="520"/>
      <c r="D89" s="520"/>
      <c r="E89" s="520"/>
      <c r="F89" s="521"/>
      <c r="G89" s="122">
        <v>48</v>
      </c>
      <c r="H89" s="117">
        <f>$R$7</f>
        <v>30000</v>
      </c>
      <c r="I89" s="99">
        <f>G89*H89</f>
        <v>1440000</v>
      </c>
      <c r="M89" s="519" t="s">
        <v>327</v>
      </c>
      <c r="N89" s="520"/>
      <c r="O89" s="520"/>
      <c r="P89" s="520"/>
      <c r="Q89" s="521"/>
      <c r="R89" s="122">
        <v>36</v>
      </c>
      <c r="S89" s="117">
        <f>$R$7</f>
        <v>30000</v>
      </c>
      <c r="T89" s="99">
        <f>R89*S89</f>
        <v>1080000</v>
      </c>
    </row>
    <row r="90" spans="2:23" ht="15" customHeight="1">
      <c r="B90" s="519" t="s">
        <v>100</v>
      </c>
      <c r="C90" s="520"/>
      <c r="D90" s="520"/>
      <c r="E90" s="520"/>
      <c r="F90" s="521"/>
      <c r="G90" s="122"/>
      <c r="H90" s="117">
        <f>$R$8</f>
        <v>30000</v>
      </c>
      <c r="I90" s="99">
        <f t="shared" ref="I90:I150" si="6">G90*H90</f>
        <v>0</v>
      </c>
      <c r="M90" s="519" t="s">
        <v>100</v>
      </c>
      <c r="N90" s="520"/>
      <c r="O90" s="520"/>
      <c r="P90" s="520"/>
      <c r="Q90" s="521"/>
      <c r="R90" s="122"/>
      <c r="S90" s="117">
        <f>$R$8</f>
        <v>30000</v>
      </c>
      <c r="T90" s="99">
        <f t="shared" ref="T90:T97" si="7">R90*S90</f>
        <v>0</v>
      </c>
    </row>
    <row r="91" spans="2:23" ht="15.75" customHeight="1">
      <c r="B91" s="519" t="s">
        <v>328</v>
      </c>
      <c r="C91" s="520"/>
      <c r="D91" s="520"/>
      <c r="E91" s="520"/>
      <c r="F91" s="521"/>
      <c r="G91" s="122"/>
      <c r="H91" s="117">
        <f>$R$9</f>
        <v>50000</v>
      </c>
      <c r="I91" s="99">
        <f t="shared" si="6"/>
        <v>0</v>
      </c>
      <c r="M91" s="519" t="s">
        <v>328</v>
      </c>
      <c r="N91" s="520"/>
      <c r="O91" s="520"/>
      <c r="P91" s="520"/>
      <c r="Q91" s="521"/>
      <c r="R91" s="122"/>
      <c r="S91" s="117">
        <f>$R$9</f>
        <v>50000</v>
      </c>
      <c r="T91" s="99">
        <f t="shared" si="7"/>
        <v>0</v>
      </c>
    </row>
    <row r="92" spans="2:23">
      <c r="B92" s="519" t="s">
        <v>325</v>
      </c>
      <c r="C92" s="520"/>
      <c r="D92" s="520"/>
      <c r="E92" s="520"/>
      <c r="F92" s="521"/>
      <c r="G92" s="122"/>
      <c r="H92" s="117">
        <f>$R$10</f>
        <v>15000</v>
      </c>
      <c r="I92" s="99">
        <f t="shared" si="6"/>
        <v>0</v>
      </c>
      <c r="M92" s="519" t="s">
        <v>325</v>
      </c>
      <c r="N92" s="520"/>
      <c r="O92" s="520"/>
      <c r="P92" s="520"/>
      <c r="Q92" s="521"/>
      <c r="R92" s="122"/>
      <c r="S92" s="117">
        <f>$R$10</f>
        <v>15000</v>
      </c>
      <c r="T92" s="99">
        <f t="shared" si="7"/>
        <v>0</v>
      </c>
    </row>
    <row r="93" spans="2:23" ht="14.4" thickBot="1">
      <c r="B93" s="519" t="s">
        <v>326</v>
      </c>
      <c r="C93" s="520"/>
      <c r="D93" s="520"/>
      <c r="E93" s="520"/>
      <c r="F93" s="521"/>
      <c r="G93" s="122">
        <v>12</v>
      </c>
      <c r="H93" s="117">
        <f>$R$11</f>
        <v>15000</v>
      </c>
      <c r="I93" s="99">
        <f t="shared" si="6"/>
        <v>180000</v>
      </c>
      <c r="M93" s="519" t="s">
        <v>326</v>
      </c>
      <c r="N93" s="520"/>
      <c r="O93" s="520"/>
      <c r="P93" s="520"/>
      <c r="Q93" s="521"/>
      <c r="R93" s="122">
        <v>12</v>
      </c>
      <c r="S93" s="117">
        <f>$R$11</f>
        <v>15000</v>
      </c>
      <c r="T93" s="99">
        <f t="shared" si="7"/>
        <v>180000</v>
      </c>
    </row>
    <row r="94" spans="2:23" ht="15" customHeight="1">
      <c r="B94" s="135" t="s">
        <v>276</v>
      </c>
      <c r="C94" s="136"/>
      <c r="D94" s="136"/>
      <c r="E94" s="136"/>
      <c r="F94" s="137"/>
      <c r="G94" s="122">
        <v>4</v>
      </c>
      <c r="H94" s="117">
        <f>$R$12</f>
        <v>75000</v>
      </c>
      <c r="I94" s="99">
        <f t="shared" si="6"/>
        <v>300000</v>
      </c>
      <c r="J94" s="499" t="s">
        <v>275</v>
      </c>
      <c r="K94" s="500"/>
      <c r="L94" s="501"/>
      <c r="M94" s="135" t="s">
        <v>276</v>
      </c>
      <c r="N94" s="136"/>
      <c r="O94" s="136"/>
      <c r="P94" s="136"/>
      <c r="Q94" s="137"/>
      <c r="R94" s="122"/>
      <c r="S94" s="117">
        <f>$R$12</f>
        <v>75000</v>
      </c>
      <c r="T94" s="99">
        <f t="shared" si="7"/>
        <v>0</v>
      </c>
      <c r="U94" s="499" t="s">
        <v>275</v>
      </c>
      <c r="V94" s="500"/>
      <c r="W94" s="501"/>
    </row>
    <row r="95" spans="2:23" ht="15.75" customHeight="1" thickBot="1">
      <c r="B95" s="135" t="s">
        <v>277</v>
      </c>
      <c r="C95" s="136"/>
      <c r="D95" s="136"/>
      <c r="E95" s="136"/>
      <c r="F95" s="137"/>
      <c r="G95" s="122">
        <v>1</v>
      </c>
      <c r="H95" s="117">
        <f>$R$13</f>
        <v>75000</v>
      </c>
      <c r="I95" s="99">
        <f t="shared" si="6"/>
        <v>75000</v>
      </c>
      <c r="J95" s="502"/>
      <c r="K95" s="503"/>
      <c r="L95" s="504"/>
      <c r="M95" s="135" t="s">
        <v>277</v>
      </c>
      <c r="N95" s="136"/>
      <c r="O95" s="136"/>
      <c r="P95" s="136"/>
      <c r="Q95" s="137"/>
      <c r="R95" s="122"/>
      <c r="S95" s="117">
        <f>$R$13</f>
        <v>75000</v>
      </c>
      <c r="T95" s="99">
        <f t="shared" si="7"/>
        <v>0</v>
      </c>
      <c r="U95" s="502"/>
      <c r="V95" s="503"/>
      <c r="W95" s="504"/>
    </row>
    <row r="96" spans="2:23" ht="15" customHeight="1">
      <c r="B96" s="519" t="s">
        <v>6</v>
      </c>
      <c r="C96" s="520"/>
      <c r="D96" s="520"/>
      <c r="E96" s="520"/>
      <c r="F96" s="521"/>
      <c r="G96" s="122">
        <v>3</v>
      </c>
      <c r="H96" s="117">
        <f>$R$14</f>
        <v>30000</v>
      </c>
      <c r="I96" s="99">
        <f t="shared" si="6"/>
        <v>90000</v>
      </c>
      <c r="J96" s="491">
        <f>SUM(I86:I97)</f>
        <v>2242500</v>
      </c>
      <c r="K96" s="492"/>
      <c r="L96" s="493"/>
      <c r="M96" s="519" t="s">
        <v>75</v>
      </c>
      <c r="N96" s="520"/>
      <c r="O96" s="520"/>
      <c r="P96" s="520"/>
      <c r="Q96" s="521"/>
      <c r="R96" s="122"/>
      <c r="S96" s="117">
        <f>$R$14</f>
        <v>30000</v>
      </c>
      <c r="T96" s="99">
        <f t="shared" si="7"/>
        <v>0</v>
      </c>
      <c r="U96" s="491">
        <f>SUM(T86:T97)</f>
        <v>1417500</v>
      </c>
      <c r="V96" s="492"/>
      <c r="W96" s="493"/>
    </row>
    <row r="97" spans="2:23" ht="15.75" customHeight="1" thickBot="1">
      <c r="B97" s="519" t="s">
        <v>12</v>
      </c>
      <c r="C97" s="520"/>
      <c r="D97" s="520"/>
      <c r="E97" s="520"/>
      <c r="F97" s="521"/>
      <c r="G97" s="124"/>
      <c r="H97" s="117">
        <f>$R$15</f>
        <v>12000</v>
      </c>
      <c r="I97" s="99">
        <f t="shared" si="6"/>
        <v>0</v>
      </c>
      <c r="J97" s="494"/>
      <c r="K97" s="495"/>
      <c r="L97" s="496"/>
      <c r="M97" s="519" t="s">
        <v>12</v>
      </c>
      <c r="N97" s="520"/>
      <c r="O97" s="520"/>
      <c r="P97" s="520"/>
      <c r="Q97" s="521"/>
      <c r="R97" s="124"/>
      <c r="S97" s="117">
        <f>$R$15</f>
        <v>12000</v>
      </c>
      <c r="T97" s="99">
        <f t="shared" si="7"/>
        <v>0</v>
      </c>
      <c r="U97" s="494"/>
      <c r="V97" s="495"/>
      <c r="W97" s="496"/>
    </row>
    <row r="98" spans="2:23" ht="15.75" customHeight="1" thickBot="1">
      <c r="B98" s="522" t="s">
        <v>27</v>
      </c>
      <c r="C98" s="523"/>
      <c r="D98" s="523"/>
      <c r="E98" s="523"/>
      <c r="F98" s="523"/>
      <c r="G98" s="523"/>
      <c r="H98" s="523"/>
      <c r="I98" s="524"/>
      <c r="M98" s="522" t="s">
        <v>27</v>
      </c>
      <c r="N98" s="523"/>
      <c r="O98" s="523"/>
      <c r="P98" s="523"/>
      <c r="Q98" s="523"/>
      <c r="R98" s="523"/>
      <c r="S98" s="523"/>
      <c r="T98" s="524"/>
    </row>
    <row r="99" spans="2:23" ht="15.75" customHeight="1" thickBot="1">
      <c r="B99" s="522" t="s">
        <v>267</v>
      </c>
      <c r="C99" s="523"/>
      <c r="D99" s="523"/>
      <c r="E99" s="523"/>
      <c r="F99" s="523"/>
      <c r="G99" s="138" t="s">
        <v>266</v>
      </c>
      <c r="H99" s="138" t="s">
        <v>0</v>
      </c>
      <c r="I99" s="102" t="s">
        <v>265</v>
      </c>
      <c r="M99" s="522" t="s">
        <v>267</v>
      </c>
      <c r="N99" s="523"/>
      <c r="O99" s="523"/>
      <c r="P99" s="523"/>
      <c r="Q99" s="523"/>
      <c r="R99" s="138" t="s">
        <v>266</v>
      </c>
      <c r="S99" s="138" t="s">
        <v>0</v>
      </c>
      <c r="T99" s="102" t="s">
        <v>265</v>
      </c>
    </row>
    <row r="100" spans="2:23" ht="15.75" customHeight="1">
      <c r="B100" s="525" t="s">
        <v>278</v>
      </c>
      <c r="C100" s="526"/>
      <c r="D100" s="526"/>
      <c r="E100" s="526"/>
      <c r="F100" s="527"/>
      <c r="G100" s="116"/>
      <c r="H100" s="117">
        <v>1500000</v>
      </c>
      <c r="I100" s="99">
        <f t="shared" si="6"/>
        <v>0</v>
      </c>
      <c r="M100" s="525" t="s">
        <v>278</v>
      </c>
      <c r="N100" s="526"/>
      <c r="O100" s="526"/>
      <c r="P100" s="526"/>
      <c r="Q100" s="527"/>
      <c r="R100" s="116"/>
      <c r="S100" s="117"/>
      <c r="T100" s="99">
        <f t="shared" ref="T100:T111" si="8">R100*S100</f>
        <v>0</v>
      </c>
    </row>
    <row r="101" spans="2:23">
      <c r="B101" s="525" t="s">
        <v>279</v>
      </c>
      <c r="C101" s="526"/>
      <c r="D101" s="526"/>
      <c r="E101" s="526"/>
      <c r="F101" s="527"/>
      <c r="G101" s="122"/>
      <c r="H101" s="123"/>
      <c r="I101" s="99">
        <f t="shared" si="6"/>
        <v>0</v>
      </c>
      <c r="M101" s="525" t="s">
        <v>279</v>
      </c>
      <c r="N101" s="526"/>
      <c r="O101" s="526"/>
      <c r="P101" s="526"/>
      <c r="Q101" s="527"/>
      <c r="R101" s="122"/>
      <c r="S101" s="123"/>
      <c r="T101" s="99">
        <f t="shared" si="8"/>
        <v>0</v>
      </c>
    </row>
    <row r="102" spans="2:23">
      <c r="B102" s="528" t="s">
        <v>280</v>
      </c>
      <c r="C102" s="529"/>
      <c r="D102" s="529"/>
      <c r="E102" s="529"/>
      <c r="F102" s="530"/>
      <c r="G102" s="122"/>
      <c r="H102" s="123">
        <v>1000000</v>
      </c>
      <c r="I102" s="99">
        <f t="shared" si="6"/>
        <v>0</v>
      </c>
      <c r="M102" s="528" t="s">
        <v>280</v>
      </c>
      <c r="N102" s="529"/>
      <c r="O102" s="529"/>
      <c r="P102" s="529"/>
      <c r="Q102" s="530"/>
      <c r="R102" s="122"/>
      <c r="S102" s="123"/>
      <c r="T102" s="99">
        <f t="shared" si="8"/>
        <v>0</v>
      </c>
    </row>
    <row r="103" spans="2:23">
      <c r="B103" s="528" t="s">
        <v>94</v>
      </c>
      <c r="C103" s="529"/>
      <c r="D103" s="529"/>
      <c r="E103" s="529"/>
      <c r="F103" s="530"/>
      <c r="G103" s="122">
        <v>1</v>
      </c>
      <c r="H103" s="123">
        <v>450000</v>
      </c>
      <c r="I103" s="99">
        <f t="shared" si="6"/>
        <v>450000</v>
      </c>
      <c r="M103" s="528" t="s">
        <v>94</v>
      </c>
      <c r="N103" s="529"/>
      <c r="O103" s="529"/>
      <c r="P103" s="529"/>
      <c r="Q103" s="530"/>
      <c r="R103" s="122">
        <v>1</v>
      </c>
      <c r="S103" s="123">
        <v>300000</v>
      </c>
      <c r="T103" s="99">
        <f t="shared" si="8"/>
        <v>300000</v>
      </c>
    </row>
    <row r="104" spans="2:23">
      <c r="B104" s="139" t="s">
        <v>281</v>
      </c>
      <c r="C104" s="140"/>
      <c r="D104" s="140"/>
      <c r="E104" s="140"/>
      <c r="F104" s="141"/>
      <c r="G104" s="122"/>
      <c r="H104" s="123"/>
      <c r="I104" s="99">
        <f t="shared" si="6"/>
        <v>0</v>
      </c>
      <c r="M104" s="139" t="s">
        <v>281</v>
      </c>
      <c r="N104" s="140"/>
      <c r="O104" s="140"/>
      <c r="P104" s="140"/>
      <c r="Q104" s="141"/>
      <c r="R104" s="122"/>
      <c r="S104" s="123"/>
      <c r="T104" s="99">
        <f t="shared" si="8"/>
        <v>0</v>
      </c>
    </row>
    <row r="105" spans="2:23">
      <c r="B105" s="528" t="s">
        <v>284</v>
      </c>
      <c r="C105" s="529"/>
      <c r="D105" s="529"/>
      <c r="E105" s="529"/>
      <c r="F105" s="530"/>
      <c r="G105" s="122"/>
      <c r="H105" s="123">
        <v>600000</v>
      </c>
      <c r="I105" s="99">
        <f t="shared" si="6"/>
        <v>0</v>
      </c>
      <c r="M105" s="528" t="s">
        <v>284</v>
      </c>
      <c r="N105" s="529"/>
      <c r="O105" s="529"/>
      <c r="P105" s="529"/>
      <c r="Q105" s="530"/>
      <c r="R105" s="122"/>
      <c r="S105" s="123"/>
      <c r="T105" s="99">
        <f t="shared" si="8"/>
        <v>0</v>
      </c>
    </row>
    <row r="106" spans="2:23">
      <c r="B106" s="528" t="s">
        <v>285</v>
      </c>
      <c r="C106" s="529"/>
      <c r="D106" s="529"/>
      <c r="E106" s="529"/>
      <c r="F106" s="530"/>
      <c r="G106" s="122"/>
      <c r="H106" s="123"/>
      <c r="I106" s="99">
        <f t="shared" si="6"/>
        <v>0</v>
      </c>
      <c r="M106" s="528" t="s">
        <v>285</v>
      </c>
      <c r="N106" s="529"/>
      <c r="O106" s="529"/>
      <c r="P106" s="529"/>
      <c r="Q106" s="530"/>
      <c r="R106" s="122"/>
      <c r="S106" s="123"/>
      <c r="T106" s="99">
        <f t="shared" si="8"/>
        <v>0</v>
      </c>
    </row>
    <row r="107" spans="2:23" ht="14.4" thickBot="1">
      <c r="B107" s="139" t="s">
        <v>288</v>
      </c>
      <c r="C107" s="140"/>
      <c r="D107" s="140"/>
      <c r="E107" s="140"/>
      <c r="F107" s="141"/>
      <c r="G107" s="122"/>
      <c r="H107" s="123"/>
      <c r="I107" s="99">
        <f t="shared" si="6"/>
        <v>0</v>
      </c>
      <c r="M107" s="139" t="s">
        <v>288</v>
      </c>
      <c r="N107" s="140"/>
      <c r="O107" s="140"/>
      <c r="P107" s="140"/>
      <c r="Q107" s="141"/>
      <c r="R107" s="122"/>
      <c r="S107" s="123"/>
      <c r="T107" s="99">
        <f t="shared" si="8"/>
        <v>0</v>
      </c>
    </row>
    <row r="108" spans="2:23" ht="15" customHeight="1">
      <c r="B108" s="528" t="s">
        <v>289</v>
      </c>
      <c r="C108" s="529"/>
      <c r="D108" s="529"/>
      <c r="E108" s="529"/>
      <c r="F108" s="530"/>
      <c r="G108" s="122">
        <v>2</v>
      </c>
      <c r="H108" s="123">
        <v>320000</v>
      </c>
      <c r="I108" s="99">
        <f t="shared" si="6"/>
        <v>640000</v>
      </c>
      <c r="J108" s="499" t="s">
        <v>275</v>
      </c>
      <c r="K108" s="500"/>
      <c r="L108" s="501"/>
      <c r="M108" s="528" t="s">
        <v>289</v>
      </c>
      <c r="N108" s="529"/>
      <c r="O108" s="529"/>
      <c r="P108" s="529"/>
      <c r="Q108" s="530"/>
      <c r="R108" s="122"/>
      <c r="S108" s="123"/>
      <c r="T108" s="99">
        <f t="shared" si="8"/>
        <v>0</v>
      </c>
      <c r="U108" s="499" t="s">
        <v>275</v>
      </c>
      <c r="V108" s="500"/>
      <c r="W108" s="501"/>
    </row>
    <row r="109" spans="2:23" ht="15.75" customHeight="1" thickBot="1">
      <c r="B109" s="528" t="s">
        <v>290</v>
      </c>
      <c r="C109" s="529"/>
      <c r="D109" s="529"/>
      <c r="E109" s="529"/>
      <c r="F109" s="530"/>
      <c r="G109" s="122">
        <v>1</v>
      </c>
      <c r="H109" s="123">
        <v>200000</v>
      </c>
      <c r="I109" s="99">
        <f t="shared" si="6"/>
        <v>200000</v>
      </c>
      <c r="J109" s="502"/>
      <c r="K109" s="503"/>
      <c r="L109" s="504"/>
      <c r="M109" s="528" t="s">
        <v>290</v>
      </c>
      <c r="N109" s="529"/>
      <c r="O109" s="529"/>
      <c r="P109" s="529"/>
      <c r="Q109" s="530"/>
      <c r="R109" s="122"/>
      <c r="S109" s="123"/>
      <c r="T109" s="99">
        <f t="shared" si="8"/>
        <v>0</v>
      </c>
      <c r="U109" s="502"/>
      <c r="V109" s="503"/>
      <c r="W109" s="504"/>
    </row>
    <row r="110" spans="2:23" ht="15" customHeight="1">
      <c r="B110" s="528"/>
      <c r="C110" s="529"/>
      <c r="D110" s="529"/>
      <c r="E110" s="529"/>
      <c r="F110" s="530"/>
      <c r="G110" s="122"/>
      <c r="H110" s="123"/>
      <c r="I110" s="99">
        <f t="shared" si="6"/>
        <v>0</v>
      </c>
      <c r="J110" s="491">
        <f>SUM(I100:I111)</f>
        <v>1290000</v>
      </c>
      <c r="K110" s="492"/>
      <c r="L110" s="493"/>
      <c r="M110" s="528"/>
      <c r="N110" s="529"/>
      <c r="O110" s="529"/>
      <c r="P110" s="529"/>
      <c r="Q110" s="530"/>
      <c r="R110" s="122"/>
      <c r="S110" s="123"/>
      <c r="T110" s="99">
        <f t="shared" si="8"/>
        <v>0</v>
      </c>
      <c r="U110" s="491">
        <f>SUM(T100:T111)</f>
        <v>300000</v>
      </c>
      <c r="V110" s="492"/>
      <c r="W110" s="493"/>
    </row>
    <row r="111" spans="2:23" ht="15.75" customHeight="1" thickBot="1">
      <c r="B111" s="537"/>
      <c r="C111" s="538"/>
      <c r="D111" s="538"/>
      <c r="E111" s="538"/>
      <c r="F111" s="539"/>
      <c r="G111" s="124"/>
      <c r="H111" s="125"/>
      <c r="I111" s="100">
        <f t="shared" si="6"/>
        <v>0</v>
      </c>
      <c r="J111" s="494"/>
      <c r="K111" s="495"/>
      <c r="L111" s="496"/>
      <c r="M111" s="537"/>
      <c r="N111" s="538"/>
      <c r="O111" s="538"/>
      <c r="P111" s="538"/>
      <c r="Q111" s="539"/>
      <c r="R111" s="124"/>
      <c r="S111" s="125"/>
      <c r="T111" s="100">
        <f t="shared" si="8"/>
        <v>0</v>
      </c>
      <c r="U111" s="494"/>
      <c r="V111" s="495"/>
      <c r="W111" s="496"/>
    </row>
    <row r="112" spans="2:23" ht="14.4" thickBot="1">
      <c r="B112" s="531" t="s">
        <v>26</v>
      </c>
      <c r="C112" s="532"/>
      <c r="D112" s="532"/>
      <c r="E112" s="532"/>
      <c r="F112" s="532"/>
      <c r="G112" s="532"/>
      <c r="H112" s="532"/>
      <c r="I112" s="533"/>
      <c r="J112" s="132"/>
      <c r="K112" s="132"/>
      <c r="L112" s="132"/>
      <c r="M112" s="531" t="s">
        <v>26</v>
      </c>
      <c r="N112" s="532"/>
      <c r="O112" s="532"/>
      <c r="P112" s="532"/>
      <c r="Q112" s="532"/>
      <c r="R112" s="532"/>
      <c r="S112" s="532"/>
      <c r="T112" s="533"/>
      <c r="U112" s="132"/>
      <c r="V112" s="132"/>
      <c r="W112" s="132"/>
    </row>
    <row r="113" spans="2:23" ht="14.4" thickBot="1">
      <c r="B113" s="531" t="s">
        <v>267</v>
      </c>
      <c r="C113" s="532"/>
      <c r="D113" s="532"/>
      <c r="E113" s="532"/>
      <c r="F113" s="532"/>
      <c r="G113" s="142" t="s">
        <v>266</v>
      </c>
      <c r="H113" s="142" t="s">
        <v>0</v>
      </c>
      <c r="I113" s="103" t="s">
        <v>265</v>
      </c>
      <c r="J113" s="132"/>
      <c r="K113" s="132"/>
      <c r="L113" s="132"/>
      <c r="M113" s="531" t="s">
        <v>267</v>
      </c>
      <c r="N113" s="532"/>
      <c r="O113" s="532"/>
      <c r="P113" s="532"/>
      <c r="Q113" s="532"/>
      <c r="R113" s="142" t="s">
        <v>266</v>
      </c>
      <c r="S113" s="142" t="s">
        <v>0</v>
      </c>
      <c r="T113" s="103" t="s">
        <v>265</v>
      </c>
      <c r="U113" s="132"/>
      <c r="V113" s="132"/>
      <c r="W113" s="132"/>
    </row>
    <row r="114" spans="2:23">
      <c r="B114" s="534" t="s">
        <v>296</v>
      </c>
      <c r="C114" s="535"/>
      <c r="D114" s="535"/>
      <c r="E114" s="535"/>
      <c r="F114" s="536"/>
      <c r="G114" s="143">
        <v>1</v>
      </c>
      <c r="H114" s="144">
        <v>50000</v>
      </c>
      <c r="I114" s="104">
        <f t="shared" si="6"/>
        <v>50000</v>
      </c>
      <c r="M114" s="534" t="s">
        <v>296</v>
      </c>
      <c r="N114" s="535"/>
      <c r="O114" s="535"/>
      <c r="P114" s="535"/>
      <c r="Q114" s="536"/>
      <c r="R114" s="143"/>
      <c r="S114" s="144">
        <v>50000</v>
      </c>
      <c r="T114" s="104">
        <f t="shared" ref="T114:T130" si="9">R114*S114</f>
        <v>0</v>
      </c>
    </row>
    <row r="115" spans="2:23">
      <c r="B115" s="540" t="s">
        <v>295</v>
      </c>
      <c r="C115" s="541"/>
      <c r="D115" s="541"/>
      <c r="E115" s="541"/>
      <c r="F115" s="542"/>
      <c r="G115" s="122">
        <v>1</v>
      </c>
      <c r="H115" s="123">
        <v>15000</v>
      </c>
      <c r="I115" s="99">
        <f t="shared" si="6"/>
        <v>15000</v>
      </c>
      <c r="M115" s="540" t="s">
        <v>295</v>
      </c>
      <c r="N115" s="541"/>
      <c r="O115" s="541"/>
      <c r="P115" s="541"/>
      <c r="Q115" s="542"/>
      <c r="R115" s="122"/>
      <c r="S115" s="123">
        <v>15000</v>
      </c>
      <c r="T115" s="99">
        <f t="shared" si="9"/>
        <v>0</v>
      </c>
    </row>
    <row r="116" spans="2:23">
      <c r="B116" s="540" t="s">
        <v>330</v>
      </c>
      <c r="C116" s="541"/>
      <c r="D116" s="541"/>
      <c r="E116" s="541"/>
      <c r="F116" s="542"/>
      <c r="G116" s="122">
        <v>1</v>
      </c>
      <c r="H116" s="123">
        <v>15000</v>
      </c>
      <c r="I116" s="99">
        <f t="shared" si="6"/>
        <v>15000</v>
      </c>
      <c r="M116" s="540" t="s">
        <v>330</v>
      </c>
      <c r="N116" s="541"/>
      <c r="O116" s="541"/>
      <c r="P116" s="541"/>
      <c r="Q116" s="542"/>
      <c r="R116" s="122">
        <v>2</v>
      </c>
      <c r="S116" s="123">
        <v>15000</v>
      </c>
      <c r="T116" s="99">
        <f t="shared" si="9"/>
        <v>30000</v>
      </c>
    </row>
    <row r="117" spans="2:23">
      <c r="B117" s="540" t="s">
        <v>329</v>
      </c>
      <c r="C117" s="541"/>
      <c r="D117" s="541"/>
      <c r="E117" s="541"/>
      <c r="F117" s="542"/>
      <c r="G117" s="122">
        <v>2</v>
      </c>
      <c r="H117" s="123">
        <v>12000</v>
      </c>
      <c r="I117" s="99">
        <f t="shared" si="6"/>
        <v>24000</v>
      </c>
      <c r="M117" s="540" t="s">
        <v>329</v>
      </c>
      <c r="N117" s="541"/>
      <c r="O117" s="541"/>
      <c r="P117" s="541"/>
      <c r="Q117" s="542"/>
      <c r="R117" s="122"/>
      <c r="S117" s="123">
        <v>12000</v>
      </c>
      <c r="T117" s="99">
        <f t="shared" si="9"/>
        <v>0</v>
      </c>
    </row>
    <row r="118" spans="2:23">
      <c r="B118" s="540" t="s">
        <v>331</v>
      </c>
      <c r="C118" s="541"/>
      <c r="D118" s="541"/>
      <c r="E118" s="541"/>
      <c r="F118" s="542"/>
      <c r="G118" s="122"/>
      <c r="H118" s="123">
        <v>28000</v>
      </c>
      <c r="I118" s="99">
        <f t="shared" si="6"/>
        <v>0</v>
      </c>
      <c r="M118" s="540" t="s">
        <v>331</v>
      </c>
      <c r="N118" s="541"/>
      <c r="O118" s="541"/>
      <c r="P118" s="541"/>
      <c r="Q118" s="542"/>
      <c r="R118" s="122"/>
      <c r="S118" s="123">
        <v>28000</v>
      </c>
      <c r="T118" s="99">
        <f t="shared" si="9"/>
        <v>0</v>
      </c>
    </row>
    <row r="119" spans="2:23">
      <c r="B119" s="145" t="s">
        <v>42</v>
      </c>
      <c r="C119" s="146"/>
      <c r="D119" s="146"/>
      <c r="E119" s="146"/>
      <c r="F119" s="147"/>
      <c r="G119" s="122"/>
      <c r="H119" s="123">
        <v>200000</v>
      </c>
      <c r="I119" s="99">
        <f t="shared" si="6"/>
        <v>0</v>
      </c>
      <c r="M119" s="145" t="s">
        <v>42</v>
      </c>
      <c r="N119" s="146"/>
      <c r="O119" s="146"/>
      <c r="P119" s="146"/>
      <c r="Q119" s="147"/>
      <c r="R119" s="122"/>
      <c r="S119" s="123">
        <v>200000</v>
      </c>
      <c r="T119" s="99">
        <f t="shared" si="9"/>
        <v>0</v>
      </c>
    </row>
    <row r="120" spans="2:23">
      <c r="B120" s="145" t="s">
        <v>41</v>
      </c>
      <c r="C120" s="146"/>
      <c r="D120" s="146"/>
      <c r="E120" s="146"/>
      <c r="F120" s="147"/>
      <c r="G120" s="122">
        <v>0.5</v>
      </c>
      <c r="H120" s="123">
        <v>150000</v>
      </c>
      <c r="I120" s="99">
        <f t="shared" si="6"/>
        <v>75000</v>
      </c>
      <c r="M120" s="145" t="s">
        <v>41</v>
      </c>
      <c r="N120" s="146"/>
      <c r="O120" s="146"/>
      <c r="P120" s="146"/>
      <c r="Q120" s="147"/>
      <c r="R120" s="122">
        <v>0.5</v>
      </c>
      <c r="S120" s="123">
        <v>150000</v>
      </c>
      <c r="T120" s="99">
        <f t="shared" si="9"/>
        <v>75000</v>
      </c>
    </row>
    <row r="121" spans="2:23">
      <c r="B121" s="145" t="s">
        <v>3</v>
      </c>
      <c r="C121" s="146"/>
      <c r="D121" s="146"/>
      <c r="E121" s="146"/>
      <c r="F121" s="147"/>
      <c r="G121" s="122">
        <v>1</v>
      </c>
      <c r="H121" s="123">
        <v>100000</v>
      </c>
      <c r="I121" s="99">
        <f t="shared" si="6"/>
        <v>100000</v>
      </c>
      <c r="M121" s="145" t="s">
        <v>3</v>
      </c>
      <c r="N121" s="146"/>
      <c r="O121" s="146"/>
      <c r="P121" s="146"/>
      <c r="Q121" s="147"/>
      <c r="R121" s="122">
        <v>1</v>
      </c>
      <c r="S121" s="123">
        <v>100000</v>
      </c>
      <c r="T121" s="99">
        <f t="shared" si="9"/>
        <v>100000</v>
      </c>
    </row>
    <row r="122" spans="2:23">
      <c r="B122" s="145" t="s">
        <v>4</v>
      </c>
      <c r="C122" s="146"/>
      <c r="D122" s="146"/>
      <c r="E122" s="146"/>
      <c r="F122" s="147"/>
      <c r="G122" s="122">
        <v>0.5</v>
      </c>
      <c r="H122" s="123">
        <v>75000</v>
      </c>
      <c r="I122" s="99">
        <f t="shared" si="6"/>
        <v>37500</v>
      </c>
      <c r="M122" s="145" t="s">
        <v>4</v>
      </c>
      <c r="N122" s="146"/>
      <c r="O122" s="146"/>
      <c r="P122" s="146"/>
      <c r="Q122" s="147"/>
      <c r="R122" s="122">
        <v>0.5</v>
      </c>
      <c r="S122" s="123">
        <v>75000</v>
      </c>
      <c r="T122" s="99">
        <f t="shared" si="9"/>
        <v>37500</v>
      </c>
    </row>
    <row r="123" spans="2:23">
      <c r="B123" s="145" t="s">
        <v>67</v>
      </c>
      <c r="C123" s="146"/>
      <c r="D123" s="146"/>
      <c r="E123" s="146"/>
      <c r="F123" s="147"/>
      <c r="G123" s="122">
        <v>4</v>
      </c>
      <c r="H123" s="123">
        <v>500</v>
      </c>
      <c r="I123" s="99">
        <f t="shared" si="6"/>
        <v>2000</v>
      </c>
      <c r="M123" s="145" t="s">
        <v>67</v>
      </c>
      <c r="N123" s="146"/>
      <c r="O123" s="146"/>
      <c r="P123" s="146"/>
      <c r="Q123" s="147"/>
      <c r="R123" s="122">
        <v>4</v>
      </c>
      <c r="S123" s="123">
        <v>500</v>
      </c>
      <c r="T123" s="99">
        <f t="shared" si="9"/>
        <v>2000</v>
      </c>
    </row>
    <row r="124" spans="2:23">
      <c r="B124" s="145" t="s">
        <v>68</v>
      </c>
      <c r="C124" s="146"/>
      <c r="D124" s="146"/>
      <c r="E124" s="146"/>
      <c r="F124" s="147"/>
      <c r="G124" s="122">
        <v>2</v>
      </c>
      <c r="H124" s="123">
        <v>500</v>
      </c>
      <c r="I124" s="99">
        <f t="shared" si="6"/>
        <v>1000</v>
      </c>
      <c r="M124" s="145" t="s">
        <v>68</v>
      </c>
      <c r="N124" s="146"/>
      <c r="O124" s="146"/>
      <c r="P124" s="146"/>
      <c r="Q124" s="147"/>
      <c r="R124" s="122">
        <v>2</v>
      </c>
      <c r="S124" s="123">
        <v>500</v>
      </c>
      <c r="T124" s="99">
        <f t="shared" si="9"/>
        <v>1000</v>
      </c>
    </row>
    <row r="125" spans="2:23">
      <c r="B125" s="540" t="s">
        <v>70</v>
      </c>
      <c r="C125" s="541"/>
      <c r="D125" s="541"/>
      <c r="E125" s="541"/>
      <c r="F125" s="542"/>
      <c r="G125" s="122">
        <v>6</v>
      </c>
      <c r="H125" s="123">
        <v>6000</v>
      </c>
      <c r="I125" s="99">
        <f t="shared" si="6"/>
        <v>36000</v>
      </c>
      <c r="M125" s="540" t="s">
        <v>70</v>
      </c>
      <c r="N125" s="541"/>
      <c r="O125" s="541"/>
      <c r="P125" s="541"/>
      <c r="Q125" s="542"/>
      <c r="R125" s="122">
        <v>4</v>
      </c>
      <c r="S125" s="123">
        <v>6000</v>
      </c>
      <c r="T125" s="99">
        <f t="shared" si="9"/>
        <v>24000</v>
      </c>
    </row>
    <row r="126" spans="2:23" ht="14.4" thickBot="1">
      <c r="B126" s="540" t="s">
        <v>380</v>
      </c>
      <c r="C126" s="541"/>
      <c r="D126" s="541"/>
      <c r="E126" s="541"/>
      <c r="F126" s="542"/>
      <c r="G126" s="122">
        <v>2</v>
      </c>
      <c r="H126" s="123">
        <v>15000</v>
      </c>
      <c r="I126" s="99">
        <f t="shared" si="6"/>
        <v>30000</v>
      </c>
      <c r="M126" s="540" t="s">
        <v>380</v>
      </c>
      <c r="N126" s="541"/>
      <c r="O126" s="541"/>
      <c r="P126" s="541"/>
      <c r="Q126" s="542"/>
      <c r="R126" s="122">
        <v>1</v>
      </c>
      <c r="S126" s="123">
        <v>15000</v>
      </c>
      <c r="T126" s="99">
        <f t="shared" si="9"/>
        <v>15000</v>
      </c>
    </row>
    <row r="127" spans="2:23" ht="15" customHeight="1">
      <c r="B127" s="540" t="s">
        <v>16</v>
      </c>
      <c r="C127" s="541"/>
      <c r="D127" s="541"/>
      <c r="E127" s="541"/>
      <c r="F127" s="542"/>
      <c r="G127" s="122">
        <v>0.5</v>
      </c>
      <c r="H127" s="123">
        <v>150000</v>
      </c>
      <c r="I127" s="99">
        <f t="shared" si="6"/>
        <v>75000</v>
      </c>
      <c r="J127" s="499" t="s">
        <v>275</v>
      </c>
      <c r="K127" s="500"/>
      <c r="L127" s="501"/>
      <c r="M127" s="540" t="s">
        <v>16</v>
      </c>
      <c r="N127" s="541"/>
      <c r="O127" s="541"/>
      <c r="P127" s="541"/>
      <c r="Q127" s="542"/>
      <c r="R127" s="122"/>
      <c r="S127" s="123">
        <v>150000</v>
      </c>
      <c r="T127" s="99">
        <f t="shared" si="9"/>
        <v>0</v>
      </c>
      <c r="U127" s="499" t="s">
        <v>275</v>
      </c>
      <c r="V127" s="500"/>
      <c r="W127" s="501"/>
    </row>
    <row r="128" spans="2:23" ht="15.75" customHeight="1" thickBot="1">
      <c r="B128" s="540" t="s">
        <v>17</v>
      </c>
      <c r="C128" s="541"/>
      <c r="D128" s="541"/>
      <c r="E128" s="541"/>
      <c r="F128" s="542"/>
      <c r="G128" s="122">
        <v>0.5</v>
      </c>
      <c r="H128" s="123">
        <v>150000</v>
      </c>
      <c r="I128" s="99">
        <f t="shared" si="6"/>
        <v>75000</v>
      </c>
      <c r="J128" s="502"/>
      <c r="K128" s="503"/>
      <c r="L128" s="504"/>
      <c r="M128" s="540" t="s">
        <v>17</v>
      </c>
      <c r="N128" s="541"/>
      <c r="O128" s="541"/>
      <c r="P128" s="541"/>
      <c r="Q128" s="542"/>
      <c r="R128" s="122"/>
      <c r="S128" s="123">
        <v>150000</v>
      </c>
      <c r="T128" s="99">
        <f t="shared" si="9"/>
        <v>0</v>
      </c>
      <c r="U128" s="502"/>
      <c r="V128" s="503"/>
      <c r="W128" s="504"/>
    </row>
    <row r="129" spans="2:23" ht="15" customHeight="1">
      <c r="B129" s="540"/>
      <c r="C129" s="541"/>
      <c r="D129" s="541"/>
      <c r="E129" s="541"/>
      <c r="F129" s="542"/>
      <c r="G129" s="122"/>
      <c r="H129" s="123"/>
      <c r="I129" s="99">
        <f t="shared" si="6"/>
        <v>0</v>
      </c>
      <c r="J129" s="491">
        <f>SUM(I114:I130)</f>
        <v>535500</v>
      </c>
      <c r="K129" s="492"/>
      <c r="L129" s="493"/>
      <c r="M129" s="540"/>
      <c r="N129" s="541"/>
      <c r="O129" s="541"/>
      <c r="P129" s="541"/>
      <c r="Q129" s="542"/>
      <c r="R129" s="122"/>
      <c r="S129" s="123"/>
      <c r="T129" s="99">
        <f t="shared" si="9"/>
        <v>0</v>
      </c>
      <c r="U129" s="491">
        <f>SUM(T114:T130)</f>
        <v>284500</v>
      </c>
      <c r="V129" s="492"/>
      <c r="W129" s="493"/>
    </row>
    <row r="130" spans="2:23" ht="15.75" customHeight="1" thickBot="1">
      <c r="B130" s="543"/>
      <c r="C130" s="544"/>
      <c r="D130" s="544"/>
      <c r="E130" s="544"/>
      <c r="F130" s="545"/>
      <c r="G130" s="124"/>
      <c r="H130" s="125"/>
      <c r="I130" s="100">
        <f t="shared" si="6"/>
        <v>0</v>
      </c>
      <c r="J130" s="494"/>
      <c r="K130" s="495"/>
      <c r="L130" s="496"/>
      <c r="M130" s="543"/>
      <c r="N130" s="544"/>
      <c r="O130" s="544"/>
      <c r="P130" s="544"/>
      <c r="Q130" s="545"/>
      <c r="R130" s="124"/>
      <c r="S130" s="125"/>
      <c r="T130" s="100">
        <f t="shared" si="9"/>
        <v>0</v>
      </c>
      <c r="U130" s="494"/>
      <c r="V130" s="495"/>
      <c r="W130" s="496"/>
    </row>
    <row r="131" spans="2:23" ht="14.4" thickBot="1">
      <c r="B131" s="546" t="s">
        <v>297</v>
      </c>
      <c r="C131" s="547"/>
      <c r="D131" s="547"/>
      <c r="E131" s="547"/>
      <c r="F131" s="547"/>
      <c r="G131" s="547"/>
      <c r="H131" s="547"/>
      <c r="I131" s="548"/>
      <c r="J131" s="132"/>
      <c r="K131" s="132"/>
      <c r="L131" s="132"/>
      <c r="M131" s="546" t="s">
        <v>297</v>
      </c>
      <c r="N131" s="547"/>
      <c r="O131" s="547"/>
      <c r="P131" s="547"/>
      <c r="Q131" s="547"/>
      <c r="R131" s="547"/>
      <c r="S131" s="547"/>
      <c r="T131" s="548"/>
      <c r="U131" s="132"/>
      <c r="V131" s="132"/>
      <c r="W131" s="132"/>
    </row>
    <row r="132" spans="2:23" ht="14.4" thickBot="1">
      <c r="B132" s="546" t="s">
        <v>267</v>
      </c>
      <c r="C132" s="547"/>
      <c r="D132" s="547"/>
      <c r="E132" s="547"/>
      <c r="F132" s="547"/>
      <c r="G132" s="148" t="s">
        <v>266</v>
      </c>
      <c r="H132" s="148" t="s">
        <v>0</v>
      </c>
      <c r="I132" s="105" t="s">
        <v>265</v>
      </c>
      <c r="J132" s="132"/>
      <c r="K132" s="132"/>
      <c r="L132" s="132"/>
      <c r="M132" s="546" t="s">
        <v>267</v>
      </c>
      <c r="N132" s="547"/>
      <c r="O132" s="547"/>
      <c r="P132" s="547"/>
      <c r="Q132" s="547"/>
      <c r="R132" s="148" t="s">
        <v>266</v>
      </c>
      <c r="S132" s="148" t="s">
        <v>0</v>
      </c>
      <c r="T132" s="105" t="s">
        <v>265</v>
      </c>
      <c r="U132" s="132"/>
      <c r="V132" s="132"/>
      <c r="W132" s="132"/>
    </row>
    <row r="133" spans="2:23">
      <c r="B133" s="549" t="s">
        <v>333</v>
      </c>
      <c r="C133" s="550"/>
      <c r="D133" s="550"/>
      <c r="E133" s="550"/>
      <c r="F133" s="551"/>
      <c r="G133" s="116">
        <v>1</v>
      </c>
      <c r="H133" s="117">
        <v>500000</v>
      </c>
      <c r="I133" s="99">
        <f t="shared" si="6"/>
        <v>500000</v>
      </c>
      <c r="M133" s="549" t="s">
        <v>333</v>
      </c>
      <c r="N133" s="550"/>
      <c r="O133" s="550"/>
      <c r="P133" s="550"/>
      <c r="Q133" s="551"/>
      <c r="R133" s="116"/>
      <c r="S133" s="117">
        <v>500000</v>
      </c>
      <c r="T133" s="98"/>
    </row>
    <row r="134" spans="2:23">
      <c r="B134" s="552" t="s">
        <v>291</v>
      </c>
      <c r="C134" s="553"/>
      <c r="D134" s="553"/>
      <c r="E134" s="553"/>
      <c r="F134" s="554"/>
      <c r="G134" s="122">
        <v>1</v>
      </c>
      <c r="H134" s="123">
        <v>300000</v>
      </c>
      <c r="I134" s="99">
        <f t="shared" si="6"/>
        <v>300000</v>
      </c>
      <c r="M134" s="552" t="s">
        <v>291</v>
      </c>
      <c r="N134" s="553"/>
      <c r="O134" s="553"/>
      <c r="P134" s="553"/>
      <c r="Q134" s="554"/>
      <c r="R134" s="122"/>
      <c r="S134" s="123">
        <v>300000</v>
      </c>
      <c r="T134" s="99">
        <f t="shared" ref="T134:T144" si="10">R134*S134</f>
        <v>0</v>
      </c>
    </row>
    <row r="135" spans="2:23">
      <c r="B135" s="552" t="s">
        <v>292</v>
      </c>
      <c r="C135" s="553"/>
      <c r="D135" s="553"/>
      <c r="E135" s="553"/>
      <c r="F135" s="554"/>
      <c r="G135" s="122">
        <v>1</v>
      </c>
      <c r="H135" s="123">
        <v>50000</v>
      </c>
      <c r="I135" s="99">
        <f t="shared" si="6"/>
        <v>50000</v>
      </c>
      <c r="M135" s="552" t="s">
        <v>292</v>
      </c>
      <c r="N135" s="553"/>
      <c r="O135" s="553"/>
      <c r="P135" s="553"/>
      <c r="Q135" s="554"/>
      <c r="R135" s="122"/>
      <c r="S135" s="123">
        <v>50000</v>
      </c>
      <c r="T135" s="99">
        <f t="shared" si="10"/>
        <v>0</v>
      </c>
    </row>
    <row r="136" spans="2:23">
      <c r="B136" s="552" t="s">
        <v>293</v>
      </c>
      <c r="C136" s="553"/>
      <c r="D136" s="553"/>
      <c r="E136" s="553"/>
      <c r="F136" s="554"/>
      <c r="G136" s="122">
        <v>1</v>
      </c>
      <c r="H136" s="123">
        <v>180000</v>
      </c>
      <c r="I136" s="99">
        <f t="shared" si="6"/>
        <v>180000</v>
      </c>
      <c r="M136" s="552" t="s">
        <v>293</v>
      </c>
      <c r="N136" s="553"/>
      <c r="O136" s="553"/>
      <c r="P136" s="553"/>
      <c r="Q136" s="554"/>
      <c r="R136" s="122"/>
      <c r="S136" s="123">
        <v>180000</v>
      </c>
      <c r="T136" s="99">
        <f t="shared" si="10"/>
        <v>0</v>
      </c>
    </row>
    <row r="137" spans="2:23">
      <c r="B137" s="552" t="s">
        <v>193</v>
      </c>
      <c r="C137" s="553"/>
      <c r="D137" s="553"/>
      <c r="E137" s="553"/>
      <c r="F137" s="554"/>
      <c r="G137" s="122">
        <v>1</v>
      </c>
      <c r="H137" s="123">
        <v>350000</v>
      </c>
      <c r="I137" s="99">
        <f t="shared" si="6"/>
        <v>350000</v>
      </c>
      <c r="M137" s="552" t="s">
        <v>193</v>
      </c>
      <c r="N137" s="553"/>
      <c r="O137" s="553"/>
      <c r="P137" s="553"/>
      <c r="Q137" s="554"/>
      <c r="R137" s="122"/>
      <c r="S137" s="123">
        <v>350000</v>
      </c>
      <c r="T137" s="99">
        <f t="shared" si="10"/>
        <v>0</v>
      </c>
    </row>
    <row r="138" spans="2:23">
      <c r="B138" s="552" t="s">
        <v>294</v>
      </c>
      <c r="C138" s="553"/>
      <c r="D138" s="553"/>
      <c r="E138" s="553"/>
      <c r="F138" s="554"/>
      <c r="G138" s="122">
        <v>1</v>
      </c>
      <c r="H138" s="123">
        <v>100000</v>
      </c>
      <c r="I138" s="99">
        <f t="shared" si="6"/>
        <v>100000</v>
      </c>
      <c r="M138" s="552" t="s">
        <v>294</v>
      </c>
      <c r="N138" s="553"/>
      <c r="O138" s="553"/>
      <c r="P138" s="553"/>
      <c r="Q138" s="554"/>
      <c r="R138" s="122"/>
      <c r="S138" s="123">
        <v>100000</v>
      </c>
      <c r="T138" s="99">
        <f t="shared" si="10"/>
        <v>0</v>
      </c>
    </row>
    <row r="139" spans="2:23">
      <c r="B139" s="552"/>
      <c r="C139" s="553"/>
      <c r="D139" s="553"/>
      <c r="E139" s="553"/>
      <c r="F139" s="554"/>
      <c r="G139" s="122"/>
      <c r="H139" s="123"/>
      <c r="I139" s="99">
        <f t="shared" si="6"/>
        <v>0</v>
      </c>
      <c r="M139" s="552"/>
      <c r="N139" s="553"/>
      <c r="O139" s="553"/>
      <c r="P139" s="553"/>
      <c r="Q139" s="554"/>
      <c r="R139" s="122"/>
      <c r="S139" s="123"/>
      <c r="T139" s="99">
        <f t="shared" si="10"/>
        <v>0</v>
      </c>
    </row>
    <row r="140" spans="2:23" ht="15" customHeight="1" thickBot="1">
      <c r="B140" s="552"/>
      <c r="C140" s="553"/>
      <c r="D140" s="553"/>
      <c r="E140" s="553"/>
      <c r="F140" s="554"/>
      <c r="G140" s="122"/>
      <c r="H140" s="123"/>
      <c r="I140" s="99">
        <f t="shared" si="6"/>
        <v>0</v>
      </c>
      <c r="M140" s="552"/>
      <c r="N140" s="553"/>
      <c r="O140" s="553"/>
      <c r="P140" s="553"/>
      <c r="Q140" s="554"/>
      <c r="R140" s="122"/>
      <c r="S140" s="123"/>
      <c r="T140" s="99">
        <f t="shared" si="10"/>
        <v>0</v>
      </c>
    </row>
    <row r="141" spans="2:23" ht="15.75" customHeight="1">
      <c r="B141" s="552"/>
      <c r="C141" s="553"/>
      <c r="D141" s="553"/>
      <c r="E141" s="553"/>
      <c r="F141" s="554"/>
      <c r="G141" s="122"/>
      <c r="H141" s="123"/>
      <c r="I141" s="99">
        <f t="shared" si="6"/>
        <v>0</v>
      </c>
      <c r="J141" s="499" t="s">
        <v>275</v>
      </c>
      <c r="K141" s="500"/>
      <c r="L141" s="501"/>
      <c r="M141" s="552"/>
      <c r="N141" s="553"/>
      <c r="O141" s="553"/>
      <c r="P141" s="553"/>
      <c r="Q141" s="554"/>
      <c r="R141" s="122"/>
      <c r="S141" s="123"/>
      <c r="T141" s="99">
        <f t="shared" si="10"/>
        <v>0</v>
      </c>
      <c r="U141" s="499" t="s">
        <v>275</v>
      </c>
      <c r="V141" s="500"/>
      <c r="W141" s="501"/>
    </row>
    <row r="142" spans="2:23" ht="15" customHeight="1" thickBot="1">
      <c r="B142" s="557" t="s">
        <v>2</v>
      </c>
      <c r="C142" s="558"/>
      <c r="D142" s="558"/>
      <c r="E142" s="558"/>
      <c r="F142" s="559"/>
      <c r="G142" s="149"/>
      <c r="H142" s="150">
        <v>950000</v>
      </c>
      <c r="I142" s="100">
        <f t="shared" si="6"/>
        <v>0</v>
      </c>
      <c r="J142" s="502"/>
      <c r="K142" s="503"/>
      <c r="L142" s="504"/>
      <c r="M142" s="557" t="s">
        <v>2</v>
      </c>
      <c r="N142" s="558"/>
      <c r="O142" s="558"/>
      <c r="P142" s="558"/>
      <c r="Q142" s="559"/>
      <c r="R142" s="149"/>
      <c r="S142" s="150">
        <v>950000</v>
      </c>
      <c r="T142" s="100">
        <f t="shared" si="10"/>
        <v>0</v>
      </c>
      <c r="U142" s="502"/>
      <c r="V142" s="503"/>
      <c r="W142" s="504"/>
    </row>
    <row r="143" spans="2:23" ht="15.75" customHeight="1">
      <c r="B143" s="555" t="s">
        <v>22</v>
      </c>
      <c r="C143" s="556"/>
      <c r="D143" s="556"/>
      <c r="E143" s="556"/>
      <c r="F143" s="556"/>
      <c r="G143" s="122"/>
      <c r="H143" s="123">
        <v>500000</v>
      </c>
      <c r="I143" s="99">
        <f t="shared" si="6"/>
        <v>0</v>
      </c>
      <c r="J143" s="491">
        <f>SUM(I133:I144)</f>
        <v>1730000</v>
      </c>
      <c r="K143" s="492"/>
      <c r="L143" s="493"/>
      <c r="M143" s="555" t="s">
        <v>22</v>
      </c>
      <c r="N143" s="556"/>
      <c r="O143" s="556"/>
      <c r="P143" s="556"/>
      <c r="Q143" s="556"/>
      <c r="R143" s="122"/>
      <c r="S143" s="123">
        <v>500000</v>
      </c>
      <c r="T143" s="99">
        <f t="shared" si="10"/>
        <v>0</v>
      </c>
      <c r="U143" s="491">
        <f>SUM(T133:T144)</f>
        <v>0</v>
      </c>
      <c r="V143" s="492"/>
      <c r="W143" s="493"/>
    </row>
    <row r="144" spans="2:23" ht="15.75" customHeight="1" thickBot="1">
      <c r="B144" s="555" t="s">
        <v>21</v>
      </c>
      <c r="C144" s="556"/>
      <c r="D144" s="556"/>
      <c r="E144" s="556"/>
      <c r="F144" s="556"/>
      <c r="G144" s="122">
        <v>1</v>
      </c>
      <c r="H144" s="123">
        <v>250000</v>
      </c>
      <c r="I144" s="99">
        <f t="shared" si="6"/>
        <v>250000</v>
      </c>
      <c r="J144" s="494"/>
      <c r="K144" s="495"/>
      <c r="L144" s="496"/>
      <c r="M144" s="555" t="s">
        <v>21</v>
      </c>
      <c r="N144" s="556"/>
      <c r="O144" s="556"/>
      <c r="P144" s="556"/>
      <c r="Q144" s="556"/>
      <c r="R144" s="122"/>
      <c r="S144" s="123">
        <v>250000</v>
      </c>
      <c r="T144" s="99">
        <f t="shared" si="10"/>
        <v>0</v>
      </c>
      <c r="U144" s="494"/>
      <c r="V144" s="495"/>
      <c r="W144" s="496"/>
    </row>
    <row r="145" spans="2:23" ht="14.4" thickBot="1">
      <c r="B145" s="560" t="s">
        <v>334</v>
      </c>
      <c r="C145" s="561"/>
      <c r="D145" s="561"/>
      <c r="E145" s="561"/>
      <c r="F145" s="561"/>
      <c r="G145" s="561"/>
      <c r="H145" s="561"/>
      <c r="I145" s="562"/>
      <c r="J145" s="151"/>
      <c r="K145" s="132"/>
      <c r="L145" s="132"/>
      <c r="M145" s="560" t="s">
        <v>334</v>
      </c>
      <c r="N145" s="561"/>
      <c r="O145" s="561"/>
      <c r="P145" s="561"/>
      <c r="Q145" s="561"/>
      <c r="R145" s="561"/>
      <c r="S145" s="561"/>
      <c r="T145" s="562"/>
      <c r="U145" s="151"/>
      <c r="V145" s="132"/>
      <c r="W145" s="132"/>
    </row>
    <row r="146" spans="2:23" ht="14.4" thickBot="1">
      <c r="B146" s="560" t="s">
        <v>267</v>
      </c>
      <c r="C146" s="561"/>
      <c r="D146" s="561"/>
      <c r="E146" s="561"/>
      <c r="F146" s="561"/>
      <c r="G146" s="152" t="s">
        <v>266</v>
      </c>
      <c r="H146" s="152" t="s">
        <v>0</v>
      </c>
      <c r="I146" s="106" t="s">
        <v>265</v>
      </c>
      <c r="J146" s="151"/>
      <c r="K146" s="132"/>
      <c r="L146" s="132"/>
      <c r="M146" s="560" t="s">
        <v>267</v>
      </c>
      <c r="N146" s="561"/>
      <c r="O146" s="561"/>
      <c r="P146" s="561"/>
      <c r="Q146" s="561"/>
      <c r="R146" s="152" t="s">
        <v>266</v>
      </c>
      <c r="S146" s="152" t="s">
        <v>0</v>
      </c>
      <c r="T146" s="106" t="s">
        <v>265</v>
      </c>
      <c r="U146" s="151"/>
      <c r="V146" s="132"/>
      <c r="W146" s="132"/>
    </row>
    <row r="147" spans="2:23" ht="15" customHeight="1">
      <c r="B147" s="563" t="s">
        <v>8</v>
      </c>
      <c r="C147" s="564"/>
      <c r="D147" s="564"/>
      <c r="E147" s="564"/>
      <c r="F147" s="564"/>
      <c r="G147" s="122">
        <v>10</v>
      </c>
      <c r="H147" s="123">
        <v>65000</v>
      </c>
      <c r="I147" s="99">
        <f t="shared" si="6"/>
        <v>650000</v>
      </c>
      <c r="J147" s="499" t="s">
        <v>275</v>
      </c>
      <c r="K147" s="500"/>
      <c r="L147" s="501"/>
      <c r="M147" s="563" t="s">
        <v>8</v>
      </c>
      <c r="N147" s="564"/>
      <c r="O147" s="564"/>
      <c r="P147" s="564"/>
      <c r="Q147" s="564"/>
      <c r="R147" s="122">
        <v>10</v>
      </c>
      <c r="S147" s="123">
        <v>65000</v>
      </c>
      <c r="T147" s="99">
        <f t="shared" ref="T147:T150" si="11">R147*S147</f>
        <v>650000</v>
      </c>
      <c r="U147" s="499" t="s">
        <v>275</v>
      </c>
      <c r="V147" s="500"/>
      <c r="W147" s="501"/>
    </row>
    <row r="148" spans="2:23" ht="15.75" customHeight="1" thickBot="1">
      <c r="B148" s="563" t="s">
        <v>9</v>
      </c>
      <c r="C148" s="564"/>
      <c r="D148" s="564"/>
      <c r="E148" s="564"/>
      <c r="F148" s="564"/>
      <c r="G148" s="122"/>
      <c r="H148" s="123">
        <v>600000</v>
      </c>
      <c r="I148" s="99">
        <f t="shared" si="6"/>
        <v>0</v>
      </c>
      <c r="J148" s="502"/>
      <c r="K148" s="503"/>
      <c r="L148" s="504"/>
      <c r="M148" s="563" t="s">
        <v>9</v>
      </c>
      <c r="N148" s="564"/>
      <c r="O148" s="564"/>
      <c r="P148" s="564"/>
      <c r="Q148" s="564"/>
      <c r="R148" s="122"/>
      <c r="S148" s="123"/>
      <c r="T148" s="99">
        <f t="shared" si="11"/>
        <v>0</v>
      </c>
      <c r="U148" s="502"/>
      <c r="V148" s="503"/>
      <c r="W148" s="504"/>
    </row>
    <row r="149" spans="2:23" ht="15" customHeight="1">
      <c r="B149" s="563" t="s">
        <v>335</v>
      </c>
      <c r="C149" s="564"/>
      <c r="D149" s="564"/>
      <c r="E149" s="564"/>
      <c r="F149" s="564"/>
      <c r="G149" s="122"/>
      <c r="H149" s="123">
        <v>300000</v>
      </c>
      <c r="I149" s="99">
        <f t="shared" si="6"/>
        <v>0</v>
      </c>
      <c r="J149" s="491">
        <f>SUM(I147:I150)</f>
        <v>950000</v>
      </c>
      <c r="K149" s="492"/>
      <c r="L149" s="493"/>
      <c r="M149" s="563" t="s">
        <v>335</v>
      </c>
      <c r="N149" s="564"/>
      <c r="O149" s="564"/>
      <c r="P149" s="564"/>
      <c r="Q149" s="564"/>
      <c r="R149" s="122"/>
      <c r="S149" s="123"/>
      <c r="T149" s="99">
        <f t="shared" si="11"/>
        <v>0</v>
      </c>
      <c r="U149" s="491">
        <f>SUM(T147:T150)</f>
        <v>650000</v>
      </c>
      <c r="V149" s="492"/>
      <c r="W149" s="493"/>
    </row>
    <row r="150" spans="2:23" ht="15.75" customHeight="1" thickBot="1">
      <c r="B150" s="583" t="s">
        <v>336</v>
      </c>
      <c r="C150" s="584"/>
      <c r="D150" s="584"/>
      <c r="E150" s="584"/>
      <c r="F150" s="584"/>
      <c r="G150" s="153">
        <v>1</v>
      </c>
      <c r="H150" s="154">
        <v>300000</v>
      </c>
      <c r="I150" s="107">
        <f t="shared" si="6"/>
        <v>300000</v>
      </c>
      <c r="J150" s="494"/>
      <c r="K150" s="495"/>
      <c r="L150" s="496"/>
      <c r="M150" s="583" t="s">
        <v>336</v>
      </c>
      <c r="N150" s="584"/>
      <c r="O150" s="584"/>
      <c r="P150" s="584"/>
      <c r="Q150" s="584"/>
      <c r="R150" s="153"/>
      <c r="S150" s="154"/>
      <c r="T150" s="107">
        <f t="shared" si="11"/>
        <v>0</v>
      </c>
      <c r="U150" s="494"/>
      <c r="V150" s="495"/>
      <c r="W150" s="496"/>
    </row>
    <row r="151" spans="2:23" ht="15" customHeight="1">
      <c r="B151" s="565" t="s">
        <v>379</v>
      </c>
      <c r="C151" s="566"/>
      <c r="D151" s="566"/>
      <c r="E151" s="566"/>
      <c r="F151" s="566"/>
      <c r="G151" s="566"/>
      <c r="H151" s="566"/>
      <c r="I151" s="567"/>
      <c r="J151" s="574">
        <f>SUM(J149,J143,J129,J110,J96,J82,J68)</f>
        <v>11131501</v>
      </c>
      <c r="K151" s="575"/>
      <c r="L151" s="576"/>
      <c r="M151" s="565" t="s">
        <v>381</v>
      </c>
      <c r="N151" s="566"/>
      <c r="O151" s="566"/>
      <c r="P151" s="566"/>
      <c r="Q151" s="566"/>
      <c r="R151" s="566"/>
      <c r="S151" s="566"/>
      <c r="T151" s="567"/>
      <c r="U151" s="574">
        <f>SUM(U149,U143,U129,U110,U96,U82,U68)</f>
        <v>6510500</v>
      </c>
      <c r="V151" s="575"/>
      <c r="W151" s="576"/>
    </row>
    <row r="152" spans="2:23" ht="15" customHeight="1">
      <c r="B152" s="568"/>
      <c r="C152" s="569"/>
      <c r="D152" s="569"/>
      <c r="E152" s="569"/>
      <c r="F152" s="569"/>
      <c r="G152" s="569"/>
      <c r="H152" s="569"/>
      <c r="I152" s="570"/>
      <c r="J152" s="577"/>
      <c r="K152" s="578"/>
      <c r="L152" s="579"/>
      <c r="M152" s="568"/>
      <c r="N152" s="569"/>
      <c r="O152" s="569"/>
      <c r="P152" s="569"/>
      <c r="Q152" s="569"/>
      <c r="R152" s="569"/>
      <c r="S152" s="569"/>
      <c r="T152" s="570"/>
      <c r="U152" s="577"/>
      <c r="V152" s="578"/>
      <c r="W152" s="579"/>
    </row>
    <row r="153" spans="2:23" ht="15.75" customHeight="1" thickBot="1">
      <c r="B153" s="571"/>
      <c r="C153" s="572"/>
      <c r="D153" s="572"/>
      <c r="E153" s="572"/>
      <c r="F153" s="572"/>
      <c r="G153" s="572"/>
      <c r="H153" s="572"/>
      <c r="I153" s="573"/>
      <c r="J153" s="580"/>
      <c r="K153" s="581"/>
      <c r="L153" s="582"/>
      <c r="M153" s="571"/>
      <c r="N153" s="572"/>
      <c r="O153" s="572"/>
      <c r="P153" s="572"/>
      <c r="Q153" s="572"/>
      <c r="R153" s="572"/>
      <c r="S153" s="572"/>
      <c r="T153" s="573"/>
      <c r="U153" s="580"/>
      <c r="V153" s="581"/>
      <c r="W153" s="582"/>
    </row>
    <row r="154" spans="2:23">
      <c r="B154" s="475" t="s">
        <v>79</v>
      </c>
      <c r="C154" s="476"/>
      <c r="D154" s="476"/>
      <c r="E154" s="476"/>
      <c r="F154" s="476"/>
      <c r="G154" s="476"/>
      <c r="H154" s="476"/>
      <c r="I154" s="477"/>
      <c r="M154" s="475" t="s">
        <v>383</v>
      </c>
      <c r="N154" s="476"/>
      <c r="O154" s="476"/>
      <c r="P154" s="476"/>
      <c r="Q154" s="476"/>
      <c r="R154" s="476"/>
      <c r="S154" s="476"/>
      <c r="T154" s="477"/>
    </row>
    <row r="155" spans="2:23">
      <c r="B155" s="478"/>
      <c r="C155" s="479"/>
      <c r="D155" s="479"/>
      <c r="E155" s="479"/>
      <c r="F155" s="479"/>
      <c r="G155" s="479"/>
      <c r="H155" s="479"/>
      <c r="I155" s="480"/>
      <c r="M155" s="478"/>
      <c r="N155" s="479"/>
      <c r="O155" s="479"/>
      <c r="P155" s="479"/>
      <c r="Q155" s="479"/>
      <c r="R155" s="479"/>
      <c r="S155" s="479"/>
      <c r="T155" s="480"/>
    </row>
    <row r="156" spans="2:23" ht="14.4" thickBot="1">
      <c r="B156" s="481"/>
      <c r="C156" s="482"/>
      <c r="D156" s="482"/>
      <c r="E156" s="482"/>
      <c r="F156" s="482"/>
      <c r="G156" s="482"/>
      <c r="H156" s="482"/>
      <c r="I156" s="483"/>
      <c r="M156" s="481"/>
      <c r="N156" s="482"/>
      <c r="O156" s="482"/>
      <c r="P156" s="482"/>
      <c r="Q156" s="482"/>
      <c r="R156" s="482"/>
      <c r="S156" s="482"/>
      <c r="T156" s="483"/>
    </row>
    <row r="157" spans="2:23" ht="14.4" thickBot="1">
      <c r="B157" s="467" t="s">
        <v>262</v>
      </c>
      <c r="C157" s="468"/>
      <c r="D157" s="468"/>
      <c r="E157" s="468"/>
      <c r="F157" s="468"/>
      <c r="G157" s="468"/>
      <c r="H157" s="468"/>
      <c r="I157" s="484"/>
      <c r="M157" s="467" t="s">
        <v>262</v>
      </c>
      <c r="N157" s="468"/>
      <c r="O157" s="468"/>
      <c r="P157" s="468"/>
      <c r="Q157" s="468"/>
      <c r="R157" s="468"/>
      <c r="S157" s="468"/>
      <c r="T157" s="484"/>
    </row>
    <row r="158" spans="2:23" ht="14.4" thickBot="1">
      <c r="B158" s="467" t="s">
        <v>267</v>
      </c>
      <c r="C158" s="468"/>
      <c r="D158" s="468"/>
      <c r="E158" s="468"/>
      <c r="F158" s="468"/>
      <c r="G158" s="114" t="s">
        <v>266</v>
      </c>
      <c r="H158" s="114" t="s">
        <v>0</v>
      </c>
      <c r="I158" s="97" t="s">
        <v>265</v>
      </c>
      <c r="M158" s="467" t="s">
        <v>267</v>
      </c>
      <c r="N158" s="468"/>
      <c r="O158" s="468"/>
      <c r="P158" s="468"/>
      <c r="Q158" s="468"/>
      <c r="R158" s="114" t="s">
        <v>266</v>
      </c>
      <c r="S158" s="114" t="s">
        <v>0</v>
      </c>
      <c r="T158" s="97" t="s">
        <v>265</v>
      </c>
    </row>
    <row r="159" spans="2:23">
      <c r="B159" s="469" t="s">
        <v>13</v>
      </c>
      <c r="C159" s="470"/>
      <c r="D159" s="470"/>
      <c r="E159" s="471"/>
      <c r="F159" s="115">
        <v>1</v>
      </c>
      <c r="G159" s="116">
        <v>8</v>
      </c>
      <c r="H159" s="117">
        <f>$I$4</f>
        <v>160000</v>
      </c>
      <c r="I159" s="98">
        <f>F159*G159*H159</f>
        <v>1280000</v>
      </c>
      <c r="M159" s="469" t="s">
        <v>13</v>
      </c>
      <c r="N159" s="470"/>
      <c r="O159" s="470"/>
      <c r="P159" s="471"/>
      <c r="Q159" s="115">
        <v>1</v>
      </c>
      <c r="R159" s="116"/>
      <c r="S159" s="117">
        <f>$I$4</f>
        <v>160000</v>
      </c>
      <c r="T159" s="98">
        <f>Q159*R159*S159</f>
        <v>0</v>
      </c>
    </row>
    <row r="160" spans="2:23">
      <c r="B160" s="118" t="s">
        <v>261</v>
      </c>
      <c r="C160" s="119"/>
      <c r="D160" s="119"/>
      <c r="E160" s="120"/>
      <c r="F160" s="121">
        <v>1</v>
      </c>
      <c r="G160" s="122"/>
      <c r="H160" s="123">
        <f>$I$5</f>
        <v>165000</v>
      </c>
      <c r="I160" s="99"/>
      <c r="M160" s="118" t="s">
        <v>261</v>
      </c>
      <c r="N160" s="119"/>
      <c r="O160" s="119"/>
      <c r="P160" s="120"/>
      <c r="Q160" s="121">
        <v>1</v>
      </c>
      <c r="R160" s="122"/>
      <c r="S160" s="123">
        <f>$I$5</f>
        <v>165000</v>
      </c>
      <c r="T160" s="99"/>
    </row>
    <row r="161" spans="2:23">
      <c r="B161" s="472" t="s">
        <v>14</v>
      </c>
      <c r="C161" s="473"/>
      <c r="D161" s="473"/>
      <c r="E161" s="474"/>
      <c r="F161" s="121">
        <v>1</v>
      </c>
      <c r="G161" s="122"/>
      <c r="H161" s="123">
        <f>$I$6</f>
        <v>140000</v>
      </c>
      <c r="I161" s="99">
        <f>F161*G161*H161</f>
        <v>0</v>
      </c>
      <c r="M161" s="472" t="s">
        <v>14</v>
      </c>
      <c r="N161" s="473"/>
      <c r="O161" s="473"/>
      <c r="P161" s="474"/>
      <c r="Q161" s="121">
        <v>1</v>
      </c>
      <c r="R161" s="122"/>
      <c r="S161" s="123">
        <f>$I$6</f>
        <v>140000</v>
      </c>
      <c r="T161" s="99">
        <f>Q161*R161*S161</f>
        <v>0</v>
      </c>
    </row>
    <row r="162" spans="2:23">
      <c r="B162" s="472" t="s">
        <v>23</v>
      </c>
      <c r="C162" s="473"/>
      <c r="D162" s="473"/>
      <c r="E162" s="474"/>
      <c r="F162" s="121">
        <v>1</v>
      </c>
      <c r="G162" s="122">
        <v>2</v>
      </c>
      <c r="H162" s="123">
        <f>$I$7</f>
        <v>150000</v>
      </c>
      <c r="I162" s="99">
        <f>F162*G162*H162</f>
        <v>300000</v>
      </c>
      <c r="M162" s="472" t="s">
        <v>23</v>
      </c>
      <c r="N162" s="473"/>
      <c r="O162" s="473"/>
      <c r="P162" s="474"/>
      <c r="Q162" s="121">
        <v>1</v>
      </c>
      <c r="R162" s="122"/>
      <c r="S162" s="123">
        <f>$I$7</f>
        <v>150000</v>
      </c>
      <c r="T162" s="99">
        <f>Q162*R162*S162</f>
        <v>0</v>
      </c>
    </row>
    <row r="163" spans="2:23">
      <c r="B163" s="472"/>
      <c r="C163" s="473"/>
      <c r="D163" s="473"/>
      <c r="E163" s="474"/>
      <c r="F163" s="121"/>
      <c r="G163" s="122"/>
      <c r="H163" s="123"/>
      <c r="I163" s="99">
        <f>F163*G163*H163</f>
        <v>0</v>
      </c>
      <c r="M163" s="472"/>
      <c r="N163" s="473"/>
      <c r="O163" s="473"/>
      <c r="P163" s="474"/>
      <c r="Q163" s="121"/>
      <c r="R163" s="122"/>
      <c r="S163" s="123"/>
      <c r="T163" s="99">
        <f>Q163*R163*S163</f>
        <v>0</v>
      </c>
    </row>
    <row r="164" spans="2:23">
      <c r="B164" s="485" t="s">
        <v>18</v>
      </c>
      <c r="C164" s="486"/>
      <c r="D164" s="486"/>
      <c r="E164" s="486"/>
      <c r="F164" s="487"/>
      <c r="G164" s="122">
        <v>15</v>
      </c>
      <c r="H164" s="123">
        <f>$I$8</f>
        <v>12800</v>
      </c>
      <c r="I164" s="99">
        <f>G164*H164</f>
        <v>192000</v>
      </c>
      <c r="M164" s="485" t="s">
        <v>18</v>
      </c>
      <c r="N164" s="486"/>
      <c r="O164" s="486"/>
      <c r="P164" s="486"/>
      <c r="Q164" s="487"/>
      <c r="R164" s="122"/>
      <c r="S164" s="123">
        <f>$I$8</f>
        <v>12800</v>
      </c>
      <c r="T164" s="99">
        <f>R164*S164</f>
        <v>0</v>
      </c>
    </row>
    <row r="165" spans="2:23">
      <c r="B165" s="485" t="s">
        <v>19</v>
      </c>
      <c r="C165" s="486"/>
      <c r="D165" s="486"/>
      <c r="E165" s="486"/>
      <c r="F165" s="487"/>
      <c r="G165" s="122">
        <v>20</v>
      </c>
      <c r="H165" s="123">
        <f>$I$9</f>
        <v>11100</v>
      </c>
      <c r="I165" s="99">
        <f>G165*H165</f>
        <v>222000</v>
      </c>
      <c r="M165" s="485" t="s">
        <v>19</v>
      </c>
      <c r="N165" s="486"/>
      <c r="O165" s="486"/>
      <c r="P165" s="486"/>
      <c r="Q165" s="487"/>
      <c r="R165" s="122"/>
      <c r="S165" s="123">
        <f>$I$9</f>
        <v>11100</v>
      </c>
      <c r="T165" s="99">
        <f>R165*S165</f>
        <v>0</v>
      </c>
    </row>
    <row r="166" spans="2:23">
      <c r="B166" s="488" t="s">
        <v>259</v>
      </c>
      <c r="C166" s="489"/>
      <c r="D166" s="489"/>
      <c r="E166" s="489"/>
      <c r="F166" s="490"/>
      <c r="G166" s="122"/>
      <c r="H166" s="123">
        <f>$I$10</f>
        <v>58</v>
      </c>
      <c r="I166" s="99">
        <f t="shared" ref="I166:I178" si="12">G166*H166</f>
        <v>0</v>
      </c>
      <c r="M166" s="488" t="s">
        <v>259</v>
      </c>
      <c r="N166" s="489"/>
      <c r="O166" s="489"/>
      <c r="P166" s="489"/>
      <c r="Q166" s="490"/>
      <c r="R166" s="122"/>
      <c r="S166" s="123">
        <f>$I$10</f>
        <v>58</v>
      </c>
      <c r="T166" s="99">
        <f t="shared" ref="T166:T178" si="13">R166*S166</f>
        <v>0</v>
      </c>
    </row>
    <row r="167" spans="2:23">
      <c r="B167" s="488" t="s">
        <v>260</v>
      </c>
      <c r="C167" s="489"/>
      <c r="D167" s="489"/>
      <c r="E167" s="489"/>
      <c r="F167" s="490"/>
      <c r="G167" s="122"/>
      <c r="H167" s="123">
        <f>$I$11</f>
        <v>35</v>
      </c>
      <c r="I167" s="99">
        <f t="shared" si="12"/>
        <v>0</v>
      </c>
      <c r="M167" s="488" t="s">
        <v>260</v>
      </c>
      <c r="N167" s="489"/>
      <c r="O167" s="489"/>
      <c r="P167" s="489"/>
      <c r="Q167" s="490"/>
      <c r="R167" s="122"/>
      <c r="S167" s="123">
        <f>$I$11</f>
        <v>35</v>
      </c>
      <c r="T167" s="99">
        <f t="shared" si="13"/>
        <v>0</v>
      </c>
    </row>
    <row r="168" spans="2:23">
      <c r="B168" s="488" t="s">
        <v>299</v>
      </c>
      <c r="C168" s="489"/>
      <c r="D168" s="489"/>
      <c r="E168" s="489"/>
      <c r="F168" s="490"/>
      <c r="G168" s="122"/>
      <c r="H168" s="123">
        <f>$I$12</f>
        <v>1250</v>
      </c>
      <c r="I168" s="99">
        <f t="shared" si="12"/>
        <v>0</v>
      </c>
      <c r="M168" s="488" t="s">
        <v>299</v>
      </c>
      <c r="N168" s="489"/>
      <c r="O168" s="489"/>
      <c r="P168" s="489"/>
      <c r="Q168" s="490"/>
      <c r="R168" s="122"/>
      <c r="S168" s="123">
        <f>$I$12</f>
        <v>1250</v>
      </c>
      <c r="T168" s="99">
        <f t="shared" si="13"/>
        <v>0</v>
      </c>
    </row>
    <row r="169" spans="2:23">
      <c r="B169" s="488" t="s">
        <v>300</v>
      </c>
      <c r="C169" s="489"/>
      <c r="D169" s="489"/>
      <c r="E169" s="489"/>
      <c r="F169" s="490"/>
      <c r="G169" s="122"/>
      <c r="H169" s="123">
        <f>$I$13</f>
        <v>1250</v>
      </c>
      <c r="I169" s="99">
        <f t="shared" si="12"/>
        <v>0</v>
      </c>
      <c r="M169" s="488" t="s">
        <v>300</v>
      </c>
      <c r="N169" s="489"/>
      <c r="O169" s="489"/>
      <c r="P169" s="489"/>
      <c r="Q169" s="490"/>
      <c r="R169" s="122"/>
      <c r="S169" s="123">
        <f>$I$13</f>
        <v>1250</v>
      </c>
      <c r="T169" s="99">
        <f t="shared" si="13"/>
        <v>0</v>
      </c>
    </row>
    <row r="170" spans="2:23">
      <c r="B170" s="488" t="s">
        <v>220</v>
      </c>
      <c r="C170" s="489"/>
      <c r="D170" s="489"/>
      <c r="E170" s="489"/>
      <c r="F170" s="490"/>
      <c r="G170" s="122"/>
      <c r="H170" s="123">
        <f>$I$14</f>
        <v>750</v>
      </c>
      <c r="I170" s="99">
        <f t="shared" si="12"/>
        <v>0</v>
      </c>
      <c r="M170" s="488" t="s">
        <v>220</v>
      </c>
      <c r="N170" s="489"/>
      <c r="O170" s="489"/>
      <c r="P170" s="489"/>
      <c r="Q170" s="490"/>
      <c r="R170" s="122"/>
      <c r="S170" s="123">
        <f>$I$14</f>
        <v>750</v>
      </c>
      <c r="T170" s="99">
        <f t="shared" si="13"/>
        <v>0</v>
      </c>
    </row>
    <row r="171" spans="2:23">
      <c r="B171" s="488" t="s">
        <v>268</v>
      </c>
      <c r="C171" s="489"/>
      <c r="D171" s="489"/>
      <c r="E171" s="489"/>
      <c r="F171" s="490"/>
      <c r="G171" s="122"/>
      <c r="H171" s="123">
        <f>$I$15</f>
        <v>175</v>
      </c>
      <c r="I171" s="99">
        <f t="shared" si="12"/>
        <v>0</v>
      </c>
      <c r="M171" s="488" t="s">
        <v>268</v>
      </c>
      <c r="N171" s="489"/>
      <c r="O171" s="489"/>
      <c r="P171" s="489"/>
      <c r="Q171" s="490"/>
      <c r="R171" s="122"/>
      <c r="S171" s="123">
        <f>$I$15</f>
        <v>175</v>
      </c>
      <c r="T171" s="99">
        <f t="shared" si="13"/>
        <v>0</v>
      </c>
    </row>
    <row r="172" spans="2:23">
      <c r="B172" s="488" t="s">
        <v>221</v>
      </c>
      <c r="C172" s="489"/>
      <c r="D172" s="489"/>
      <c r="E172" s="489"/>
      <c r="F172" s="490"/>
      <c r="G172" s="122"/>
      <c r="H172" s="123">
        <f>$I$16</f>
        <v>175</v>
      </c>
      <c r="I172" s="99">
        <f t="shared" si="12"/>
        <v>0</v>
      </c>
      <c r="M172" s="488" t="s">
        <v>221</v>
      </c>
      <c r="N172" s="489"/>
      <c r="O172" s="489"/>
      <c r="P172" s="489"/>
      <c r="Q172" s="490"/>
      <c r="R172" s="122"/>
      <c r="S172" s="123">
        <f>$I$16</f>
        <v>175</v>
      </c>
      <c r="T172" s="99">
        <f t="shared" si="13"/>
        <v>0</v>
      </c>
    </row>
    <row r="173" spans="2:23">
      <c r="B173" s="472" t="s">
        <v>222</v>
      </c>
      <c r="C173" s="473"/>
      <c r="D173" s="473"/>
      <c r="E173" s="473"/>
      <c r="F173" s="474"/>
      <c r="G173" s="122"/>
      <c r="H173" s="123">
        <f>$I$17</f>
        <v>90000</v>
      </c>
      <c r="I173" s="99">
        <f t="shared" si="12"/>
        <v>0</v>
      </c>
      <c r="M173" s="472" t="s">
        <v>222</v>
      </c>
      <c r="N173" s="473"/>
      <c r="O173" s="473"/>
      <c r="P173" s="473"/>
      <c r="Q173" s="474"/>
      <c r="R173" s="122"/>
      <c r="S173" s="123">
        <f>$I$17</f>
        <v>90000</v>
      </c>
      <c r="T173" s="99">
        <f t="shared" si="13"/>
        <v>0</v>
      </c>
    </row>
    <row r="174" spans="2:23" ht="14.4" thickBot="1">
      <c r="B174" s="485" t="s">
        <v>337</v>
      </c>
      <c r="C174" s="486"/>
      <c r="D174" s="486"/>
      <c r="E174" s="486"/>
      <c r="F174" s="487"/>
      <c r="G174" s="122"/>
      <c r="H174" s="123">
        <f>$I$18</f>
        <v>21000</v>
      </c>
      <c r="I174" s="99">
        <f t="shared" si="12"/>
        <v>0</v>
      </c>
      <c r="M174" s="485" t="s">
        <v>337</v>
      </c>
      <c r="N174" s="486"/>
      <c r="O174" s="486"/>
      <c r="P174" s="486"/>
      <c r="Q174" s="487"/>
      <c r="R174" s="122"/>
      <c r="S174" s="123">
        <f>$I$18</f>
        <v>21000</v>
      </c>
      <c r="T174" s="99">
        <f t="shared" si="13"/>
        <v>0</v>
      </c>
    </row>
    <row r="175" spans="2:23">
      <c r="B175" s="485" t="s">
        <v>269</v>
      </c>
      <c r="C175" s="486"/>
      <c r="D175" s="486"/>
      <c r="E175" s="486"/>
      <c r="F175" s="487"/>
      <c r="G175" s="122"/>
      <c r="H175" s="123">
        <f>$I$19</f>
        <v>40000</v>
      </c>
      <c r="I175" s="99">
        <f t="shared" si="12"/>
        <v>0</v>
      </c>
      <c r="J175" s="499" t="s">
        <v>275</v>
      </c>
      <c r="K175" s="500"/>
      <c r="L175" s="501"/>
      <c r="M175" s="485" t="s">
        <v>269</v>
      </c>
      <c r="N175" s="486"/>
      <c r="O175" s="486"/>
      <c r="P175" s="486"/>
      <c r="Q175" s="487"/>
      <c r="R175" s="122"/>
      <c r="S175" s="123">
        <f>$I$19</f>
        <v>40000</v>
      </c>
      <c r="T175" s="99">
        <f t="shared" si="13"/>
        <v>0</v>
      </c>
      <c r="U175" s="499" t="s">
        <v>275</v>
      </c>
      <c r="V175" s="500"/>
      <c r="W175" s="501"/>
    </row>
    <row r="176" spans="2:23" ht="14.4" thickBot="1">
      <c r="B176" s="485" t="s">
        <v>270</v>
      </c>
      <c r="C176" s="486"/>
      <c r="D176" s="486"/>
      <c r="E176" s="486"/>
      <c r="F176" s="487"/>
      <c r="G176" s="122"/>
      <c r="H176" s="123">
        <f>$I$20</f>
        <v>13000</v>
      </c>
      <c r="I176" s="99">
        <f t="shared" si="12"/>
        <v>0</v>
      </c>
      <c r="J176" s="502"/>
      <c r="K176" s="503"/>
      <c r="L176" s="504"/>
      <c r="M176" s="485" t="s">
        <v>270</v>
      </c>
      <c r="N176" s="486"/>
      <c r="O176" s="486"/>
      <c r="P176" s="486"/>
      <c r="Q176" s="487"/>
      <c r="R176" s="122"/>
      <c r="S176" s="123">
        <f>$I$20</f>
        <v>13000</v>
      </c>
      <c r="T176" s="99">
        <f t="shared" si="13"/>
        <v>0</v>
      </c>
      <c r="U176" s="502"/>
      <c r="V176" s="503"/>
      <c r="W176" s="504"/>
    </row>
    <row r="177" spans="2:23">
      <c r="B177" s="488"/>
      <c r="C177" s="489"/>
      <c r="D177" s="489"/>
      <c r="E177" s="489"/>
      <c r="F177" s="490"/>
      <c r="G177" s="122"/>
      <c r="H177" s="123"/>
      <c r="I177" s="99">
        <f t="shared" si="12"/>
        <v>0</v>
      </c>
      <c r="J177" s="491">
        <f>SUM(I159:I178)</f>
        <v>1994000</v>
      </c>
      <c r="K177" s="492"/>
      <c r="L177" s="493"/>
      <c r="M177" s="488"/>
      <c r="N177" s="489"/>
      <c r="O177" s="489"/>
      <c r="P177" s="489"/>
      <c r="Q177" s="490"/>
      <c r="R177" s="122"/>
      <c r="S177" s="123"/>
      <c r="T177" s="99">
        <f t="shared" si="13"/>
        <v>0</v>
      </c>
      <c r="U177" s="491">
        <f>SUM(T159:T178)</f>
        <v>0</v>
      </c>
      <c r="V177" s="492"/>
      <c r="W177" s="493"/>
    </row>
    <row r="178" spans="2:23" ht="14.4" thickBot="1">
      <c r="B178" s="497"/>
      <c r="C178" s="498"/>
      <c r="D178" s="498"/>
      <c r="E178" s="498"/>
      <c r="F178" s="498"/>
      <c r="G178" s="124"/>
      <c r="H178" s="125"/>
      <c r="I178" s="100">
        <f t="shared" si="12"/>
        <v>0</v>
      </c>
      <c r="J178" s="494"/>
      <c r="K178" s="495"/>
      <c r="L178" s="496"/>
      <c r="M178" s="497"/>
      <c r="N178" s="498"/>
      <c r="O178" s="498"/>
      <c r="P178" s="498"/>
      <c r="Q178" s="498"/>
      <c r="R178" s="124"/>
      <c r="S178" s="125"/>
      <c r="T178" s="100">
        <f t="shared" si="13"/>
        <v>0</v>
      </c>
      <c r="U178" s="494"/>
      <c r="V178" s="495"/>
      <c r="W178" s="496"/>
    </row>
    <row r="179" spans="2:23" ht="14.4" thickBot="1">
      <c r="B179" s="505" t="s">
        <v>271</v>
      </c>
      <c r="C179" s="506"/>
      <c r="D179" s="506"/>
      <c r="E179" s="506"/>
      <c r="F179" s="506"/>
      <c r="G179" s="506"/>
      <c r="H179" s="506"/>
      <c r="I179" s="507"/>
      <c r="M179" s="505" t="s">
        <v>271</v>
      </c>
      <c r="N179" s="506"/>
      <c r="O179" s="506"/>
      <c r="P179" s="506"/>
      <c r="Q179" s="506"/>
      <c r="R179" s="506"/>
      <c r="S179" s="506"/>
      <c r="T179" s="507"/>
    </row>
    <row r="180" spans="2:23" ht="14.4" thickBot="1">
      <c r="B180" s="467" t="s">
        <v>267</v>
      </c>
      <c r="C180" s="468"/>
      <c r="D180" s="468"/>
      <c r="E180" s="468"/>
      <c r="F180" s="468"/>
      <c r="G180" s="114" t="s">
        <v>266</v>
      </c>
      <c r="H180" s="114" t="s">
        <v>0</v>
      </c>
      <c r="I180" s="97" t="s">
        <v>265</v>
      </c>
      <c r="M180" s="467" t="s">
        <v>267</v>
      </c>
      <c r="N180" s="468"/>
      <c r="O180" s="468"/>
      <c r="P180" s="468"/>
      <c r="Q180" s="468"/>
      <c r="R180" s="114" t="s">
        <v>266</v>
      </c>
      <c r="S180" s="114" t="s">
        <v>0</v>
      </c>
      <c r="T180" s="97" t="s">
        <v>265</v>
      </c>
    </row>
    <row r="181" spans="2:23">
      <c r="B181" s="508" t="s">
        <v>272</v>
      </c>
      <c r="C181" s="509"/>
      <c r="D181" s="509"/>
      <c r="E181" s="509"/>
      <c r="F181" s="510"/>
      <c r="G181" s="116"/>
      <c r="H181" s="117">
        <f>$I$23</f>
        <v>220000</v>
      </c>
      <c r="I181" s="98">
        <f t="shared" ref="I181:I186" si="14">G181*H181</f>
        <v>0</v>
      </c>
      <c r="M181" s="508" t="s">
        <v>272</v>
      </c>
      <c r="N181" s="509"/>
      <c r="O181" s="509"/>
      <c r="P181" s="509"/>
      <c r="Q181" s="510"/>
      <c r="R181" s="116"/>
      <c r="S181" s="117">
        <f>$I$23</f>
        <v>220000</v>
      </c>
      <c r="T181" s="98">
        <f t="shared" ref="T181:T186" si="15">R181*S181</f>
        <v>0</v>
      </c>
    </row>
    <row r="182" spans="2:23">
      <c r="B182" s="485" t="s">
        <v>273</v>
      </c>
      <c r="C182" s="486"/>
      <c r="D182" s="486"/>
      <c r="E182" s="486"/>
      <c r="F182" s="487"/>
      <c r="G182" s="122"/>
      <c r="H182" s="117">
        <f>$I$26</f>
        <v>90000</v>
      </c>
      <c r="I182" s="99">
        <f t="shared" si="14"/>
        <v>0</v>
      </c>
      <c r="M182" s="485" t="s">
        <v>273</v>
      </c>
      <c r="N182" s="486"/>
      <c r="O182" s="486"/>
      <c r="P182" s="486"/>
      <c r="Q182" s="487"/>
      <c r="R182" s="122"/>
      <c r="S182" s="117">
        <f>$I$26</f>
        <v>90000</v>
      </c>
      <c r="T182" s="99">
        <f t="shared" si="15"/>
        <v>0</v>
      </c>
    </row>
    <row r="183" spans="2:23">
      <c r="B183" s="485" t="s">
        <v>224</v>
      </c>
      <c r="C183" s="486"/>
      <c r="D183" s="486"/>
      <c r="E183" s="486"/>
      <c r="F183" s="487"/>
      <c r="G183" s="122"/>
      <c r="H183" s="117">
        <f>$I$27</f>
        <v>60000</v>
      </c>
      <c r="I183" s="99">
        <f t="shared" si="14"/>
        <v>0</v>
      </c>
      <c r="M183" s="485" t="s">
        <v>224</v>
      </c>
      <c r="N183" s="486"/>
      <c r="O183" s="486"/>
      <c r="P183" s="486"/>
      <c r="Q183" s="487"/>
      <c r="R183" s="122"/>
      <c r="S183" s="117">
        <f>$I$27</f>
        <v>60000</v>
      </c>
      <c r="T183" s="99">
        <f t="shared" si="15"/>
        <v>0</v>
      </c>
    </row>
    <row r="184" spans="2:23">
      <c r="B184" s="485" t="s">
        <v>274</v>
      </c>
      <c r="C184" s="486"/>
      <c r="D184" s="486"/>
      <c r="E184" s="486"/>
      <c r="F184" s="487"/>
      <c r="G184" s="122"/>
      <c r="H184" s="117">
        <f>$I$26</f>
        <v>90000</v>
      </c>
      <c r="I184" s="99">
        <f t="shared" si="14"/>
        <v>0</v>
      </c>
      <c r="M184" s="485" t="s">
        <v>274</v>
      </c>
      <c r="N184" s="486"/>
      <c r="O184" s="486"/>
      <c r="P184" s="486"/>
      <c r="Q184" s="487"/>
      <c r="R184" s="122"/>
      <c r="S184" s="117">
        <f>$I$26</f>
        <v>90000</v>
      </c>
      <c r="T184" s="99">
        <f t="shared" si="15"/>
        <v>0</v>
      </c>
    </row>
    <row r="185" spans="2:23">
      <c r="B185" s="485" t="s">
        <v>226</v>
      </c>
      <c r="C185" s="486"/>
      <c r="D185" s="486"/>
      <c r="E185" s="486"/>
      <c r="F185" s="487"/>
      <c r="G185" s="122"/>
      <c r="H185" s="117"/>
      <c r="I185" s="99">
        <f t="shared" si="14"/>
        <v>0</v>
      </c>
      <c r="M185" s="485" t="s">
        <v>226</v>
      </c>
      <c r="N185" s="486"/>
      <c r="O185" s="486"/>
      <c r="P185" s="486"/>
      <c r="Q185" s="487"/>
      <c r="R185" s="122"/>
      <c r="S185" s="117"/>
      <c r="T185" s="99">
        <f t="shared" si="15"/>
        <v>0</v>
      </c>
    </row>
    <row r="186" spans="2:23">
      <c r="B186" s="126" t="s">
        <v>227</v>
      </c>
      <c r="C186" s="127"/>
      <c r="D186" s="127"/>
      <c r="E186" s="127"/>
      <c r="F186" s="128"/>
      <c r="G186" s="122"/>
      <c r="H186" s="117"/>
      <c r="I186" s="99">
        <f t="shared" si="14"/>
        <v>0</v>
      </c>
      <c r="M186" s="126" t="s">
        <v>227</v>
      </c>
      <c r="N186" s="127"/>
      <c r="O186" s="127"/>
      <c r="P186" s="127"/>
      <c r="Q186" s="128"/>
      <c r="R186" s="122"/>
      <c r="S186" s="117"/>
      <c r="T186" s="99">
        <f t="shared" si="15"/>
        <v>0</v>
      </c>
    </row>
    <row r="187" spans="2:23">
      <c r="B187" s="126" t="s">
        <v>225</v>
      </c>
      <c r="C187" s="127"/>
      <c r="D187" s="127"/>
      <c r="E187" s="127"/>
      <c r="F187" s="128"/>
      <c r="G187" s="122"/>
      <c r="H187" s="117"/>
      <c r="I187" s="99"/>
      <c r="M187" s="126" t="s">
        <v>225</v>
      </c>
      <c r="N187" s="127"/>
      <c r="O187" s="127"/>
      <c r="P187" s="127"/>
      <c r="Q187" s="128"/>
      <c r="R187" s="122"/>
      <c r="S187" s="117"/>
      <c r="T187" s="99"/>
    </row>
    <row r="188" spans="2:23" ht="14.4" thickBot="1">
      <c r="B188" s="126"/>
      <c r="C188" s="127"/>
      <c r="D188" s="127"/>
      <c r="E188" s="127"/>
      <c r="F188" s="128"/>
      <c r="G188" s="122"/>
      <c r="H188" s="123"/>
      <c r="I188" s="99">
        <f t="shared" ref="I188:I192" si="16">G188*H188</f>
        <v>0</v>
      </c>
      <c r="M188" s="126"/>
      <c r="N188" s="127"/>
      <c r="O188" s="127"/>
      <c r="P188" s="127"/>
      <c r="Q188" s="128"/>
      <c r="R188" s="122"/>
      <c r="S188" s="123"/>
      <c r="T188" s="99">
        <f t="shared" ref="T188:T192" si="17">R188*S188</f>
        <v>0</v>
      </c>
    </row>
    <row r="189" spans="2:23">
      <c r="B189" s="485"/>
      <c r="C189" s="486"/>
      <c r="D189" s="486"/>
      <c r="E189" s="486"/>
      <c r="F189" s="487"/>
      <c r="G189" s="122"/>
      <c r="H189" s="123"/>
      <c r="I189" s="99">
        <f t="shared" si="16"/>
        <v>0</v>
      </c>
      <c r="J189" s="499" t="s">
        <v>275</v>
      </c>
      <c r="K189" s="500"/>
      <c r="L189" s="501"/>
      <c r="M189" s="485"/>
      <c r="N189" s="486"/>
      <c r="O189" s="486"/>
      <c r="P189" s="486"/>
      <c r="Q189" s="487"/>
      <c r="R189" s="122"/>
      <c r="S189" s="123"/>
      <c r="T189" s="99">
        <f t="shared" si="17"/>
        <v>0</v>
      </c>
      <c r="U189" s="499" t="s">
        <v>275</v>
      </c>
      <c r="V189" s="500"/>
      <c r="W189" s="501"/>
    </row>
    <row r="190" spans="2:23" ht="14.4" thickBot="1">
      <c r="B190" s="485"/>
      <c r="C190" s="486"/>
      <c r="D190" s="486"/>
      <c r="E190" s="486"/>
      <c r="F190" s="487"/>
      <c r="G190" s="122"/>
      <c r="H190" s="123"/>
      <c r="I190" s="99">
        <f t="shared" si="16"/>
        <v>0</v>
      </c>
      <c r="J190" s="502"/>
      <c r="K190" s="503"/>
      <c r="L190" s="504"/>
      <c r="M190" s="485"/>
      <c r="N190" s="486"/>
      <c r="O190" s="486"/>
      <c r="P190" s="486"/>
      <c r="Q190" s="487"/>
      <c r="R190" s="122"/>
      <c r="S190" s="123"/>
      <c r="T190" s="99">
        <f t="shared" si="17"/>
        <v>0</v>
      </c>
      <c r="U190" s="502"/>
      <c r="V190" s="503"/>
      <c r="W190" s="504"/>
    </row>
    <row r="191" spans="2:23">
      <c r="B191" s="485"/>
      <c r="C191" s="486"/>
      <c r="D191" s="486"/>
      <c r="E191" s="486"/>
      <c r="F191" s="487"/>
      <c r="G191" s="122"/>
      <c r="H191" s="123"/>
      <c r="I191" s="99">
        <f t="shared" si="16"/>
        <v>0</v>
      </c>
      <c r="J191" s="491">
        <f>SUM(I181:I192)</f>
        <v>0</v>
      </c>
      <c r="K191" s="492"/>
      <c r="L191" s="493"/>
      <c r="M191" s="485"/>
      <c r="N191" s="486"/>
      <c r="O191" s="486"/>
      <c r="P191" s="486"/>
      <c r="Q191" s="487"/>
      <c r="R191" s="122"/>
      <c r="S191" s="123"/>
      <c r="T191" s="99">
        <f t="shared" si="17"/>
        <v>0</v>
      </c>
      <c r="U191" s="491">
        <f>SUM(T181:T192)</f>
        <v>0</v>
      </c>
      <c r="V191" s="492"/>
      <c r="W191" s="493"/>
    </row>
    <row r="192" spans="2:23" ht="14.4" thickBot="1">
      <c r="B192" s="129"/>
      <c r="C192" s="130"/>
      <c r="D192" s="130"/>
      <c r="E192" s="130"/>
      <c r="F192" s="131"/>
      <c r="G192" s="124"/>
      <c r="H192" s="125"/>
      <c r="I192" s="100">
        <f t="shared" si="16"/>
        <v>0</v>
      </c>
      <c r="J192" s="494"/>
      <c r="K192" s="495"/>
      <c r="L192" s="496"/>
      <c r="M192" s="129"/>
      <c r="N192" s="130"/>
      <c r="O192" s="130"/>
      <c r="P192" s="130"/>
      <c r="Q192" s="131"/>
      <c r="R192" s="124"/>
      <c r="S192" s="125"/>
      <c r="T192" s="100">
        <f t="shared" si="17"/>
        <v>0</v>
      </c>
      <c r="U192" s="494"/>
      <c r="V192" s="495"/>
      <c r="W192" s="496"/>
    </row>
    <row r="193" spans="2:23" ht="14.4" thickBot="1">
      <c r="B193" s="511" t="s">
        <v>25</v>
      </c>
      <c r="C193" s="512"/>
      <c r="D193" s="512"/>
      <c r="E193" s="512"/>
      <c r="F193" s="512"/>
      <c r="G193" s="512"/>
      <c r="H193" s="512"/>
      <c r="I193" s="513"/>
      <c r="J193" s="132"/>
      <c r="K193" s="132"/>
      <c r="L193" s="132"/>
      <c r="M193" s="511" t="s">
        <v>25</v>
      </c>
      <c r="N193" s="512"/>
      <c r="O193" s="512"/>
      <c r="P193" s="512"/>
      <c r="Q193" s="512"/>
      <c r="R193" s="512"/>
      <c r="S193" s="512"/>
      <c r="T193" s="513"/>
      <c r="U193" s="132"/>
      <c r="V193" s="132"/>
      <c r="W193" s="132"/>
    </row>
    <row r="194" spans="2:23" ht="14.4" thickBot="1">
      <c r="B194" s="514" t="s">
        <v>267</v>
      </c>
      <c r="C194" s="515"/>
      <c r="D194" s="515"/>
      <c r="E194" s="515"/>
      <c r="F194" s="515"/>
      <c r="G194" s="133" t="s">
        <v>266</v>
      </c>
      <c r="H194" s="134" t="s">
        <v>0</v>
      </c>
      <c r="I194" s="101" t="s">
        <v>265</v>
      </c>
      <c r="J194" s="132"/>
      <c r="K194" s="132"/>
      <c r="L194" s="132"/>
      <c r="M194" s="514" t="s">
        <v>267</v>
      </c>
      <c r="N194" s="515"/>
      <c r="O194" s="515"/>
      <c r="P194" s="515"/>
      <c r="Q194" s="515"/>
      <c r="R194" s="133" t="s">
        <v>266</v>
      </c>
      <c r="S194" s="134" t="s">
        <v>0</v>
      </c>
      <c r="T194" s="101" t="s">
        <v>265</v>
      </c>
      <c r="U194" s="132"/>
      <c r="V194" s="132"/>
      <c r="W194" s="132"/>
    </row>
    <row r="195" spans="2:23">
      <c r="B195" s="516" t="s">
        <v>31</v>
      </c>
      <c r="C195" s="517"/>
      <c r="D195" s="517"/>
      <c r="E195" s="517"/>
      <c r="F195" s="518"/>
      <c r="G195" s="116"/>
      <c r="H195" s="117">
        <f>$R$4</f>
        <v>300000</v>
      </c>
      <c r="I195" s="99">
        <f t="shared" ref="I195:I197" si="18">G195*H195</f>
        <v>0</v>
      </c>
      <c r="J195" s="132"/>
      <c r="K195" s="132"/>
      <c r="L195" s="132"/>
      <c r="M195" s="516" t="s">
        <v>31</v>
      </c>
      <c r="N195" s="517"/>
      <c r="O195" s="517"/>
      <c r="P195" s="517"/>
      <c r="Q195" s="518"/>
      <c r="R195" s="116"/>
      <c r="S195" s="117">
        <f>$R$4</f>
        <v>300000</v>
      </c>
      <c r="T195" s="99">
        <f t="shared" ref="T195:T197" si="19">R195*S195</f>
        <v>0</v>
      </c>
      <c r="U195" s="132"/>
      <c r="V195" s="132"/>
      <c r="W195" s="132"/>
    </row>
    <row r="196" spans="2:23">
      <c r="B196" s="519" t="s">
        <v>11</v>
      </c>
      <c r="C196" s="520"/>
      <c r="D196" s="520"/>
      <c r="E196" s="520"/>
      <c r="F196" s="521"/>
      <c r="G196" s="122"/>
      <c r="H196" s="117">
        <f>$R$5</f>
        <v>65000</v>
      </c>
      <c r="I196" s="99">
        <f t="shared" si="18"/>
        <v>0</v>
      </c>
      <c r="J196" s="132"/>
      <c r="K196" s="132"/>
      <c r="L196" s="132"/>
      <c r="M196" s="519" t="s">
        <v>11</v>
      </c>
      <c r="N196" s="520"/>
      <c r="O196" s="520"/>
      <c r="P196" s="520"/>
      <c r="Q196" s="521"/>
      <c r="R196" s="122"/>
      <c r="S196" s="117">
        <f>$R$5</f>
        <v>65000</v>
      </c>
      <c r="T196" s="99">
        <f t="shared" si="19"/>
        <v>0</v>
      </c>
      <c r="U196" s="132"/>
      <c r="V196" s="132"/>
      <c r="W196" s="132"/>
    </row>
    <row r="197" spans="2:23">
      <c r="B197" s="519" t="s">
        <v>32</v>
      </c>
      <c r="C197" s="520"/>
      <c r="D197" s="520"/>
      <c r="E197" s="520"/>
      <c r="F197" s="521"/>
      <c r="G197" s="122"/>
      <c r="H197" s="117">
        <f>$R$6</f>
        <v>250000</v>
      </c>
      <c r="I197" s="99">
        <f t="shared" si="18"/>
        <v>0</v>
      </c>
      <c r="J197" s="132"/>
      <c r="K197" s="132"/>
      <c r="L197" s="132"/>
      <c r="M197" s="519" t="s">
        <v>32</v>
      </c>
      <c r="N197" s="520"/>
      <c r="O197" s="520"/>
      <c r="P197" s="520"/>
      <c r="Q197" s="521"/>
      <c r="R197" s="122"/>
      <c r="S197" s="117">
        <f>$R$6</f>
        <v>250000</v>
      </c>
      <c r="T197" s="99">
        <f t="shared" si="19"/>
        <v>0</v>
      </c>
      <c r="U197" s="132"/>
      <c r="V197" s="132"/>
      <c r="W197" s="132"/>
    </row>
    <row r="198" spans="2:23">
      <c r="B198" s="519" t="s">
        <v>327</v>
      </c>
      <c r="C198" s="520"/>
      <c r="D198" s="520"/>
      <c r="E198" s="520"/>
      <c r="F198" s="521"/>
      <c r="G198" s="122"/>
      <c r="H198" s="117">
        <f>$R$7</f>
        <v>30000</v>
      </c>
      <c r="I198" s="99">
        <f>G198*H198</f>
        <v>0</v>
      </c>
      <c r="M198" s="519" t="s">
        <v>327</v>
      </c>
      <c r="N198" s="520"/>
      <c r="O198" s="520"/>
      <c r="P198" s="520"/>
      <c r="Q198" s="521"/>
      <c r="R198" s="122"/>
      <c r="S198" s="117">
        <f>$R$7</f>
        <v>30000</v>
      </c>
      <c r="T198" s="99">
        <f>R198*S198</f>
        <v>0</v>
      </c>
    </row>
    <row r="199" spans="2:23">
      <c r="B199" s="519" t="s">
        <v>100</v>
      </c>
      <c r="C199" s="520"/>
      <c r="D199" s="520"/>
      <c r="E199" s="520"/>
      <c r="F199" s="521"/>
      <c r="G199" s="122"/>
      <c r="H199" s="117">
        <f>$R$8</f>
        <v>30000</v>
      </c>
      <c r="I199" s="99">
        <f t="shared" ref="I199:I206" si="20">G199*H199</f>
        <v>0</v>
      </c>
      <c r="M199" s="519" t="s">
        <v>100</v>
      </c>
      <c r="N199" s="520"/>
      <c r="O199" s="520"/>
      <c r="P199" s="520"/>
      <c r="Q199" s="521"/>
      <c r="R199" s="122"/>
      <c r="S199" s="117">
        <f>$R$8</f>
        <v>30000</v>
      </c>
      <c r="T199" s="99">
        <f t="shared" ref="T199:T206" si="21">R199*S199</f>
        <v>0</v>
      </c>
    </row>
    <row r="200" spans="2:23">
      <c r="B200" s="519" t="s">
        <v>328</v>
      </c>
      <c r="C200" s="520"/>
      <c r="D200" s="520"/>
      <c r="E200" s="520"/>
      <c r="F200" s="521"/>
      <c r="G200" s="122"/>
      <c r="H200" s="117">
        <f>$R$9</f>
        <v>50000</v>
      </c>
      <c r="I200" s="99">
        <f t="shared" si="20"/>
        <v>0</v>
      </c>
      <c r="M200" s="519" t="s">
        <v>328</v>
      </c>
      <c r="N200" s="520"/>
      <c r="O200" s="520"/>
      <c r="P200" s="520"/>
      <c r="Q200" s="521"/>
      <c r="R200" s="122"/>
      <c r="S200" s="117">
        <f>$R$9</f>
        <v>50000</v>
      </c>
      <c r="T200" s="99">
        <f t="shared" si="21"/>
        <v>0</v>
      </c>
    </row>
    <row r="201" spans="2:23">
      <c r="B201" s="519" t="s">
        <v>325</v>
      </c>
      <c r="C201" s="520"/>
      <c r="D201" s="520"/>
      <c r="E201" s="520"/>
      <c r="F201" s="521"/>
      <c r="G201" s="122"/>
      <c r="H201" s="117">
        <f>$R$10</f>
        <v>15000</v>
      </c>
      <c r="I201" s="99">
        <f t="shared" si="20"/>
        <v>0</v>
      </c>
      <c r="M201" s="519" t="s">
        <v>325</v>
      </c>
      <c r="N201" s="520"/>
      <c r="O201" s="520"/>
      <c r="P201" s="520"/>
      <c r="Q201" s="521"/>
      <c r="R201" s="122"/>
      <c r="S201" s="117">
        <f>$R$10</f>
        <v>15000</v>
      </c>
      <c r="T201" s="99">
        <f t="shared" si="21"/>
        <v>0</v>
      </c>
    </row>
    <row r="202" spans="2:23" ht="14.4" thickBot="1">
      <c r="B202" s="519" t="s">
        <v>326</v>
      </c>
      <c r="C202" s="520"/>
      <c r="D202" s="520"/>
      <c r="E202" s="520"/>
      <c r="F202" s="521"/>
      <c r="G202" s="122"/>
      <c r="H202" s="117">
        <f>$R$11</f>
        <v>15000</v>
      </c>
      <c r="I202" s="99">
        <f t="shared" si="20"/>
        <v>0</v>
      </c>
      <c r="M202" s="519" t="s">
        <v>326</v>
      </c>
      <c r="N202" s="520"/>
      <c r="O202" s="520"/>
      <c r="P202" s="520"/>
      <c r="Q202" s="521"/>
      <c r="R202" s="122"/>
      <c r="S202" s="117">
        <f>$R$11</f>
        <v>15000</v>
      </c>
      <c r="T202" s="99">
        <f t="shared" si="21"/>
        <v>0</v>
      </c>
    </row>
    <row r="203" spans="2:23">
      <c r="B203" s="135" t="s">
        <v>276</v>
      </c>
      <c r="C203" s="136"/>
      <c r="D203" s="136"/>
      <c r="E203" s="136"/>
      <c r="F203" s="137"/>
      <c r="G203" s="122"/>
      <c r="H203" s="117">
        <f>$R$12</f>
        <v>75000</v>
      </c>
      <c r="I203" s="99">
        <f t="shared" si="20"/>
        <v>0</v>
      </c>
      <c r="J203" s="499" t="s">
        <v>275</v>
      </c>
      <c r="K203" s="500"/>
      <c r="L203" s="501"/>
      <c r="M203" s="135" t="s">
        <v>276</v>
      </c>
      <c r="N203" s="136"/>
      <c r="O203" s="136"/>
      <c r="P203" s="136"/>
      <c r="Q203" s="137"/>
      <c r="R203" s="122"/>
      <c r="S203" s="117">
        <f>$R$12</f>
        <v>75000</v>
      </c>
      <c r="T203" s="99">
        <f t="shared" si="21"/>
        <v>0</v>
      </c>
      <c r="U203" s="499" t="s">
        <v>275</v>
      </c>
      <c r="V203" s="500"/>
      <c r="W203" s="501"/>
    </row>
    <row r="204" spans="2:23" ht="14.4" thickBot="1">
      <c r="B204" s="135" t="s">
        <v>277</v>
      </c>
      <c r="C204" s="136"/>
      <c r="D204" s="136"/>
      <c r="E204" s="136"/>
      <c r="F204" s="137"/>
      <c r="G204" s="122"/>
      <c r="H204" s="117">
        <f>$R$13</f>
        <v>75000</v>
      </c>
      <c r="I204" s="99">
        <f t="shared" si="20"/>
        <v>0</v>
      </c>
      <c r="J204" s="502"/>
      <c r="K204" s="503"/>
      <c r="L204" s="504"/>
      <c r="M204" s="135" t="s">
        <v>277</v>
      </c>
      <c r="N204" s="136"/>
      <c r="O204" s="136"/>
      <c r="P204" s="136"/>
      <c r="Q204" s="137"/>
      <c r="R204" s="122"/>
      <c r="S204" s="117">
        <f>$R$13</f>
        <v>75000</v>
      </c>
      <c r="T204" s="99">
        <f t="shared" si="21"/>
        <v>0</v>
      </c>
      <c r="U204" s="502"/>
      <c r="V204" s="503"/>
      <c r="W204" s="504"/>
    </row>
    <row r="205" spans="2:23">
      <c r="B205" s="519" t="s">
        <v>75</v>
      </c>
      <c r="C205" s="520"/>
      <c r="D205" s="520"/>
      <c r="E205" s="520"/>
      <c r="F205" s="521"/>
      <c r="G205" s="122"/>
      <c r="H205" s="117">
        <f>$R$14</f>
        <v>30000</v>
      </c>
      <c r="I205" s="99">
        <f t="shared" si="20"/>
        <v>0</v>
      </c>
      <c r="J205" s="491">
        <f>SUM(I195:I206)</f>
        <v>0</v>
      </c>
      <c r="K205" s="492"/>
      <c r="L205" s="493"/>
      <c r="M205" s="519" t="s">
        <v>347</v>
      </c>
      <c r="N205" s="520"/>
      <c r="O205" s="520"/>
      <c r="P205" s="520"/>
      <c r="Q205" s="521"/>
      <c r="R205" s="122"/>
      <c r="S205" s="117">
        <f>$R$14</f>
        <v>30000</v>
      </c>
      <c r="T205" s="99">
        <f t="shared" si="21"/>
        <v>0</v>
      </c>
      <c r="U205" s="491">
        <f>SUM(T195:T206)</f>
        <v>0</v>
      </c>
      <c r="V205" s="492"/>
      <c r="W205" s="493"/>
    </row>
    <row r="206" spans="2:23" ht="14.4" thickBot="1">
      <c r="B206" s="519" t="s">
        <v>12</v>
      </c>
      <c r="C206" s="520"/>
      <c r="D206" s="520"/>
      <c r="E206" s="520"/>
      <c r="F206" s="521"/>
      <c r="G206" s="124"/>
      <c r="H206" s="117">
        <f>$R$15</f>
        <v>12000</v>
      </c>
      <c r="I206" s="99">
        <f t="shared" si="20"/>
        <v>0</v>
      </c>
      <c r="J206" s="494"/>
      <c r="K206" s="495"/>
      <c r="L206" s="496"/>
      <c r="M206" s="519" t="s">
        <v>12</v>
      </c>
      <c r="N206" s="520"/>
      <c r="O206" s="520"/>
      <c r="P206" s="520"/>
      <c r="Q206" s="521"/>
      <c r="R206" s="124"/>
      <c r="S206" s="117">
        <f>$R$15</f>
        <v>12000</v>
      </c>
      <c r="T206" s="99">
        <f t="shared" si="21"/>
        <v>0</v>
      </c>
      <c r="U206" s="494"/>
      <c r="V206" s="495"/>
      <c r="W206" s="496"/>
    </row>
    <row r="207" spans="2:23" ht="14.4" thickBot="1">
      <c r="B207" s="522" t="s">
        <v>27</v>
      </c>
      <c r="C207" s="523"/>
      <c r="D207" s="523"/>
      <c r="E207" s="523"/>
      <c r="F207" s="523"/>
      <c r="G207" s="523"/>
      <c r="H207" s="523"/>
      <c r="I207" s="524"/>
      <c r="M207" s="522" t="s">
        <v>27</v>
      </c>
      <c r="N207" s="523"/>
      <c r="O207" s="523"/>
      <c r="P207" s="523"/>
      <c r="Q207" s="523"/>
      <c r="R207" s="523"/>
      <c r="S207" s="523"/>
      <c r="T207" s="524"/>
    </row>
    <row r="208" spans="2:23" ht="14.4" thickBot="1">
      <c r="B208" s="522" t="s">
        <v>267</v>
      </c>
      <c r="C208" s="523"/>
      <c r="D208" s="523"/>
      <c r="E208" s="523"/>
      <c r="F208" s="523"/>
      <c r="G208" s="138" t="s">
        <v>266</v>
      </c>
      <c r="H208" s="138" t="s">
        <v>0</v>
      </c>
      <c r="I208" s="102" t="s">
        <v>265</v>
      </c>
      <c r="M208" s="522" t="s">
        <v>267</v>
      </c>
      <c r="N208" s="523"/>
      <c r="O208" s="523"/>
      <c r="P208" s="523"/>
      <c r="Q208" s="523"/>
      <c r="R208" s="138" t="s">
        <v>266</v>
      </c>
      <c r="S208" s="138" t="s">
        <v>0</v>
      </c>
      <c r="T208" s="102" t="s">
        <v>265</v>
      </c>
    </row>
    <row r="209" spans="2:23">
      <c r="B209" s="525" t="s">
        <v>315</v>
      </c>
      <c r="C209" s="526"/>
      <c r="D209" s="526"/>
      <c r="E209" s="526"/>
      <c r="F209" s="527"/>
      <c r="G209" s="116"/>
      <c r="H209" s="117"/>
      <c r="I209" s="99">
        <f t="shared" ref="I209:I220" si="22">G209*H209</f>
        <v>0</v>
      </c>
      <c r="M209" s="525" t="s">
        <v>348</v>
      </c>
      <c r="N209" s="526"/>
      <c r="O209" s="526"/>
      <c r="P209" s="526"/>
      <c r="Q209" s="527"/>
      <c r="R209" s="116"/>
      <c r="S209" s="117"/>
      <c r="T209" s="99">
        <f t="shared" ref="T209:T220" si="23">R209*S209</f>
        <v>0</v>
      </c>
    </row>
    <row r="210" spans="2:23">
      <c r="B210" s="525" t="s">
        <v>316</v>
      </c>
      <c r="C210" s="526"/>
      <c r="D210" s="526"/>
      <c r="E210" s="526"/>
      <c r="F210" s="527"/>
      <c r="G210" s="122"/>
      <c r="H210" s="123"/>
      <c r="I210" s="99">
        <f t="shared" si="22"/>
        <v>0</v>
      </c>
      <c r="M210" s="525" t="s">
        <v>349</v>
      </c>
      <c r="N210" s="526"/>
      <c r="O210" s="526"/>
      <c r="P210" s="526"/>
      <c r="Q210" s="527"/>
      <c r="R210" s="122"/>
      <c r="S210" s="123"/>
      <c r="T210" s="99">
        <f t="shared" si="23"/>
        <v>0</v>
      </c>
    </row>
    <row r="211" spans="2:23">
      <c r="B211" s="528" t="s">
        <v>280</v>
      </c>
      <c r="C211" s="529"/>
      <c r="D211" s="529"/>
      <c r="E211" s="529"/>
      <c r="F211" s="530"/>
      <c r="G211" s="122"/>
      <c r="H211" s="123"/>
      <c r="I211" s="99">
        <f t="shared" si="22"/>
        <v>0</v>
      </c>
      <c r="M211" s="528" t="s">
        <v>280</v>
      </c>
      <c r="N211" s="529"/>
      <c r="O211" s="529"/>
      <c r="P211" s="529"/>
      <c r="Q211" s="530"/>
      <c r="R211" s="122"/>
      <c r="S211" s="123"/>
      <c r="T211" s="99">
        <f t="shared" si="23"/>
        <v>0</v>
      </c>
    </row>
    <row r="212" spans="2:23">
      <c r="B212" s="528" t="s">
        <v>94</v>
      </c>
      <c r="C212" s="529"/>
      <c r="D212" s="529"/>
      <c r="E212" s="529"/>
      <c r="F212" s="530"/>
      <c r="G212" s="122"/>
      <c r="H212" s="123"/>
      <c r="I212" s="99">
        <f t="shared" si="22"/>
        <v>0</v>
      </c>
      <c r="M212" s="528" t="s">
        <v>94</v>
      </c>
      <c r="N212" s="529"/>
      <c r="O212" s="529"/>
      <c r="P212" s="529"/>
      <c r="Q212" s="530"/>
      <c r="R212" s="122"/>
      <c r="S212" s="123"/>
      <c r="T212" s="99">
        <f t="shared" si="23"/>
        <v>0</v>
      </c>
    </row>
    <row r="213" spans="2:23">
      <c r="B213" s="139" t="s">
        <v>282</v>
      </c>
      <c r="C213" s="140"/>
      <c r="D213" s="140"/>
      <c r="E213" s="140"/>
      <c r="F213" s="141"/>
      <c r="G213" s="122"/>
      <c r="H213" s="123"/>
      <c r="I213" s="99">
        <f t="shared" si="22"/>
        <v>0</v>
      </c>
      <c r="M213" s="139" t="s">
        <v>283</v>
      </c>
      <c r="N213" s="140"/>
      <c r="O213" s="140"/>
      <c r="P213" s="140"/>
      <c r="Q213" s="141"/>
      <c r="R213" s="122"/>
      <c r="S213" s="123"/>
      <c r="T213" s="99">
        <f t="shared" si="23"/>
        <v>0</v>
      </c>
    </row>
    <row r="214" spans="2:23">
      <c r="B214" s="528" t="s">
        <v>317</v>
      </c>
      <c r="C214" s="529"/>
      <c r="D214" s="529"/>
      <c r="E214" s="529"/>
      <c r="F214" s="530"/>
      <c r="G214" s="122"/>
      <c r="H214" s="123"/>
      <c r="I214" s="99">
        <f t="shared" si="22"/>
        <v>0</v>
      </c>
      <c r="M214" s="528" t="s">
        <v>350</v>
      </c>
      <c r="N214" s="529"/>
      <c r="O214" s="529"/>
      <c r="P214" s="529"/>
      <c r="Q214" s="530"/>
      <c r="R214" s="122"/>
      <c r="S214" s="123"/>
      <c r="T214" s="99">
        <f t="shared" si="23"/>
        <v>0</v>
      </c>
    </row>
    <row r="215" spans="2:23">
      <c r="B215" s="528" t="s">
        <v>286</v>
      </c>
      <c r="C215" s="529"/>
      <c r="D215" s="529"/>
      <c r="E215" s="529"/>
      <c r="F215" s="530"/>
      <c r="G215" s="122"/>
      <c r="H215" s="123"/>
      <c r="I215" s="99">
        <f t="shared" si="22"/>
        <v>0</v>
      </c>
      <c r="M215" s="528" t="s">
        <v>287</v>
      </c>
      <c r="N215" s="529"/>
      <c r="O215" s="529"/>
      <c r="P215" s="529"/>
      <c r="Q215" s="530"/>
      <c r="R215" s="122"/>
      <c r="S215" s="123"/>
      <c r="T215" s="99">
        <f t="shared" si="23"/>
        <v>0</v>
      </c>
    </row>
    <row r="216" spans="2:23" ht="14.4" thickBot="1">
      <c r="B216" s="139" t="s">
        <v>318</v>
      </c>
      <c r="C216" s="140"/>
      <c r="D216" s="140"/>
      <c r="E216" s="140"/>
      <c r="F216" s="141"/>
      <c r="G216" s="122"/>
      <c r="H216" s="123"/>
      <c r="I216" s="99">
        <f t="shared" si="22"/>
        <v>0</v>
      </c>
      <c r="M216" s="139" t="s">
        <v>351</v>
      </c>
      <c r="N216" s="140"/>
      <c r="O216" s="140"/>
      <c r="P216" s="140"/>
      <c r="Q216" s="141"/>
      <c r="R216" s="122"/>
      <c r="S216" s="123"/>
      <c r="T216" s="99">
        <f t="shared" si="23"/>
        <v>0</v>
      </c>
    </row>
    <row r="217" spans="2:23">
      <c r="B217" s="528" t="s">
        <v>319</v>
      </c>
      <c r="C217" s="529"/>
      <c r="D217" s="529"/>
      <c r="E217" s="529"/>
      <c r="F217" s="530"/>
      <c r="G217" s="122"/>
      <c r="H217" s="123"/>
      <c r="I217" s="99">
        <f t="shared" si="22"/>
        <v>0</v>
      </c>
      <c r="J217" s="499" t="s">
        <v>275</v>
      </c>
      <c r="K217" s="500"/>
      <c r="L217" s="501"/>
      <c r="M217" s="528" t="s">
        <v>352</v>
      </c>
      <c r="N217" s="529"/>
      <c r="O217" s="529"/>
      <c r="P217" s="529"/>
      <c r="Q217" s="530"/>
      <c r="R217" s="122"/>
      <c r="S217" s="123"/>
      <c r="T217" s="99">
        <f t="shared" si="23"/>
        <v>0</v>
      </c>
      <c r="U217" s="499" t="s">
        <v>275</v>
      </c>
      <c r="V217" s="500"/>
      <c r="W217" s="501"/>
    </row>
    <row r="218" spans="2:23" ht="14.4" thickBot="1">
      <c r="B218" s="528" t="s">
        <v>320</v>
      </c>
      <c r="C218" s="529"/>
      <c r="D218" s="529"/>
      <c r="E218" s="529"/>
      <c r="F218" s="530"/>
      <c r="G218" s="122"/>
      <c r="H218" s="123"/>
      <c r="I218" s="99">
        <f t="shared" si="22"/>
        <v>0</v>
      </c>
      <c r="J218" s="502"/>
      <c r="K218" s="503"/>
      <c r="L218" s="504"/>
      <c r="M218" s="528" t="s">
        <v>353</v>
      </c>
      <c r="N218" s="529"/>
      <c r="O218" s="529"/>
      <c r="P218" s="529"/>
      <c r="Q218" s="530"/>
      <c r="R218" s="122"/>
      <c r="S218" s="123"/>
      <c r="T218" s="99">
        <f t="shared" si="23"/>
        <v>0</v>
      </c>
      <c r="U218" s="502"/>
      <c r="V218" s="503"/>
      <c r="W218" s="504"/>
    </row>
    <row r="219" spans="2:23">
      <c r="B219" s="528"/>
      <c r="C219" s="529"/>
      <c r="D219" s="529"/>
      <c r="E219" s="529"/>
      <c r="F219" s="530"/>
      <c r="G219" s="122"/>
      <c r="H219" s="123"/>
      <c r="I219" s="99">
        <f t="shared" si="22"/>
        <v>0</v>
      </c>
      <c r="J219" s="491">
        <f>SUM(I209:I220)</f>
        <v>0</v>
      </c>
      <c r="K219" s="492"/>
      <c r="L219" s="493"/>
      <c r="M219" s="528"/>
      <c r="N219" s="529"/>
      <c r="O219" s="529"/>
      <c r="P219" s="529"/>
      <c r="Q219" s="530"/>
      <c r="R219" s="122"/>
      <c r="S219" s="123"/>
      <c r="T219" s="99">
        <f t="shared" si="23"/>
        <v>0</v>
      </c>
      <c r="U219" s="491">
        <f>SUM(T209:T220)</f>
        <v>0</v>
      </c>
      <c r="V219" s="492"/>
      <c r="W219" s="493"/>
    </row>
    <row r="220" spans="2:23" ht="14.4" thickBot="1">
      <c r="B220" s="537"/>
      <c r="C220" s="538"/>
      <c r="D220" s="538"/>
      <c r="E220" s="538"/>
      <c r="F220" s="539"/>
      <c r="G220" s="124"/>
      <c r="H220" s="125"/>
      <c r="I220" s="100">
        <f t="shared" si="22"/>
        <v>0</v>
      </c>
      <c r="J220" s="494"/>
      <c r="K220" s="495"/>
      <c r="L220" s="496"/>
      <c r="M220" s="537"/>
      <c r="N220" s="538"/>
      <c r="O220" s="538"/>
      <c r="P220" s="538"/>
      <c r="Q220" s="539"/>
      <c r="R220" s="124"/>
      <c r="S220" s="125"/>
      <c r="T220" s="100">
        <f t="shared" si="23"/>
        <v>0</v>
      </c>
      <c r="U220" s="494"/>
      <c r="V220" s="495"/>
      <c r="W220" s="496"/>
    </row>
    <row r="221" spans="2:23" ht="14.4" thickBot="1">
      <c r="B221" s="531" t="s">
        <v>26</v>
      </c>
      <c r="C221" s="532"/>
      <c r="D221" s="532"/>
      <c r="E221" s="532"/>
      <c r="F221" s="532"/>
      <c r="G221" s="532"/>
      <c r="H221" s="532"/>
      <c r="I221" s="533"/>
      <c r="J221" s="132"/>
      <c r="K221" s="132"/>
      <c r="L221" s="132"/>
      <c r="M221" s="531" t="s">
        <v>26</v>
      </c>
      <c r="N221" s="532"/>
      <c r="O221" s="532"/>
      <c r="P221" s="532"/>
      <c r="Q221" s="532"/>
      <c r="R221" s="532"/>
      <c r="S221" s="532"/>
      <c r="T221" s="533"/>
      <c r="U221" s="132"/>
      <c r="V221" s="132"/>
      <c r="W221" s="132"/>
    </row>
    <row r="222" spans="2:23" ht="14.4" thickBot="1">
      <c r="B222" s="531" t="s">
        <v>267</v>
      </c>
      <c r="C222" s="532"/>
      <c r="D222" s="532"/>
      <c r="E222" s="532"/>
      <c r="F222" s="532"/>
      <c r="G222" s="142" t="s">
        <v>266</v>
      </c>
      <c r="H222" s="142" t="s">
        <v>0</v>
      </c>
      <c r="I222" s="103" t="s">
        <v>265</v>
      </c>
      <c r="J222" s="132"/>
      <c r="K222" s="132"/>
      <c r="L222" s="132"/>
      <c r="M222" s="531" t="s">
        <v>267</v>
      </c>
      <c r="N222" s="532"/>
      <c r="O222" s="532"/>
      <c r="P222" s="532"/>
      <c r="Q222" s="532"/>
      <c r="R222" s="142" t="s">
        <v>266</v>
      </c>
      <c r="S222" s="142" t="s">
        <v>0</v>
      </c>
      <c r="T222" s="103" t="s">
        <v>265</v>
      </c>
      <c r="U222" s="132"/>
      <c r="V222" s="132"/>
      <c r="W222" s="132"/>
    </row>
    <row r="223" spans="2:23">
      <c r="B223" s="534" t="s">
        <v>296</v>
      </c>
      <c r="C223" s="535"/>
      <c r="D223" s="535"/>
      <c r="E223" s="535"/>
      <c r="F223" s="536"/>
      <c r="G223" s="143"/>
      <c r="H223" s="144"/>
      <c r="I223" s="104">
        <f t="shared" ref="I223:I239" si="24">G223*H223</f>
        <v>0</v>
      </c>
      <c r="M223" s="534" t="s">
        <v>296</v>
      </c>
      <c r="N223" s="535"/>
      <c r="O223" s="535"/>
      <c r="P223" s="535"/>
      <c r="Q223" s="536"/>
      <c r="R223" s="143"/>
      <c r="S223" s="144"/>
      <c r="T223" s="104">
        <f t="shared" ref="T223:T239" si="25">R223*S223</f>
        <v>0</v>
      </c>
    </row>
    <row r="224" spans="2:23">
      <c r="B224" s="540" t="s">
        <v>295</v>
      </c>
      <c r="C224" s="541"/>
      <c r="D224" s="541"/>
      <c r="E224" s="541"/>
      <c r="F224" s="542"/>
      <c r="G224" s="122"/>
      <c r="H224" s="123"/>
      <c r="I224" s="99">
        <f t="shared" si="24"/>
        <v>0</v>
      </c>
      <c r="M224" s="540" t="s">
        <v>295</v>
      </c>
      <c r="N224" s="541"/>
      <c r="O224" s="541"/>
      <c r="P224" s="541"/>
      <c r="Q224" s="542"/>
      <c r="R224" s="122"/>
      <c r="S224" s="123"/>
      <c r="T224" s="99">
        <f t="shared" si="25"/>
        <v>0</v>
      </c>
    </row>
    <row r="225" spans="2:23">
      <c r="B225" s="540" t="s">
        <v>330</v>
      </c>
      <c r="C225" s="541"/>
      <c r="D225" s="541"/>
      <c r="E225" s="541"/>
      <c r="F225" s="542"/>
      <c r="G225" s="122"/>
      <c r="H225" s="123"/>
      <c r="I225" s="99">
        <f t="shared" si="24"/>
        <v>0</v>
      </c>
      <c r="M225" s="540" t="s">
        <v>330</v>
      </c>
      <c r="N225" s="541"/>
      <c r="O225" s="541"/>
      <c r="P225" s="541"/>
      <c r="Q225" s="542"/>
      <c r="R225" s="122"/>
      <c r="S225" s="123"/>
      <c r="T225" s="99">
        <f t="shared" si="25"/>
        <v>0</v>
      </c>
    </row>
    <row r="226" spans="2:23">
      <c r="B226" s="540" t="s">
        <v>329</v>
      </c>
      <c r="C226" s="541"/>
      <c r="D226" s="541"/>
      <c r="E226" s="541"/>
      <c r="F226" s="542"/>
      <c r="G226" s="122"/>
      <c r="H226" s="123"/>
      <c r="I226" s="99">
        <f t="shared" si="24"/>
        <v>0</v>
      </c>
      <c r="M226" s="540" t="s">
        <v>329</v>
      </c>
      <c r="N226" s="541"/>
      <c r="O226" s="541"/>
      <c r="P226" s="541"/>
      <c r="Q226" s="542"/>
      <c r="R226" s="122"/>
      <c r="S226" s="123"/>
      <c r="T226" s="99">
        <f t="shared" si="25"/>
        <v>0</v>
      </c>
    </row>
    <row r="227" spans="2:23">
      <c r="B227" s="540" t="s">
        <v>331</v>
      </c>
      <c r="C227" s="541"/>
      <c r="D227" s="541"/>
      <c r="E227" s="541"/>
      <c r="F227" s="542"/>
      <c r="G227" s="122"/>
      <c r="H227" s="123"/>
      <c r="I227" s="99">
        <f t="shared" si="24"/>
        <v>0</v>
      </c>
      <c r="M227" s="540" t="s">
        <v>331</v>
      </c>
      <c r="N227" s="541"/>
      <c r="O227" s="541"/>
      <c r="P227" s="541"/>
      <c r="Q227" s="542"/>
      <c r="R227" s="122"/>
      <c r="S227" s="123"/>
      <c r="T227" s="99">
        <f t="shared" si="25"/>
        <v>0</v>
      </c>
    </row>
    <row r="228" spans="2:23">
      <c r="B228" s="145" t="s">
        <v>42</v>
      </c>
      <c r="C228" s="146"/>
      <c r="D228" s="146"/>
      <c r="E228" s="146"/>
      <c r="F228" s="147"/>
      <c r="G228" s="122"/>
      <c r="H228" s="123"/>
      <c r="I228" s="99">
        <f t="shared" si="24"/>
        <v>0</v>
      </c>
      <c r="M228" s="145" t="s">
        <v>42</v>
      </c>
      <c r="N228" s="146"/>
      <c r="O228" s="146"/>
      <c r="P228" s="146"/>
      <c r="Q228" s="147"/>
      <c r="R228" s="122"/>
      <c r="S228" s="123"/>
      <c r="T228" s="99">
        <f t="shared" si="25"/>
        <v>0</v>
      </c>
    </row>
    <row r="229" spans="2:23">
      <c r="B229" s="145" t="s">
        <v>41</v>
      </c>
      <c r="C229" s="146"/>
      <c r="D229" s="146"/>
      <c r="E229" s="146"/>
      <c r="F229" s="147"/>
      <c r="G229" s="122"/>
      <c r="H229" s="123"/>
      <c r="I229" s="99">
        <f t="shared" si="24"/>
        <v>0</v>
      </c>
      <c r="M229" s="145" t="s">
        <v>41</v>
      </c>
      <c r="N229" s="146"/>
      <c r="O229" s="146"/>
      <c r="P229" s="146"/>
      <c r="Q229" s="147"/>
      <c r="R229" s="122"/>
      <c r="S229" s="123"/>
      <c r="T229" s="99">
        <f t="shared" si="25"/>
        <v>0</v>
      </c>
    </row>
    <row r="230" spans="2:23">
      <c r="B230" s="145" t="s">
        <v>3</v>
      </c>
      <c r="C230" s="146"/>
      <c r="D230" s="146"/>
      <c r="E230" s="146"/>
      <c r="F230" s="147"/>
      <c r="G230" s="122"/>
      <c r="H230" s="123"/>
      <c r="I230" s="99">
        <f t="shared" si="24"/>
        <v>0</v>
      </c>
      <c r="M230" s="145" t="s">
        <v>3</v>
      </c>
      <c r="N230" s="146"/>
      <c r="O230" s="146"/>
      <c r="P230" s="146"/>
      <c r="Q230" s="147"/>
      <c r="R230" s="122"/>
      <c r="S230" s="123"/>
      <c r="T230" s="99">
        <f t="shared" si="25"/>
        <v>0</v>
      </c>
    </row>
    <row r="231" spans="2:23">
      <c r="B231" s="145" t="s">
        <v>4</v>
      </c>
      <c r="C231" s="146"/>
      <c r="D231" s="146"/>
      <c r="E231" s="146"/>
      <c r="F231" s="147"/>
      <c r="G231" s="122"/>
      <c r="H231" s="123"/>
      <c r="I231" s="99">
        <f t="shared" si="24"/>
        <v>0</v>
      </c>
      <c r="M231" s="145" t="s">
        <v>4</v>
      </c>
      <c r="N231" s="146"/>
      <c r="O231" s="146"/>
      <c r="P231" s="146"/>
      <c r="Q231" s="147"/>
      <c r="R231" s="122"/>
      <c r="S231" s="123"/>
      <c r="T231" s="99">
        <f t="shared" si="25"/>
        <v>0</v>
      </c>
    </row>
    <row r="232" spans="2:23">
      <c r="B232" s="145" t="s">
        <v>67</v>
      </c>
      <c r="C232" s="146"/>
      <c r="D232" s="146"/>
      <c r="E232" s="146"/>
      <c r="F232" s="147"/>
      <c r="G232" s="122"/>
      <c r="H232" s="123"/>
      <c r="I232" s="99">
        <f t="shared" si="24"/>
        <v>0</v>
      </c>
      <c r="M232" s="145" t="s">
        <v>67</v>
      </c>
      <c r="N232" s="146"/>
      <c r="O232" s="146"/>
      <c r="P232" s="146"/>
      <c r="Q232" s="147"/>
      <c r="R232" s="122"/>
      <c r="S232" s="123"/>
      <c r="T232" s="99">
        <f t="shared" si="25"/>
        <v>0</v>
      </c>
    </row>
    <row r="233" spans="2:23">
      <c r="B233" s="145" t="s">
        <v>68</v>
      </c>
      <c r="C233" s="146"/>
      <c r="D233" s="146"/>
      <c r="E233" s="146"/>
      <c r="F233" s="147"/>
      <c r="G233" s="122"/>
      <c r="H233" s="123"/>
      <c r="I233" s="99">
        <f t="shared" si="24"/>
        <v>0</v>
      </c>
      <c r="M233" s="145" t="s">
        <v>68</v>
      </c>
      <c r="N233" s="146"/>
      <c r="O233" s="146"/>
      <c r="P233" s="146"/>
      <c r="Q233" s="147"/>
      <c r="R233" s="122"/>
      <c r="S233" s="123"/>
      <c r="T233" s="99">
        <f t="shared" si="25"/>
        <v>0</v>
      </c>
    </row>
    <row r="234" spans="2:23">
      <c r="B234" s="540" t="s">
        <v>70</v>
      </c>
      <c r="C234" s="541"/>
      <c r="D234" s="541"/>
      <c r="E234" s="541"/>
      <c r="F234" s="542"/>
      <c r="G234" s="122"/>
      <c r="H234" s="123"/>
      <c r="I234" s="99">
        <f t="shared" si="24"/>
        <v>0</v>
      </c>
      <c r="M234" s="540" t="s">
        <v>70</v>
      </c>
      <c r="N234" s="541"/>
      <c r="O234" s="541"/>
      <c r="P234" s="541"/>
      <c r="Q234" s="542"/>
      <c r="R234" s="122"/>
      <c r="S234" s="123"/>
      <c r="T234" s="99">
        <f t="shared" si="25"/>
        <v>0</v>
      </c>
    </row>
    <row r="235" spans="2:23" ht="14.4" thickBot="1">
      <c r="B235" s="540" t="s">
        <v>380</v>
      </c>
      <c r="C235" s="541"/>
      <c r="D235" s="541"/>
      <c r="E235" s="541"/>
      <c r="F235" s="542"/>
      <c r="G235" s="122"/>
      <c r="H235" s="123"/>
      <c r="I235" s="99">
        <f t="shared" si="24"/>
        <v>0</v>
      </c>
      <c r="M235" s="540" t="s">
        <v>380</v>
      </c>
      <c r="N235" s="541"/>
      <c r="O235" s="541"/>
      <c r="P235" s="541"/>
      <c r="Q235" s="542"/>
      <c r="R235" s="122"/>
      <c r="S235" s="123"/>
      <c r="T235" s="99">
        <f t="shared" si="25"/>
        <v>0</v>
      </c>
    </row>
    <row r="236" spans="2:23">
      <c r="B236" s="540" t="s">
        <v>16</v>
      </c>
      <c r="C236" s="541"/>
      <c r="D236" s="541"/>
      <c r="E236" s="541"/>
      <c r="F236" s="542"/>
      <c r="G236" s="122"/>
      <c r="H236" s="123"/>
      <c r="I236" s="99">
        <f t="shared" si="24"/>
        <v>0</v>
      </c>
      <c r="J236" s="499" t="s">
        <v>275</v>
      </c>
      <c r="K236" s="500"/>
      <c r="L236" s="501"/>
      <c r="M236" s="540" t="s">
        <v>16</v>
      </c>
      <c r="N236" s="541"/>
      <c r="O236" s="541"/>
      <c r="P236" s="541"/>
      <c r="Q236" s="542"/>
      <c r="R236" s="122"/>
      <c r="S236" s="123"/>
      <c r="T236" s="99">
        <f t="shared" si="25"/>
        <v>0</v>
      </c>
      <c r="U236" s="499" t="s">
        <v>275</v>
      </c>
      <c r="V236" s="500"/>
      <c r="W236" s="501"/>
    </row>
    <row r="237" spans="2:23" ht="14.4" thickBot="1">
      <c r="B237" s="540" t="s">
        <v>17</v>
      </c>
      <c r="C237" s="541"/>
      <c r="D237" s="541"/>
      <c r="E237" s="541"/>
      <c r="F237" s="542"/>
      <c r="G237" s="122"/>
      <c r="H237" s="123"/>
      <c r="I237" s="99">
        <f t="shared" si="24"/>
        <v>0</v>
      </c>
      <c r="J237" s="502"/>
      <c r="K237" s="503"/>
      <c r="L237" s="504"/>
      <c r="M237" s="540" t="s">
        <v>17</v>
      </c>
      <c r="N237" s="541"/>
      <c r="O237" s="541"/>
      <c r="P237" s="541"/>
      <c r="Q237" s="542"/>
      <c r="R237" s="122"/>
      <c r="S237" s="123"/>
      <c r="T237" s="99">
        <f t="shared" si="25"/>
        <v>0</v>
      </c>
      <c r="U237" s="502"/>
      <c r="V237" s="503"/>
      <c r="W237" s="504"/>
    </row>
    <row r="238" spans="2:23">
      <c r="B238" s="540"/>
      <c r="C238" s="541"/>
      <c r="D238" s="541"/>
      <c r="E238" s="541"/>
      <c r="F238" s="542"/>
      <c r="G238" s="122"/>
      <c r="H238" s="123"/>
      <c r="I238" s="99">
        <f t="shared" si="24"/>
        <v>0</v>
      </c>
      <c r="J238" s="491">
        <f>SUM(I223:I239)</f>
        <v>0</v>
      </c>
      <c r="K238" s="492"/>
      <c r="L238" s="493"/>
      <c r="M238" s="540"/>
      <c r="N238" s="541"/>
      <c r="O238" s="541"/>
      <c r="P238" s="541"/>
      <c r="Q238" s="542"/>
      <c r="R238" s="122"/>
      <c r="S238" s="123"/>
      <c r="T238" s="99">
        <f t="shared" si="25"/>
        <v>0</v>
      </c>
      <c r="U238" s="491">
        <f>SUM(T223:T239)</f>
        <v>0</v>
      </c>
      <c r="V238" s="492"/>
      <c r="W238" s="493"/>
    </row>
    <row r="239" spans="2:23" ht="14.4" thickBot="1">
      <c r="B239" s="543"/>
      <c r="C239" s="544"/>
      <c r="D239" s="544"/>
      <c r="E239" s="544"/>
      <c r="F239" s="545"/>
      <c r="G239" s="124"/>
      <c r="H239" s="125"/>
      <c r="I239" s="100">
        <f t="shared" si="24"/>
        <v>0</v>
      </c>
      <c r="J239" s="494"/>
      <c r="K239" s="495"/>
      <c r="L239" s="496"/>
      <c r="M239" s="543"/>
      <c r="N239" s="544"/>
      <c r="O239" s="544"/>
      <c r="P239" s="544"/>
      <c r="Q239" s="545"/>
      <c r="R239" s="124"/>
      <c r="S239" s="125"/>
      <c r="T239" s="100">
        <f t="shared" si="25"/>
        <v>0</v>
      </c>
      <c r="U239" s="494"/>
      <c r="V239" s="495"/>
      <c r="W239" s="496"/>
    </row>
    <row r="240" spans="2:23" ht="14.4" thickBot="1">
      <c r="B240" s="546" t="s">
        <v>297</v>
      </c>
      <c r="C240" s="547"/>
      <c r="D240" s="547"/>
      <c r="E240" s="547"/>
      <c r="F240" s="547"/>
      <c r="G240" s="547"/>
      <c r="H240" s="547"/>
      <c r="I240" s="548"/>
      <c r="J240" s="132"/>
      <c r="K240" s="132"/>
      <c r="L240" s="132"/>
      <c r="M240" s="546" t="s">
        <v>297</v>
      </c>
      <c r="N240" s="547"/>
      <c r="O240" s="547"/>
      <c r="P240" s="547"/>
      <c r="Q240" s="547"/>
      <c r="R240" s="547"/>
      <c r="S240" s="547"/>
      <c r="T240" s="548"/>
      <c r="U240" s="132"/>
      <c r="V240" s="132"/>
      <c r="W240" s="132"/>
    </row>
    <row r="241" spans="2:23" ht="14.4" thickBot="1">
      <c r="B241" s="546" t="s">
        <v>267</v>
      </c>
      <c r="C241" s="547"/>
      <c r="D241" s="547"/>
      <c r="E241" s="547"/>
      <c r="F241" s="547"/>
      <c r="G241" s="148" t="s">
        <v>266</v>
      </c>
      <c r="H241" s="148" t="s">
        <v>0</v>
      </c>
      <c r="I241" s="105" t="s">
        <v>265</v>
      </c>
      <c r="J241" s="132"/>
      <c r="K241" s="132"/>
      <c r="L241" s="132"/>
      <c r="M241" s="546" t="s">
        <v>267</v>
      </c>
      <c r="N241" s="547"/>
      <c r="O241" s="547"/>
      <c r="P241" s="547"/>
      <c r="Q241" s="547"/>
      <c r="R241" s="148" t="s">
        <v>266</v>
      </c>
      <c r="S241" s="148" t="s">
        <v>0</v>
      </c>
      <c r="T241" s="105" t="s">
        <v>265</v>
      </c>
      <c r="U241" s="132"/>
      <c r="V241" s="132"/>
      <c r="W241" s="132"/>
    </row>
    <row r="242" spans="2:23">
      <c r="B242" s="549" t="s">
        <v>333</v>
      </c>
      <c r="C242" s="550"/>
      <c r="D242" s="550"/>
      <c r="E242" s="550"/>
      <c r="F242" s="551"/>
      <c r="G242" s="116"/>
      <c r="H242" s="117"/>
      <c r="I242" s="98"/>
      <c r="M242" s="549" t="s">
        <v>333</v>
      </c>
      <c r="N242" s="550"/>
      <c r="O242" s="550"/>
      <c r="P242" s="550"/>
      <c r="Q242" s="551"/>
      <c r="R242" s="116"/>
      <c r="S242" s="117"/>
      <c r="T242" s="98"/>
    </row>
    <row r="243" spans="2:23">
      <c r="B243" s="552" t="s">
        <v>291</v>
      </c>
      <c r="C243" s="553"/>
      <c r="D243" s="553"/>
      <c r="E243" s="553"/>
      <c r="F243" s="554"/>
      <c r="G243" s="122"/>
      <c r="H243" s="123"/>
      <c r="I243" s="99">
        <f t="shared" ref="I243:I253" si="26">G243*H243</f>
        <v>0</v>
      </c>
      <c r="M243" s="552" t="s">
        <v>291</v>
      </c>
      <c r="N243" s="553"/>
      <c r="O243" s="553"/>
      <c r="P243" s="553"/>
      <c r="Q243" s="554"/>
      <c r="R243" s="122"/>
      <c r="S243" s="123"/>
      <c r="T243" s="99">
        <f t="shared" ref="T243:T253" si="27">R243*S243</f>
        <v>0</v>
      </c>
    </row>
    <row r="244" spans="2:23">
      <c r="B244" s="552" t="s">
        <v>292</v>
      </c>
      <c r="C244" s="553"/>
      <c r="D244" s="553"/>
      <c r="E244" s="553"/>
      <c r="F244" s="554"/>
      <c r="G244" s="122"/>
      <c r="H244" s="123"/>
      <c r="I244" s="99">
        <f t="shared" si="26"/>
        <v>0</v>
      </c>
      <c r="M244" s="552" t="s">
        <v>292</v>
      </c>
      <c r="N244" s="553"/>
      <c r="O244" s="553"/>
      <c r="P244" s="553"/>
      <c r="Q244" s="554"/>
      <c r="R244" s="122"/>
      <c r="S244" s="123"/>
      <c r="T244" s="99">
        <f t="shared" si="27"/>
        <v>0</v>
      </c>
    </row>
    <row r="245" spans="2:23">
      <c r="B245" s="552" t="s">
        <v>293</v>
      </c>
      <c r="C245" s="553"/>
      <c r="D245" s="553"/>
      <c r="E245" s="553"/>
      <c r="F245" s="554"/>
      <c r="G245" s="122"/>
      <c r="H245" s="123"/>
      <c r="I245" s="99">
        <f t="shared" si="26"/>
        <v>0</v>
      </c>
      <c r="M245" s="552" t="s">
        <v>293</v>
      </c>
      <c r="N245" s="553"/>
      <c r="O245" s="553"/>
      <c r="P245" s="553"/>
      <c r="Q245" s="554"/>
      <c r="R245" s="122"/>
      <c r="S245" s="123"/>
      <c r="T245" s="99">
        <f t="shared" si="27"/>
        <v>0</v>
      </c>
    </row>
    <row r="246" spans="2:23">
      <c r="B246" s="552" t="s">
        <v>193</v>
      </c>
      <c r="C246" s="553"/>
      <c r="D246" s="553"/>
      <c r="E246" s="553"/>
      <c r="F246" s="554"/>
      <c r="G246" s="122"/>
      <c r="H246" s="123"/>
      <c r="I246" s="99">
        <f t="shared" si="26"/>
        <v>0</v>
      </c>
      <c r="M246" s="552" t="s">
        <v>193</v>
      </c>
      <c r="N246" s="553"/>
      <c r="O246" s="553"/>
      <c r="P246" s="553"/>
      <c r="Q246" s="554"/>
      <c r="R246" s="122"/>
      <c r="S246" s="123"/>
      <c r="T246" s="99">
        <f t="shared" si="27"/>
        <v>0</v>
      </c>
    </row>
    <row r="247" spans="2:23">
      <c r="B247" s="552" t="s">
        <v>294</v>
      </c>
      <c r="C247" s="553"/>
      <c r="D247" s="553"/>
      <c r="E247" s="553"/>
      <c r="F247" s="554"/>
      <c r="G247" s="122"/>
      <c r="H247" s="123"/>
      <c r="I247" s="99">
        <f t="shared" si="26"/>
        <v>0</v>
      </c>
      <c r="M247" s="552" t="s">
        <v>294</v>
      </c>
      <c r="N247" s="553"/>
      <c r="O247" s="553"/>
      <c r="P247" s="553"/>
      <c r="Q247" s="554"/>
      <c r="R247" s="122"/>
      <c r="S247" s="123"/>
      <c r="T247" s="99">
        <f t="shared" si="27"/>
        <v>0</v>
      </c>
    </row>
    <row r="248" spans="2:23">
      <c r="B248" s="552"/>
      <c r="C248" s="553"/>
      <c r="D248" s="553"/>
      <c r="E248" s="553"/>
      <c r="F248" s="554"/>
      <c r="G248" s="122"/>
      <c r="H248" s="123"/>
      <c r="I248" s="99">
        <f t="shared" si="26"/>
        <v>0</v>
      </c>
      <c r="M248" s="552"/>
      <c r="N248" s="553"/>
      <c r="O248" s="553"/>
      <c r="P248" s="553"/>
      <c r="Q248" s="554"/>
      <c r="R248" s="122"/>
      <c r="S248" s="123"/>
      <c r="T248" s="99">
        <f t="shared" si="27"/>
        <v>0</v>
      </c>
    </row>
    <row r="249" spans="2:23" ht="14.4" thickBot="1">
      <c r="B249" s="552"/>
      <c r="C249" s="553"/>
      <c r="D249" s="553"/>
      <c r="E249" s="553"/>
      <c r="F249" s="554"/>
      <c r="G249" s="122"/>
      <c r="H249" s="123"/>
      <c r="I249" s="99">
        <f t="shared" si="26"/>
        <v>0</v>
      </c>
      <c r="M249" s="552"/>
      <c r="N249" s="553"/>
      <c r="O249" s="553"/>
      <c r="P249" s="553"/>
      <c r="Q249" s="554"/>
      <c r="R249" s="122"/>
      <c r="S249" s="123"/>
      <c r="T249" s="99">
        <f t="shared" si="27"/>
        <v>0</v>
      </c>
    </row>
    <row r="250" spans="2:23">
      <c r="B250" s="552"/>
      <c r="C250" s="553"/>
      <c r="D250" s="553"/>
      <c r="E250" s="553"/>
      <c r="F250" s="554"/>
      <c r="G250" s="122"/>
      <c r="H250" s="123"/>
      <c r="I250" s="99">
        <f t="shared" si="26"/>
        <v>0</v>
      </c>
      <c r="J250" s="499" t="s">
        <v>275</v>
      </c>
      <c r="K250" s="500"/>
      <c r="L250" s="501"/>
      <c r="M250" s="552"/>
      <c r="N250" s="553"/>
      <c r="O250" s="553"/>
      <c r="P250" s="553"/>
      <c r="Q250" s="554"/>
      <c r="R250" s="122"/>
      <c r="S250" s="123"/>
      <c r="T250" s="99">
        <f t="shared" si="27"/>
        <v>0</v>
      </c>
      <c r="U250" s="499" t="s">
        <v>275</v>
      </c>
      <c r="V250" s="500"/>
      <c r="W250" s="501"/>
    </row>
    <row r="251" spans="2:23" ht="14.4" thickBot="1">
      <c r="B251" s="557" t="s">
        <v>2</v>
      </c>
      <c r="C251" s="558"/>
      <c r="D251" s="558"/>
      <c r="E251" s="558"/>
      <c r="F251" s="559"/>
      <c r="G251" s="149"/>
      <c r="H251" s="150"/>
      <c r="I251" s="100">
        <f t="shared" si="26"/>
        <v>0</v>
      </c>
      <c r="J251" s="502"/>
      <c r="K251" s="503"/>
      <c r="L251" s="504"/>
      <c r="M251" s="557" t="s">
        <v>2</v>
      </c>
      <c r="N251" s="558"/>
      <c r="O251" s="558"/>
      <c r="P251" s="558"/>
      <c r="Q251" s="559"/>
      <c r="R251" s="149"/>
      <c r="S251" s="150"/>
      <c r="T251" s="100">
        <f t="shared" si="27"/>
        <v>0</v>
      </c>
      <c r="U251" s="502"/>
      <c r="V251" s="503"/>
      <c r="W251" s="504"/>
    </row>
    <row r="252" spans="2:23">
      <c r="B252" s="555" t="s">
        <v>22</v>
      </c>
      <c r="C252" s="556"/>
      <c r="D252" s="556"/>
      <c r="E252" s="556"/>
      <c r="F252" s="556"/>
      <c r="G252" s="122"/>
      <c r="H252" s="123"/>
      <c r="I252" s="99">
        <f t="shared" si="26"/>
        <v>0</v>
      </c>
      <c r="J252" s="491">
        <f>SUM(I242:I253)</f>
        <v>0</v>
      </c>
      <c r="K252" s="492"/>
      <c r="L252" s="493"/>
      <c r="M252" s="555" t="s">
        <v>22</v>
      </c>
      <c r="N252" s="556"/>
      <c r="O252" s="556"/>
      <c r="P252" s="556"/>
      <c r="Q252" s="556"/>
      <c r="R252" s="122"/>
      <c r="S252" s="123"/>
      <c r="T252" s="99">
        <f t="shared" si="27"/>
        <v>0</v>
      </c>
      <c r="U252" s="491">
        <f>SUM(T242:T253)</f>
        <v>0</v>
      </c>
      <c r="V252" s="492"/>
      <c r="W252" s="493"/>
    </row>
    <row r="253" spans="2:23" ht="14.4" thickBot="1">
      <c r="B253" s="555" t="s">
        <v>21</v>
      </c>
      <c r="C253" s="556"/>
      <c r="D253" s="556"/>
      <c r="E253" s="556"/>
      <c r="F253" s="556"/>
      <c r="G253" s="122"/>
      <c r="H253" s="123"/>
      <c r="I253" s="99">
        <f t="shared" si="26"/>
        <v>0</v>
      </c>
      <c r="J253" s="494"/>
      <c r="K253" s="495"/>
      <c r="L253" s="496"/>
      <c r="M253" s="555" t="s">
        <v>21</v>
      </c>
      <c r="N253" s="556"/>
      <c r="O253" s="556"/>
      <c r="P253" s="556"/>
      <c r="Q253" s="556"/>
      <c r="R253" s="122"/>
      <c r="S253" s="123"/>
      <c r="T253" s="99">
        <f t="shared" si="27"/>
        <v>0</v>
      </c>
      <c r="U253" s="494"/>
      <c r="V253" s="495"/>
      <c r="W253" s="496"/>
    </row>
    <row r="254" spans="2:23" ht="14.4" thickBot="1">
      <c r="B254" s="560" t="s">
        <v>334</v>
      </c>
      <c r="C254" s="561"/>
      <c r="D254" s="561"/>
      <c r="E254" s="561"/>
      <c r="F254" s="561"/>
      <c r="G254" s="561"/>
      <c r="H254" s="561"/>
      <c r="I254" s="562"/>
      <c r="J254" s="151"/>
      <c r="K254" s="132"/>
      <c r="L254" s="132"/>
      <c r="M254" s="560" t="s">
        <v>334</v>
      </c>
      <c r="N254" s="561"/>
      <c r="O254" s="561"/>
      <c r="P254" s="561"/>
      <c r="Q254" s="561"/>
      <c r="R254" s="561"/>
      <c r="S254" s="561"/>
      <c r="T254" s="562"/>
      <c r="U254" s="151"/>
      <c r="V254" s="132"/>
      <c r="W254" s="132"/>
    </row>
    <row r="255" spans="2:23" ht="14.4" thickBot="1">
      <c r="B255" s="560" t="s">
        <v>267</v>
      </c>
      <c r="C255" s="561"/>
      <c r="D255" s="561"/>
      <c r="E255" s="561"/>
      <c r="F255" s="561"/>
      <c r="G255" s="152" t="s">
        <v>266</v>
      </c>
      <c r="H255" s="152" t="s">
        <v>0</v>
      </c>
      <c r="I255" s="106" t="s">
        <v>265</v>
      </c>
      <c r="J255" s="151"/>
      <c r="K255" s="132"/>
      <c r="L255" s="132"/>
      <c r="M255" s="560" t="s">
        <v>267</v>
      </c>
      <c r="N255" s="561"/>
      <c r="O255" s="561"/>
      <c r="P255" s="561"/>
      <c r="Q255" s="561"/>
      <c r="R255" s="152" t="s">
        <v>266</v>
      </c>
      <c r="S255" s="152" t="s">
        <v>0</v>
      </c>
      <c r="T255" s="106" t="s">
        <v>265</v>
      </c>
      <c r="U255" s="151"/>
      <c r="V255" s="132"/>
      <c r="W255" s="132"/>
    </row>
    <row r="256" spans="2:23">
      <c r="B256" s="563" t="s">
        <v>8</v>
      </c>
      <c r="C256" s="564"/>
      <c r="D256" s="564"/>
      <c r="E256" s="564"/>
      <c r="F256" s="564"/>
      <c r="G256" s="122"/>
      <c r="H256" s="123"/>
      <c r="I256" s="99">
        <f t="shared" ref="I256:I259" si="28">G256*H256</f>
        <v>0</v>
      </c>
      <c r="J256" s="499" t="s">
        <v>275</v>
      </c>
      <c r="K256" s="500"/>
      <c r="L256" s="501"/>
      <c r="M256" s="563" t="s">
        <v>8</v>
      </c>
      <c r="N256" s="564"/>
      <c r="O256" s="564"/>
      <c r="P256" s="564"/>
      <c r="Q256" s="564"/>
      <c r="R256" s="122"/>
      <c r="S256" s="123"/>
      <c r="T256" s="99">
        <f t="shared" ref="T256:T259" si="29">R256*S256</f>
        <v>0</v>
      </c>
      <c r="U256" s="499" t="s">
        <v>275</v>
      </c>
      <c r="V256" s="500"/>
      <c r="W256" s="501"/>
    </row>
    <row r="257" spans="2:23" ht="14.4" thickBot="1">
      <c r="B257" s="563" t="s">
        <v>9</v>
      </c>
      <c r="C257" s="564"/>
      <c r="D257" s="564"/>
      <c r="E257" s="564"/>
      <c r="F257" s="564"/>
      <c r="G257" s="122"/>
      <c r="H257" s="123"/>
      <c r="I257" s="99">
        <f t="shared" si="28"/>
        <v>0</v>
      </c>
      <c r="J257" s="502"/>
      <c r="K257" s="503"/>
      <c r="L257" s="504"/>
      <c r="M257" s="563" t="s">
        <v>9</v>
      </c>
      <c r="N257" s="564"/>
      <c r="O257" s="564"/>
      <c r="P257" s="564"/>
      <c r="Q257" s="564"/>
      <c r="R257" s="122"/>
      <c r="S257" s="123"/>
      <c r="T257" s="99">
        <f t="shared" si="29"/>
        <v>0</v>
      </c>
      <c r="U257" s="502"/>
      <c r="V257" s="503"/>
      <c r="W257" s="504"/>
    </row>
    <row r="258" spans="2:23">
      <c r="B258" s="563" t="s">
        <v>335</v>
      </c>
      <c r="C258" s="564"/>
      <c r="D258" s="564"/>
      <c r="E258" s="564"/>
      <c r="F258" s="564"/>
      <c r="G258" s="122"/>
      <c r="H258" s="123"/>
      <c r="I258" s="99">
        <f t="shared" si="28"/>
        <v>0</v>
      </c>
      <c r="J258" s="491">
        <f>SUM(I256:I259)</f>
        <v>0</v>
      </c>
      <c r="K258" s="492"/>
      <c r="L258" s="493"/>
      <c r="M258" s="563" t="s">
        <v>335</v>
      </c>
      <c r="N258" s="564"/>
      <c r="O258" s="564"/>
      <c r="P258" s="564"/>
      <c r="Q258" s="564"/>
      <c r="R258" s="122"/>
      <c r="S258" s="123"/>
      <c r="T258" s="99">
        <f t="shared" si="29"/>
        <v>0</v>
      </c>
      <c r="U258" s="491">
        <f>SUM(T256:T259)</f>
        <v>0</v>
      </c>
      <c r="V258" s="492"/>
      <c r="W258" s="493"/>
    </row>
    <row r="259" spans="2:23" ht="14.4" thickBot="1">
      <c r="B259" s="583" t="s">
        <v>336</v>
      </c>
      <c r="C259" s="584"/>
      <c r="D259" s="584"/>
      <c r="E259" s="584"/>
      <c r="F259" s="584"/>
      <c r="G259" s="153"/>
      <c r="H259" s="154"/>
      <c r="I259" s="107">
        <f t="shared" si="28"/>
        <v>0</v>
      </c>
      <c r="J259" s="494"/>
      <c r="K259" s="495"/>
      <c r="L259" s="496"/>
      <c r="M259" s="583" t="s">
        <v>336</v>
      </c>
      <c r="N259" s="584"/>
      <c r="O259" s="584"/>
      <c r="P259" s="584"/>
      <c r="Q259" s="584"/>
      <c r="R259" s="153"/>
      <c r="S259" s="154"/>
      <c r="T259" s="107">
        <f t="shared" si="29"/>
        <v>0</v>
      </c>
      <c r="U259" s="494"/>
      <c r="V259" s="495"/>
      <c r="W259" s="496"/>
    </row>
    <row r="260" spans="2:23">
      <c r="B260" s="565" t="s">
        <v>298</v>
      </c>
      <c r="C260" s="566"/>
      <c r="D260" s="566"/>
      <c r="E260" s="566"/>
      <c r="F260" s="566"/>
      <c r="G260" s="566"/>
      <c r="H260" s="566"/>
      <c r="I260" s="567"/>
      <c r="J260" s="574">
        <f>SUM(J258,J252,J238,J219,J205,J191,J177)</f>
        <v>1994000</v>
      </c>
      <c r="K260" s="575"/>
      <c r="L260" s="576"/>
      <c r="M260" s="565" t="s">
        <v>298</v>
      </c>
      <c r="N260" s="566"/>
      <c r="O260" s="566"/>
      <c r="P260" s="566"/>
      <c r="Q260" s="566"/>
      <c r="R260" s="566"/>
      <c r="S260" s="566"/>
      <c r="T260" s="567"/>
      <c r="U260" s="574">
        <f>SUM(U258,U252,U238,U219,U205,U191,U177)</f>
        <v>0</v>
      </c>
      <c r="V260" s="575"/>
      <c r="W260" s="576"/>
    </row>
    <row r="261" spans="2:23">
      <c r="B261" s="568"/>
      <c r="C261" s="569"/>
      <c r="D261" s="569"/>
      <c r="E261" s="569"/>
      <c r="F261" s="569"/>
      <c r="G261" s="569"/>
      <c r="H261" s="569"/>
      <c r="I261" s="570"/>
      <c r="J261" s="577"/>
      <c r="K261" s="578"/>
      <c r="L261" s="579"/>
      <c r="M261" s="568"/>
      <c r="N261" s="569"/>
      <c r="O261" s="569"/>
      <c r="P261" s="569"/>
      <c r="Q261" s="569"/>
      <c r="R261" s="569"/>
      <c r="S261" s="569"/>
      <c r="T261" s="570"/>
      <c r="U261" s="577"/>
      <c r="V261" s="578"/>
      <c r="W261" s="579"/>
    </row>
    <row r="262" spans="2:23" ht="14.4" thickBot="1">
      <c r="B262" s="571"/>
      <c r="C262" s="572"/>
      <c r="D262" s="572"/>
      <c r="E262" s="572"/>
      <c r="F262" s="572"/>
      <c r="G262" s="572"/>
      <c r="H262" s="572"/>
      <c r="I262" s="573"/>
      <c r="J262" s="580"/>
      <c r="K262" s="581"/>
      <c r="L262" s="582"/>
      <c r="M262" s="571"/>
      <c r="N262" s="572"/>
      <c r="O262" s="572"/>
      <c r="P262" s="572"/>
      <c r="Q262" s="572"/>
      <c r="R262" s="572"/>
      <c r="S262" s="572"/>
      <c r="T262" s="573"/>
      <c r="U262" s="580"/>
      <c r="V262" s="581"/>
      <c r="W262" s="582"/>
    </row>
  </sheetData>
  <mergeCells count="527">
    <mergeCell ref="B2:I3"/>
    <mergeCell ref="K2:R3"/>
    <mergeCell ref="T2:AA3"/>
    <mergeCell ref="B4:H4"/>
    <mergeCell ref="K4:Q4"/>
    <mergeCell ref="T4:Z4"/>
    <mergeCell ref="B7:H7"/>
    <mergeCell ref="K7:Q7"/>
    <mergeCell ref="T7:Z7"/>
    <mergeCell ref="B8:H8"/>
    <mergeCell ref="K8:Q8"/>
    <mergeCell ref="T8:Z8"/>
    <mergeCell ref="B5:H5"/>
    <mergeCell ref="K5:Q5"/>
    <mergeCell ref="T5:Z5"/>
    <mergeCell ref="B6:H6"/>
    <mergeCell ref="K6:Q6"/>
    <mergeCell ref="T6:Z6"/>
    <mergeCell ref="B11:H11"/>
    <mergeCell ref="K11:Q11"/>
    <mergeCell ref="T11:Z11"/>
    <mergeCell ref="B12:H12"/>
    <mergeCell ref="K12:Q12"/>
    <mergeCell ref="T12:Z12"/>
    <mergeCell ref="B9:H9"/>
    <mergeCell ref="K9:Q9"/>
    <mergeCell ref="T9:Z9"/>
    <mergeCell ref="B10:H10"/>
    <mergeCell ref="K10:Q10"/>
    <mergeCell ref="T10:Z10"/>
    <mergeCell ref="B15:H15"/>
    <mergeCell ref="K15:Q15"/>
    <mergeCell ref="T15:Z15"/>
    <mergeCell ref="B16:H16"/>
    <mergeCell ref="K16:Q16"/>
    <mergeCell ref="T16:Z16"/>
    <mergeCell ref="B13:H13"/>
    <mergeCell ref="K13:Q13"/>
    <mergeCell ref="T13:Z13"/>
    <mergeCell ref="B14:H14"/>
    <mergeCell ref="K14:Q14"/>
    <mergeCell ref="T14:Z14"/>
    <mergeCell ref="B19:H19"/>
    <mergeCell ref="K19:Q19"/>
    <mergeCell ref="T19:Z19"/>
    <mergeCell ref="B20:H20"/>
    <mergeCell ref="K20:Q20"/>
    <mergeCell ref="T20:Z20"/>
    <mergeCell ref="B17:H17"/>
    <mergeCell ref="K17:Q17"/>
    <mergeCell ref="T17:Z17"/>
    <mergeCell ref="B18:H18"/>
    <mergeCell ref="K18:Q18"/>
    <mergeCell ref="T18:Z18"/>
    <mergeCell ref="B24:H24"/>
    <mergeCell ref="K24:Q24"/>
    <mergeCell ref="T24:Z24"/>
    <mergeCell ref="B25:H25"/>
    <mergeCell ref="K25:Q25"/>
    <mergeCell ref="T25:Z25"/>
    <mergeCell ref="B21:H21"/>
    <mergeCell ref="K21:Q21"/>
    <mergeCell ref="T21:Z21"/>
    <mergeCell ref="B22:H22"/>
    <mergeCell ref="K22:R23"/>
    <mergeCell ref="T22:AA23"/>
    <mergeCell ref="B23:H23"/>
    <mergeCell ref="B28:H28"/>
    <mergeCell ref="K28:Q28"/>
    <mergeCell ref="T28:Z28"/>
    <mergeCell ref="B29:H29"/>
    <mergeCell ref="K29:Q29"/>
    <mergeCell ref="T29:Z29"/>
    <mergeCell ref="B26:H26"/>
    <mergeCell ref="K26:Q26"/>
    <mergeCell ref="T26:Z26"/>
    <mergeCell ref="B27:H27"/>
    <mergeCell ref="K27:Q27"/>
    <mergeCell ref="T27:Z27"/>
    <mergeCell ref="B32:H32"/>
    <mergeCell ref="K32:Q32"/>
    <mergeCell ref="T32:Z32"/>
    <mergeCell ref="B33:H33"/>
    <mergeCell ref="K33:Q33"/>
    <mergeCell ref="T33:Z33"/>
    <mergeCell ref="B30:H30"/>
    <mergeCell ref="K30:Q30"/>
    <mergeCell ref="T30:Z30"/>
    <mergeCell ref="B31:H31"/>
    <mergeCell ref="K31:Q31"/>
    <mergeCell ref="T31:Z31"/>
    <mergeCell ref="K37:Q37"/>
    <mergeCell ref="T37:Z37"/>
    <mergeCell ref="K38:Q38"/>
    <mergeCell ref="T38:Z38"/>
    <mergeCell ref="K39:Q39"/>
    <mergeCell ref="T39:Z39"/>
    <mergeCell ref="B34:H34"/>
    <mergeCell ref="K34:Q34"/>
    <mergeCell ref="T34:Z34"/>
    <mergeCell ref="B35:I36"/>
    <mergeCell ref="K35:Q35"/>
    <mergeCell ref="T35:Z35"/>
    <mergeCell ref="K36:Q36"/>
    <mergeCell ref="T36:Z36"/>
    <mergeCell ref="B49:F49"/>
    <mergeCell ref="M49:Q49"/>
    <mergeCell ref="B50:E50"/>
    <mergeCell ref="M50:P50"/>
    <mergeCell ref="B52:E52"/>
    <mergeCell ref="M52:P52"/>
    <mergeCell ref="K40:Q40"/>
    <mergeCell ref="T40:Z40"/>
    <mergeCell ref="B45:I47"/>
    <mergeCell ref="M45:T47"/>
    <mergeCell ref="B48:I48"/>
    <mergeCell ref="M48:T48"/>
    <mergeCell ref="B56:F56"/>
    <mergeCell ref="M56:Q56"/>
    <mergeCell ref="B57:F57"/>
    <mergeCell ref="M57:Q57"/>
    <mergeCell ref="B58:F58"/>
    <mergeCell ref="M58:Q58"/>
    <mergeCell ref="B53:E53"/>
    <mergeCell ref="M53:P53"/>
    <mergeCell ref="B54:E54"/>
    <mergeCell ref="M54:P54"/>
    <mergeCell ref="B55:F55"/>
    <mergeCell ref="M55:Q55"/>
    <mergeCell ref="B62:F62"/>
    <mergeCell ref="M62:Q62"/>
    <mergeCell ref="B63:F63"/>
    <mergeCell ref="M63:Q63"/>
    <mergeCell ref="B64:F64"/>
    <mergeCell ref="M64:Q64"/>
    <mergeCell ref="B59:F59"/>
    <mergeCell ref="M59:Q59"/>
    <mergeCell ref="B60:F60"/>
    <mergeCell ref="M60:Q60"/>
    <mergeCell ref="B61:F61"/>
    <mergeCell ref="M61:Q61"/>
    <mergeCell ref="B68:F68"/>
    <mergeCell ref="J68:L69"/>
    <mergeCell ref="M68:Q68"/>
    <mergeCell ref="U68:W69"/>
    <mergeCell ref="B69:F69"/>
    <mergeCell ref="M69:Q69"/>
    <mergeCell ref="B65:F65"/>
    <mergeCell ref="M65:Q65"/>
    <mergeCell ref="B66:F66"/>
    <mergeCell ref="J66:L67"/>
    <mergeCell ref="M66:Q66"/>
    <mergeCell ref="U66:W67"/>
    <mergeCell ref="B67:F67"/>
    <mergeCell ref="M67:Q67"/>
    <mergeCell ref="B73:F73"/>
    <mergeCell ref="M73:Q73"/>
    <mergeCell ref="B74:F74"/>
    <mergeCell ref="M74:Q74"/>
    <mergeCell ref="B75:F75"/>
    <mergeCell ref="M75:Q75"/>
    <mergeCell ref="B70:I70"/>
    <mergeCell ref="M70:T70"/>
    <mergeCell ref="B71:F71"/>
    <mergeCell ref="M71:Q71"/>
    <mergeCell ref="B72:F72"/>
    <mergeCell ref="M72:Q72"/>
    <mergeCell ref="U82:W83"/>
    <mergeCell ref="B84:I84"/>
    <mergeCell ref="M84:T84"/>
    <mergeCell ref="B76:F76"/>
    <mergeCell ref="M76:Q76"/>
    <mergeCell ref="B80:F80"/>
    <mergeCell ref="J80:L81"/>
    <mergeCell ref="M80:Q80"/>
    <mergeCell ref="U80:W81"/>
    <mergeCell ref="B81:F81"/>
    <mergeCell ref="M81:Q81"/>
    <mergeCell ref="B85:F85"/>
    <mergeCell ref="M85:Q85"/>
    <mergeCell ref="B86:F86"/>
    <mergeCell ref="M86:Q86"/>
    <mergeCell ref="B87:F87"/>
    <mergeCell ref="M87:Q87"/>
    <mergeCell ref="B82:F82"/>
    <mergeCell ref="J82:L83"/>
    <mergeCell ref="M82:Q82"/>
    <mergeCell ref="B91:F91"/>
    <mergeCell ref="M91:Q91"/>
    <mergeCell ref="B92:F92"/>
    <mergeCell ref="M92:Q92"/>
    <mergeCell ref="B93:F93"/>
    <mergeCell ref="M93:Q93"/>
    <mergeCell ref="B88:F88"/>
    <mergeCell ref="M88:Q88"/>
    <mergeCell ref="B89:F89"/>
    <mergeCell ref="M89:Q89"/>
    <mergeCell ref="B90:F90"/>
    <mergeCell ref="M90:Q90"/>
    <mergeCell ref="B98:I98"/>
    <mergeCell ref="M98:T98"/>
    <mergeCell ref="B99:F99"/>
    <mergeCell ref="M99:Q99"/>
    <mergeCell ref="B100:F100"/>
    <mergeCell ref="M100:Q100"/>
    <mergeCell ref="J94:L95"/>
    <mergeCell ref="U94:W95"/>
    <mergeCell ref="B96:F96"/>
    <mergeCell ref="J96:L97"/>
    <mergeCell ref="M96:Q96"/>
    <mergeCell ref="U96:W97"/>
    <mergeCell ref="B97:F97"/>
    <mergeCell ref="M97:Q97"/>
    <mergeCell ref="B105:F105"/>
    <mergeCell ref="M105:Q105"/>
    <mergeCell ref="B106:F106"/>
    <mergeCell ref="M106:Q106"/>
    <mergeCell ref="B108:F108"/>
    <mergeCell ref="J108:L109"/>
    <mergeCell ref="M108:Q108"/>
    <mergeCell ref="B101:F101"/>
    <mergeCell ref="M101:Q101"/>
    <mergeCell ref="B102:F102"/>
    <mergeCell ref="M102:Q102"/>
    <mergeCell ref="B103:F103"/>
    <mergeCell ref="M103:Q103"/>
    <mergeCell ref="B112:I112"/>
    <mergeCell ref="M112:T112"/>
    <mergeCell ref="B113:F113"/>
    <mergeCell ref="M113:Q113"/>
    <mergeCell ref="B114:F114"/>
    <mergeCell ref="M114:Q114"/>
    <mergeCell ref="U108:W109"/>
    <mergeCell ref="B109:F109"/>
    <mergeCell ref="M109:Q109"/>
    <mergeCell ref="B110:F110"/>
    <mergeCell ref="J110:L111"/>
    <mergeCell ref="M110:Q110"/>
    <mergeCell ref="U110:W111"/>
    <mergeCell ref="B111:F111"/>
    <mergeCell ref="M111:Q111"/>
    <mergeCell ref="B118:F118"/>
    <mergeCell ref="M118:Q118"/>
    <mergeCell ref="B125:F125"/>
    <mergeCell ref="M125:Q125"/>
    <mergeCell ref="B126:F126"/>
    <mergeCell ref="M126:Q126"/>
    <mergeCell ref="B115:F115"/>
    <mergeCell ref="M115:Q115"/>
    <mergeCell ref="B116:F116"/>
    <mergeCell ref="M116:Q116"/>
    <mergeCell ref="B117:F117"/>
    <mergeCell ref="M117:Q117"/>
    <mergeCell ref="U129:W130"/>
    <mergeCell ref="B130:F130"/>
    <mergeCell ref="M130:Q130"/>
    <mergeCell ref="B127:F127"/>
    <mergeCell ref="J127:L128"/>
    <mergeCell ref="M127:Q127"/>
    <mergeCell ref="U127:W128"/>
    <mergeCell ref="B128:F128"/>
    <mergeCell ref="M128:Q128"/>
    <mergeCell ref="B131:I131"/>
    <mergeCell ref="M131:T131"/>
    <mergeCell ref="B132:F132"/>
    <mergeCell ref="M132:Q132"/>
    <mergeCell ref="B133:F133"/>
    <mergeCell ref="M133:Q133"/>
    <mergeCell ref="B129:F129"/>
    <mergeCell ref="J129:L130"/>
    <mergeCell ref="M129:Q129"/>
    <mergeCell ref="B137:F137"/>
    <mergeCell ref="M137:Q137"/>
    <mergeCell ref="B138:F138"/>
    <mergeCell ref="M138:Q138"/>
    <mergeCell ref="B139:F139"/>
    <mergeCell ref="M139:Q139"/>
    <mergeCell ref="B134:F134"/>
    <mergeCell ref="M134:Q134"/>
    <mergeCell ref="B135:F135"/>
    <mergeCell ref="M135:Q135"/>
    <mergeCell ref="B136:F136"/>
    <mergeCell ref="M136:Q136"/>
    <mergeCell ref="U143:W144"/>
    <mergeCell ref="B144:F144"/>
    <mergeCell ref="M144:Q144"/>
    <mergeCell ref="B140:F140"/>
    <mergeCell ref="M140:Q140"/>
    <mergeCell ref="B141:F141"/>
    <mergeCell ref="J141:L142"/>
    <mergeCell ref="M141:Q141"/>
    <mergeCell ref="U141:W142"/>
    <mergeCell ref="B142:F142"/>
    <mergeCell ref="M142:Q142"/>
    <mergeCell ref="B145:I145"/>
    <mergeCell ref="M145:T145"/>
    <mergeCell ref="B146:F146"/>
    <mergeCell ref="M146:Q146"/>
    <mergeCell ref="B147:F147"/>
    <mergeCell ref="J147:L148"/>
    <mergeCell ref="M147:Q147"/>
    <mergeCell ref="B143:F143"/>
    <mergeCell ref="J143:L144"/>
    <mergeCell ref="M143:Q143"/>
    <mergeCell ref="B151:I153"/>
    <mergeCell ref="J151:L153"/>
    <mergeCell ref="M151:T153"/>
    <mergeCell ref="U151:W153"/>
    <mergeCell ref="B154:I156"/>
    <mergeCell ref="M154:T156"/>
    <mergeCell ref="U147:W148"/>
    <mergeCell ref="B148:F148"/>
    <mergeCell ref="M148:Q148"/>
    <mergeCell ref="B149:F149"/>
    <mergeCell ref="J149:L150"/>
    <mergeCell ref="M149:Q149"/>
    <mergeCell ref="U149:W150"/>
    <mergeCell ref="B150:F150"/>
    <mergeCell ref="M150:Q150"/>
    <mergeCell ref="B161:E161"/>
    <mergeCell ref="M161:P161"/>
    <mergeCell ref="B162:E162"/>
    <mergeCell ref="M162:P162"/>
    <mergeCell ref="B163:E163"/>
    <mergeCell ref="M163:P163"/>
    <mergeCell ref="B157:I157"/>
    <mergeCell ref="M157:T157"/>
    <mergeCell ref="B158:F158"/>
    <mergeCell ref="M158:Q158"/>
    <mergeCell ref="B159:E159"/>
    <mergeCell ref="M159:P159"/>
    <mergeCell ref="B167:F167"/>
    <mergeCell ref="M167:Q167"/>
    <mergeCell ref="B168:F168"/>
    <mergeCell ref="M168:Q168"/>
    <mergeCell ref="B169:F169"/>
    <mergeCell ref="M169:Q169"/>
    <mergeCell ref="B164:F164"/>
    <mergeCell ref="M164:Q164"/>
    <mergeCell ref="B165:F165"/>
    <mergeCell ref="M165:Q165"/>
    <mergeCell ref="B166:F166"/>
    <mergeCell ref="M166:Q166"/>
    <mergeCell ref="B173:F173"/>
    <mergeCell ref="M173:Q173"/>
    <mergeCell ref="B174:F174"/>
    <mergeCell ref="M174:Q174"/>
    <mergeCell ref="B175:F175"/>
    <mergeCell ref="J175:L176"/>
    <mergeCell ref="M175:Q175"/>
    <mergeCell ref="B170:F170"/>
    <mergeCell ref="M170:Q170"/>
    <mergeCell ref="B171:F171"/>
    <mergeCell ref="M171:Q171"/>
    <mergeCell ref="B172:F172"/>
    <mergeCell ref="M172:Q172"/>
    <mergeCell ref="U175:W176"/>
    <mergeCell ref="B176:F176"/>
    <mergeCell ref="M176:Q176"/>
    <mergeCell ref="B177:F177"/>
    <mergeCell ref="J177:L178"/>
    <mergeCell ref="M177:Q177"/>
    <mergeCell ref="U177:W178"/>
    <mergeCell ref="B178:F178"/>
    <mergeCell ref="M178:Q178"/>
    <mergeCell ref="B182:F182"/>
    <mergeCell ref="M182:Q182"/>
    <mergeCell ref="B183:F183"/>
    <mergeCell ref="M183:Q183"/>
    <mergeCell ref="B184:F184"/>
    <mergeCell ref="M184:Q184"/>
    <mergeCell ref="B179:I179"/>
    <mergeCell ref="M179:T179"/>
    <mergeCell ref="B180:F180"/>
    <mergeCell ref="M180:Q180"/>
    <mergeCell ref="B181:F181"/>
    <mergeCell ref="M181:Q181"/>
    <mergeCell ref="U191:W192"/>
    <mergeCell ref="B193:I193"/>
    <mergeCell ref="M193:T193"/>
    <mergeCell ref="B185:F185"/>
    <mergeCell ref="M185:Q185"/>
    <mergeCell ref="B189:F189"/>
    <mergeCell ref="J189:L190"/>
    <mergeCell ref="M189:Q189"/>
    <mergeCell ref="U189:W190"/>
    <mergeCell ref="B190:F190"/>
    <mergeCell ref="M190:Q190"/>
    <mergeCell ref="B194:F194"/>
    <mergeCell ref="M194:Q194"/>
    <mergeCell ref="B195:F195"/>
    <mergeCell ref="M195:Q195"/>
    <mergeCell ref="B196:F196"/>
    <mergeCell ref="M196:Q196"/>
    <mergeCell ref="B191:F191"/>
    <mergeCell ref="J191:L192"/>
    <mergeCell ref="M191:Q191"/>
    <mergeCell ref="B200:F200"/>
    <mergeCell ref="M200:Q200"/>
    <mergeCell ref="B201:F201"/>
    <mergeCell ref="M201:Q201"/>
    <mergeCell ref="B202:F202"/>
    <mergeCell ref="M202:Q202"/>
    <mergeCell ref="B197:F197"/>
    <mergeCell ref="M197:Q197"/>
    <mergeCell ref="B198:F198"/>
    <mergeCell ref="M198:Q198"/>
    <mergeCell ref="B199:F199"/>
    <mergeCell ref="M199:Q199"/>
    <mergeCell ref="B207:I207"/>
    <mergeCell ref="M207:T207"/>
    <mergeCell ref="B208:F208"/>
    <mergeCell ref="M208:Q208"/>
    <mergeCell ref="B209:F209"/>
    <mergeCell ref="M209:Q209"/>
    <mergeCell ref="J203:L204"/>
    <mergeCell ref="U203:W204"/>
    <mergeCell ref="B205:F205"/>
    <mergeCell ref="J205:L206"/>
    <mergeCell ref="M205:Q205"/>
    <mergeCell ref="U205:W206"/>
    <mergeCell ref="B206:F206"/>
    <mergeCell ref="M206:Q206"/>
    <mergeCell ref="B214:F214"/>
    <mergeCell ref="M214:Q214"/>
    <mergeCell ref="B215:F215"/>
    <mergeCell ref="M215:Q215"/>
    <mergeCell ref="B217:F217"/>
    <mergeCell ref="J217:L218"/>
    <mergeCell ref="M217:Q217"/>
    <mergeCell ref="B210:F210"/>
    <mergeCell ref="M210:Q210"/>
    <mergeCell ref="B211:F211"/>
    <mergeCell ref="M211:Q211"/>
    <mergeCell ref="B212:F212"/>
    <mergeCell ref="M212:Q212"/>
    <mergeCell ref="B221:I221"/>
    <mergeCell ref="M221:T221"/>
    <mergeCell ref="B222:F222"/>
    <mergeCell ref="M222:Q222"/>
    <mergeCell ref="B223:F223"/>
    <mergeCell ref="M223:Q223"/>
    <mergeCell ref="U217:W218"/>
    <mergeCell ref="B218:F218"/>
    <mergeCell ref="M218:Q218"/>
    <mergeCell ref="B219:F219"/>
    <mergeCell ref="J219:L220"/>
    <mergeCell ref="M219:Q219"/>
    <mergeCell ref="U219:W220"/>
    <mergeCell ref="B220:F220"/>
    <mergeCell ref="M220:Q220"/>
    <mergeCell ref="B227:F227"/>
    <mergeCell ref="M227:Q227"/>
    <mergeCell ref="B234:F234"/>
    <mergeCell ref="M234:Q234"/>
    <mergeCell ref="B235:F235"/>
    <mergeCell ref="M235:Q235"/>
    <mergeCell ref="B224:F224"/>
    <mergeCell ref="M224:Q224"/>
    <mergeCell ref="B225:F225"/>
    <mergeCell ref="M225:Q225"/>
    <mergeCell ref="B226:F226"/>
    <mergeCell ref="M226:Q226"/>
    <mergeCell ref="U238:W239"/>
    <mergeCell ref="B239:F239"/>
    <mergeCell ref="M239:Q239"/>
    <mergeCell ref="B236:F236"/>
    <mergeCell ref="J236:L237"/>
    <mergeCell ref="M236:Q236"/>
    <mergeCell ref="U236:W237"/>
    <mergeCell ref="B237:F237"/>
    <mergeCell ref="M237:Q237"/>
    <mergeCell ref="B240:I240"/>
    <mergeCell ref="M240:T240"/>
    <mergeCell ref="B241:F241"/>
    <mergeCell ref="M241:Q241"/>
    <mergeCell ref="B242:F242"/>
    <mergeCell ref="M242:Q242"/>
    <mergeCell ref="B238:F238"/>
    <mergeCell ref="J238:L239"/>
    <mergeCell ref="M238:Q238"/>
    <mergeCell ref="B246:F246"/>
    <mergeCell ref="M246:Q246"/>
    <mergeCell ref="B247:F247"/>
    <mergeCell ref="M247:Q247"/>
    <mergeCell ref="B248:F248"/>
    <mergeCell ref="M248:Q248"/>
    <mergeCell ref="B243:F243"/>
    <mergeCell ref="M243:Q243"/>
    <mergeCell ref="B244:F244"/>
    <mergeCell ref="M244:Q244"/>
    <mergeCell ref="B245:F245"/>
    <mergeCell ref="M245:Q245"/>
    <mergeCell ref="U252:W253"/>
    <mergeCell ref="B253:F253"/>
    <mergeCell ref="M253:Q253"/>
    <mergeCell ref="B249:F249"/>
    <mergeCell ref="M249:Q249"/>
    <mergeCell ref="B250:F250"/>
    <mergeCell ref="J250:L251"/>
    <mergeCell ref="M250:Q250"/>
    <mergeCell ref="U250:W251"/>
    <mergeCell ref="B251:F251"/>
    <mergeCell ref="M251:Q251"/>
    <mergeCell ref="B254:I254"/>
    <mergeCell ref="M254:T254"/>
    <mergeCell ref="B255:F255"/>
    <mergeCell ref="M255:Q255"/>
    <mergeCell ref="B256:F256"/>
    <mergeCell ref="J256:L257"/>
    <mergeCell ref="M256:Q256"/>
    <mergeCell ref="B252:F252"/>
    <mergeCell ref="J252:L253"/>
    <mergeCell ref="M252:Q252"/>
    <mergeCell ref="B260:I262"/>
    <mergeCell ref="J260:L262"/>
    <mergeCell ref="M260:T262"/>
    <mergeCell ref="U260:W262"/>
    <mergeCell ref="U256:W257"/>
    <mergeCell ref="B257:F257"/>
    <mergeCell ref="M257:Q257"/>
    <mergeCell ref="B258:F258"/>
    <mergeCell ref="J258:L259"/>
    <mergeCell ref="M258:Q258"/>
    <mergeCell ref="U258:W259"/>
    <mergeCell ref="B259:F259"/>
    <mergeCell ref="M259:Q259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CDFA-4203-4717-8866-13362AF12F0C}">
  <sheetPr codeName="Hoja8"/>
  <dimension ref="A1:K34"/>
  <sheetViews>
    <sheetView workbookViewId="0">
      <selection activeCell="B15" sqref="B15:C16"/>
    </sheetView>
  </sheetViews>
  <sheetFormatPr baseColWidth="10" defaultColWidth="11.44140625" defaultRowHeight="14.4"/>
  <cols>
    <col min="1" max="1" width="5.44140625" style="13" customWidth="1"/>
    <col min="2" max="16384" width="11.44140625" style="13"/>
  </cols>
  <sheetData>
    <row r="1" spans="1:11">
      <c r="A1" s="585"/>
      <c r="B1" s="587"/>
      <c r="C1" s="588"/>
      <c r="D1" s="588" t="s">
        <v>44</v>
      </c>
      <c r="E1" s="588"/>
      <c r="F1" s="588"/>
      <c r="G1" s="588"/>
      <c r="H1" s="588"/>
      <c r="I1" s="588"/>
      <c r="J1" s="588"/>
      <c r="K1" s="591"/>
    </row>
    <row r="2" spans="1:11">
      <c r="A2" s="585"/>
      <c r="B2" s="589"/>
      <c r="C2" s="590"/>
      <c r="D2" s="590"/>
      <c r="E2" s="590"/>
      <c r="F2" s="590"/>
      <c r="G2" s="590"/>
      <c r="H2" s="590"/>
      <c r="I2" s="590"/>
      <c r="J2" s="590"/>
      <c r="K2" s="592"/>
    </row>
    <row r="3" spans="1:11">
      <c r="B3" s="589" t="s">
        <v>43</v>
      </c>
      <c r="C3" s="592"/>
      <c r="D3" s="593" t="s">
        <v>45</v>
      </c>
      <c r="E3" s="593"/>
      <c r="F3" s="593" t="s">
        <v>48</v>
      </c>
      <c r="G3" s="593"/>
      <c r="H3" s="593" t="s">
        <v>47</v>
      </c>
      <c r="I3" s="593"/>
      <c r="J3" s="593" t="s">
        <v>46</v>
      </c>
      <c r="K3" s="593"/>
    </row>
    <row r="4" spans="1:11">
      <c r="B4" s="594"/>
      <c r="C4" s="595"/>
      <c r="D4" s="593"/>
      <c r="E4" s="593"/>
      <c r="F4" s="593"/>
      <c r="G4" s="593"/>
      <c r="H4" s="593"/>
      <c r="I4" s="593"/>
      <c r="J4" s="593"/>
      <c r="K4" s="593"/>
    </row>
    <row r="5" spans="1:11">
      <c r="B5" s="586" t="s">
        <v>51</v>
      </c>
      <c r="C5" s="586"/>
      <c r="D5" s="596">
        <v>503400</v>
      </c>
      <c r="E5" s="597"/>
      <c r="F5" s="596">
        <v>507186</v>
      </c>
      <c r="G5" s="597"/>
      <c r="H5" s="596">
        <v>350000</v>
      </c>
      <c r="I5" s="597"/>
      <c r="J5" s="596"/>
      <c r="K5" s="597"/>
    </row>
    <row r="6" spans="1:11">
      <c r="B6" s="586"/>
      <c r="C6" s="586"/>
      <c r="D6" s="598" t="s">
        <v>69</v>
      </c>
      <c r="E6" s="599"/>
      <c r="F6" s="598"/>
      <c r="G6" s="599"/>
      <c r="H6" s="600">
        <v>38234</v>
      </c>
      <c r="I6" s="599"/>
      <c r="J6" s="598"/>
      <c r="K6" s="599"/>
    </row>
    <row r="7" spans="1:11" ht="15" customHeight="1">
      <c r="B7" s="586" t="s">
        <v>52</v>
      </c>
      <c r="C7" s="586"/>
      <c r="D7" s="601">
        <v>592500</v>
      </c>
      <c r="E7" s="602"/>
      <c r="F7" s="601">
        <v>435000</v>
      </c>
      <c r="G7" s="602"/>
      <c r="H7" s="601">
        <v>360000</v>
      </c>
      <c r="I7" s="602"/>
      <c r="J7" s="601"/>
      <c r="K7" s="602"/>
    </row>
    <row r="8" spans="1:11">
      <c r="B8" s="586"/>
      <c r="C8" s="586"/>
      <c r="D8" s="598" t="s">
        <v>69</v>
      </c>
      <c r="E8" s="599"/>
      <c r="F8" s="598"/>
      <c r="G8" s="599"/>
      <c r="H8" s="600">
        <v>38234</v>
      </c>
      <c r="I8" s="599"/>
      <c r="J8" s="598"/>
      <c r="K8" s="599"/>
    </row>
    <row r="9" spans="1:11" ht="15" customHeight="1">
      <c r="B9" s="586" t="s">
        <v>50</v>
      </c>
      <c r="C9" s="586"/>
      <c r="D9" s="601">
        <v>690200</v>
      </c>
      <c r="E9" s="602"/>
      <c r="F9" s="601">
        <v>480000</v>
      </c>
      <c r="G9" s="602"/>
      <c r="H9" s="601">
        <v>440000</v>
      </c>
      <c r="I9" s="602"/>
      <c r="J9" s="601"/>
      <c r="K9" s="602"/>
    </row>
    <row r="10" spans="1:11">
      <c r="B10" s="586"/>
      <c r="C10" s="586"/>
      <c r="D10" s="598" t="s">
        <v>69</v>
      </c>
      <c r="E10" s="599"/>
      <c r="F10" s="598"/>
      <c r="G10" s="599"/>
      <c r="H10" s="600">
        <v>38234</v>
      </c>
      <c r="I10" s="599"/>
      <c r="J10" s="598"/>
      <c r="K10" s="599"/>
    </row>
    <row r="11" spans="1:11">
      <c r="B11" s="586" t="s">
        <v>49</v>
      </c>
      <c r="C11" s="586"/>
      <c r="D11" s="601">
        <v>604591</v>
      </c>
      <c r="E11" s="602"/>
      <c r="F11" s="601">
        <v>661550</v>
      </c>
      <c r="G11" s="602"/>
      <c r="H11" s="601">
        <v>620000</v>
      </c>
      <c r="I11" s="602"/>
      <c r="J11" s="601"/>
      <c r="K11" s="602"/>
    </row>
    <row r="12" spans="1:11">
      <c r="B12" s="586"/>
      <c r="C12" s="586"/>
      <c r="D12" s="598" t="s">
        <v>69</v>
      </c>
      <c r="E12" s="599"/>
      <c r="F12" s="598"/>
      <c r="G12" s="599"/>
      <c r="H12" s="598" t="s">
        <v>59</v>
      </c>
      <c r="I12" s="599"/>
      <c r="J12" s="598"/>
      <c r="K12" s="599"/>
    </row>
    <row r="13" spans="1:11">
      <c r="B13" s="586" t="s">
        <v>55</v>
      </c>
      <c r="C13" s="586"/>
      <c r="D13" s="601">
        <v>1247068</v>
      </c>
      <c r="E13" s="602"/>
      <c r="F13" s="601">
        <v>996546</v>
      </c>
      <c r="G13" s="602"/>
      <c r="H13" s="601">
        <v>700000</v>
      </c>
      <c r="I13" s="602"/>
      <c r="J13" s="601"/>
      <c r="K13" s="602"/>
    </row>
    <row r="14" spans="1:11">
      <c r="B14" s="586"/>
      <c r="C14" s="586"/>
      <c r="D14" s="598" t="s">
        <v>69</v>
      </c>
      <c r="E14" s="599"/>
      <c r="F14" s="598"/>
      <c r="G14" s="599"/>
      <c r="H14" s="598" t="s">
        <v>60</v>
      </c>
      <c r="I14" s="599"/>
      <c r="J14" s="598"/>
      <c r="K14" s="599"/>
    </row>
    <row r="15" spans="1:11">
      <c r="B15" s="586" t="s">
        <v>54</v>
      </c>
      <c r="C15" s="586"/>
      <c r="D15" s="601">
        <v>1576432</v>
      </c>
      <c r="E15" s="602"/>
      <c r="F15" s="601">
        <v>1404797</v>
      </c>
      <c r="G15" s="602"/>
      <c r="H15" s="601">
        <v>1100000</v>
      </c>
      <c r="I15" s="602"/>
      <c r="J15" s="601"/>
      <c r="K15" s="602"/>
    </row>
    <row r="16" spans="1:11">
      <c r="B16" s="586"/>
      <c r="C16" s="586"/>
      <c r="D16" s="603" t="s">
        <v>69</v>
      </c>
      <c r="E16" s="604"/>
      <c r="F16" s="598"/>
      <c r="G16" s="599"/>
      <c r="H16" s="598" t="s">
        <v>61</v>
      </c>
      <c r="I16" s="599"/>
      <c r="J16" s="598"/>
      <c r="K16" s="599"/>
    </row>
    <row r="17" spans="2:11">
      <c r="B17" s="586" t="s">
        <v>53</v>
      </c>
      <c r="C17" s="586"/>
      <c r="D17" s="601">
        <v>373000</v>
      </c>
      <c r="E17" s="602"/>
      <c r="F17" s="601">
        <v>416226</v>
      </c>
      <c r="G17" s="602"/>
      <c r="H17" s="601">
        <v>360000</v>
      </c>
      <c r="I17" s="602"/>
      <c r="J17" s="601"/>
      <c r="K17" s="602"/>
    </row>
    <row r="18" spans="2:11">
      <c r="B18" s="586"/>
      <c r="C18" s="586"/>
      <c r="D18" s="598" t="s">
        <v>69</v>
      </c>
      <c r="E18" s="599"/>
      <c r="F18" s="598"/>
      <c r="G18" s="599"/>
      <c r="H18" s="600">
        <v>38234</v>
      </c>
      <c r="I18" s="599"/>
      <c r="J18" s="598"/>
      <c r="K18" s="599"/>
    </row>
    <row r="19" spans="2:11">
      <c r="B19" s="586" t="s">
        <v>56</v>
      </c>
      <c r="C19" s="586"/>
      <c r="D19" s="601">
        <v>396007</v>
      </c>
      <c r="E19" s="602"/>
      <c r="F19" s="601">
        <v>348902</v>
      </c>
      <c r="G19" s="602"/>
      <c r="H19" s="601">
        <v>310000</v>
      </c>
      <c r="I19" s="602"/>
      <c r="J19" s="601"/>
      <c r="K19" s="602"/>
    </row>
    <row r="20" spans="2:11">
      <c r="B20" s="586"/>
      <c r="C20" s="586"/>
      <c r="D20" s="598">
        <v>4</v>
      </c>
      <c r="E20" s="599"/>
      <c r="F20" s="598"/>
      <c r="G20" s="599"/>
      <c r="H20" s="598"/>
      <c r="I20" s="599"/>
      <c r="J20" s="598"/>
      <c r="K20" s="599"/>
    </row>
    <row r="21" spans="2:11">
      <c r="B21" s="586" t="s">
        <v>57</v>
      </c>
      <c r="C21" s="586"/>
      <c r="D21" s="601">
        <v>423785</v>
      </c>
      <c r="E21" s="602"/>
      <c r="F21" s="601">
        <v>365582</v>
      </c>
      <c r="G21" s="602"/>
      <c r="H21" s="601">
        <v>330000</v>
      </c>
      <c r="I21" s="602"/>
      <c r="J21" s="601"/>
      <c r="K21" s="602"/>
    </row>
    <row r="22" spans="2:11">
      <c r="B22" s="586"/>
      <c r="C22" s="586"/>
      <c r="D22" s="598">
        <v>4</v>
      </c>
      <c r="E22" s="599"/>
      <c r="F22" s="598"/>
      <c r="G22" s="599"/>
      <c r="H22" s="598"/>
      <c r="I22" s="599"/>
      <c r="J22" s="598"/>
      <c r="K22" s="599"/>
    </row>
    <row r="23" spans="2:11" ht="15" customHeight="1">
      <c r="B23" s="586" t="s">
        <v>77</v>
      </c>
      <c r="C23" s="586"/>
      <c r="D23" s="601">
        <v>256428</v>
      </c>
      <c r="E23" s="602"/>
      <c r="F23" s="601">
        <v>171505</v>
      </c>
      <c r="G23" s="602"/>
      <c r="H23" s="601">
        <v>250000</v>
      </c>
      <c r="I23" s="602"/>
      <c r="J23" s="601"/>
      <c r="K23" s="602"/>
    </row>
    <row r="24" spans="2:11">
      <c r="B24" s="586"/>
      <c r="C24" s="586"/>
      <c r="D24" s="598">
        <v>4</v>
      </c>
      <c r="E24" s="599"/>
      <c r="F24" s="598"/>
      <c r="G24" s="599"/>
      <c r="H24" s="598"/>
      <c r="I24" s="599"/>
      <c r="J24" s="598"/>
      <c r="K24" s="599"/>
    </row>
    <row r="25" spans="2:11">
      <c r="B25" s="586" t="s">
        <v>58</v>
      </c>
      <c r="C25" s="586"/>
      <c r="D25" s="601">
        <v>161701</v>
      </c>
      <c r="E25" s="602"/>
      <c r="F25" s="601">
        <v>200000</v>
      </c>
      <c r="G25" s="602"/>
      <c r="H25" s="601">
        <v>130000</v>
      </c>
      <c r="I25" s="602"/>
      <c r="J25" s="601"/>
      <c r="K25" s="602"/>
    </row>
    <row r="26" spans="2:11">
      <c r="B26" s="586"/>
      <c r="C26" s="586"/>
      <c r="D26" s="598">
        <v>4</v>
      </c>
      <c r="E26" s="599"/>
      <c r="F26" s="598"/>
      <c r="G26" s="599"/>
      <c r="H26" s="598"/>
      <c r="I26" s="599"/>
      <c r="J26" s="598"/>
      <c r="K26" s="599"/>
    </row>
    <row r="27" spans="2:11">
      <c r="B27" s="586" t="s">
        <v>192</v>
      </c>
      <c r="C27" s="586"/>
      <c r="D27" s="601">
        <v>239000</v>
      </c>
      <c r="E27" s="602"/>
      <c r="F27" s="601"/>
      <c r="G27" s="602"/>
      <c r="H27" s="601"/>
      <c r="I27" s="602"/>
      <c r="J27" s="601"/>
      <c r="K27" s="602"/>
    </row>
    <row r="28" spans="2:11">
      <c r="B28" s="586"/>
      <c r="C28" s="586"/>
      <c r="D28" s="598"/>
      <c r="E28" s="599"/>
      <c r="F28" s="598"/>
      <c r="G28" s="599"/>
      <c r="H28" s="598"/>
      <c r="I28" s="599"/>
      <c r="J28" s="598"/>
      <c r="K28" s="599"/>
    </row>
    <row r="29" spans="2:11">
      <c r="B29" s="586"/>
      <c r="C29" s="586"/>
      <c r="D29" s="601"/>
      <c r="E29" s="602"/>
      <c r="F29" s="601"/>
      <c r="G29" s="602"/>
      <c r="H29" s="601"/>
      <c r="I29" s="602"/>
      <c r="J29" s="601"/>
      <c r="K29" s="602"/>
    </row>
    <row r="30" spans="2:11">
      <c r="B30" s="586"/>
      <c r="C30" s="586"/>
      <c r="D30" s="598"/>
      <c r="E30" s="599"/>
      <c r="F30" s="598"/>
      <c r="G30" s="599"/>
      <c r="H30" s="598"/>
      <c r="I30" s="599"/>
      <c r="J30" s="598"/>
      <c r="K30" s="599"/>
    </row>
    <row r="31" spans="2:11">
      <c r="B31" s="586"/>
      <c r="C31" s="586"/>
      <c r="D31" s="605"/>
      <c r="E31" s="606"/>
      <c r="F31" s="605"/>
      <c r="G31" s="606"/>
      <c r="H31" s="605"/>
      <c r="I31" s="606"/>
      <c r="J31" s="605"/>
      <c r="K31" s="606"/>
    </row>
    <row r="32" spans="2:11">
      <c r="B32" s="586"/>
      <c r="C32" s="586"/>
      <c r="D32" s="598"/>
      <c r="E32" s="599"/>
      <c r="F32" s="598"/>
      <c r="G32" s="599"/>
      <c r="H32" s="598"/>
      <c r="I32" s="599"/>
      <c r="J32" s="598"/>
      <c r="K32" s="599"/>
    </row>
    <row r="33" spans="2:11">
      <c r="B33" s="586"/>
      <c r="C33" s="586"/>
      <c r="D33" s="605"/>
      <c r="E33" s="606"/>
      <c r="F33" s="605"/>
      <c r="G33" s="606"/>
      <c r="H33" s="605"/>
      <c r="I33" s="606"/>
      <c r="J33" s="605"/>
      <c r="K33" s="606"/>
    </row>
    <row r="34" spans="2:11">
      <c r="B34" s="586"/>
      <c r="C34" s="586"/>
      <c r="D34" s="598"/>
      <c r="E34" s="599"/>
      <c r="F34" s="598"/>
      <c r="G34" s="599"/>
      <c r="H34" s="598"/>
      <c r="I34" s="599"/>
      <c r="J34" s="598"/>
      <c r="K34" s="599"/>
    </row>
  </sheetData>
  <mergeCells count="143">
    <mergeCell ref="D32:E32"/>
    <mergeCell ref="F32:G32"/>
    <mergeCell ref="H32:I32"/>
    <mergeCell ref="J32:K32"/>
    <mergeCell ref="D33:E33"/>
    <mergeCell ref="F33:G33"/>
    <mergeCell ref="H33:I33"/>
    <mergeCell ref="J33:K33"/>
    <mergeCell ref="D34:E34"/>
    <mergeCell ref="F34:G34"/>
    <mergeCell ref="H34:I34"/>
    <mergeCell ref="J34:K34"/>
    <mergeCell ref="D29:E29"/>
    <mergeCell ref="F29:G29"/>
    <mergeCell ref="H29:I29"/>
    <mergeCell ref="J29:K29"/>
    <mergeCell ref="D30:E30"/>
    <mergeCell ref="F30:G30"/>
    <mergeCell ref="H30:I30"/>
    <mergeCell ref="J30:K30"/>
    <mergeCell ref="D31:E31"/>
    <mergeCell ref="F31:G31"/>
    <mergeCell ref="H31:I31"/>
    <mergeCell ref="J31:K31"/>
    <mergeCell ref="D26:E26"/>
    <mergeCell ref="F26:G26"/>
    <mergeCell ref="H26:I26"/>
    <mergeCell ref="J26:K26"/>
    <mergeCell ref="D27:E27"/>
    <mergeCell ref="F27:G27"/>
    <mergeCell ref="H27:I27"/>
    <mergeCell ref="J27:K27"/>
    <mergeCell ref="D28:E28"/>
    <mergeCell ref="F28:G28"/>
    <mergeCell ref="H28:I28"/>
    <mergeCell ref="J28:K28"/>
    <mergeCell ref="D23:E23"/>
    <mergeCell ref="F23:G23"/>
    <mergeCell ref="H23:I23"/>
    <mergeCell ref="J23:K23"/>
    <mergeCell ref="D24:E24"/>
    <mergeCell ref="F24:G24"/>
    <mergeCell ref="H24:I24"/>
    <mergeCell ref="J24:K24"/>
    <mergeCell ref="D25:E25"/>
    <mergeCell ref="F25:G25"/>
    <mergeCell ref="H25:I25"/>
    <mergeCell ref="J25:K25"/>
    <mergeCell ref="D20:E20"/>
    <mergeCell ref="F20:G20"/>
    <mergeCell ref="H20:I20"/>
    <mergeCell ref="J20:K20"/>
    <mergeCell ref="D21:E21"/>
    <mergeCell ref="F21:G21"/>
    <mergeCell ref="H21:I21"/>
    <mergeCell ref="J21:K21"/>
    <mergeCell ref="D22:E22"/>
    <mergeCell ref="F22:G22"/>
    <mergeCell ref="H22:I22"/>
    <mergeCell ref="J22:K22"/>
    <mergeCell ref="D17:E17"/>
    <mergeCell ref="F17:G17"/>
    <mergeCell ref="H17:I17"/>
    <mergeCell ref="J17:K17"/>
    <mergeCell ref="D18:E18"/>
    <mergeCell ref="F18:G18"/>
    <mergeCell ref="H18:I18"/>
    <mergeCell ref="J18:K18"/>
    <mergeCell ref="D19:E19"/>
    <mergeCell ref="F19:G19"/>
    <mergeCell ref="H19:I19"/>
    <mergeCell ref="J19:K19"/>
    <mergeCell ref="D14:E14"/>
    <mergeCell ref="F14:G14"/>
    <mergeCell ref="H14:I14"/>
    <mergeCell ref="J14:K14"/>
    <mergeCell ref="D15:E15"/>
    <mergeCell ref="F15:G15"/>
    <mergeCell ref="H15:I15"/>
    <mergeCell ref="J15:K15"/>
    <mergeCell ref="D16:E16"/>
    <mergeCell ref="F16:G16"/>
    <mergeCell ref="H16:I16"/>
    <mergeCell ref="J16:K16"/>
    <mergeCell ref="D11:E11"/>
    <mergeCell ref="F11:G11"/>
    <mergeCell ref="H11:I11"/>
    <mergeCell ref="J11:K11"/>
    <mergeCell ref="D12:E12"/>
    <mergeCell ref="F12:G12"/>
    <mergeCell ref="H12:I12"/>
    <mergeCell ref="J12:K12"/>
    <mergeCell ref="D13:E13"/>
    <mergeCell ref="F13:G13"/>
    <mergeCell ref="H13:I13"/>
    <mergeCell ref="J13:K13"/>
    <mergeCell ref="D8:E8"/>
    <mergeCell ref="F8:G8"/>
    <mergeCell ref="H8:I8"/>
    <mergeCell ref="J8:K8"/>
    <mergeCell ref="D9:E9"/>
    <mergeCell ref="F9:G9"/>
    <mergeCell ref="H9:I9"/>
    <mergeCell ref="J9:K9"/>
    <mergeCell ref="D10:E10"/>
    <mergeCell ref="F10:G10"/>
    <mergeCell ref="H10:I10"/>
    <mergeCell ref="J10:K10"/>
    <mergeCell ref="F6:G6"/>
    <mergeCell ref="H6:I6"/>
    <mergeCell ref="J6:K6"/>
    <mergeCell ref="J3:K4"/>
    <mergeCell ref="D5:E5"/>
    <mergeCell ref="F5:G5"/>
    <mergeCell ref="H5:I5"/>
    <mergeCell ref="D7:E7"/>
    <mergeCell ref="F7:G7"/>
    <mergeCell ref="H7:I7"/>
    <mergeCell ref="J7:K7"/>
    <mergeCell ref="A1:A2"/>
    <mergeCell ref="B27:C28"/>
    <mergeCell ref="B29:C30"/>
    <mergeCell ref="B31:C32"/>
    <mergeCell ref="B33:C34"/>
    <mergeCell ref="B1:C2"/>
    <mergeCell ref="D1:K2"/>
    <mergeCell ref="D3:E4"/>
    <mergeCell ref="F3:G4"/>
    <mergeCell ref="H3:I4"/>
    <mergeCell ref="B11:C12"/>
    <mergeCell ref="B13:C14"/>
    <mergeCell ref="B15:C16"/>
    <mergeCell ref="B17:C18"/>
    <mergeCell ref="B19:C20"/>
    <mergeCell ref="B21:C22"/>
    <mergeCell ref="B23:C24"/>
    <mergeCell ref="B25:C26"/>
    <mergeCell ref="B3:C4"/>
    <mergeCell ref="B5:C6"/>
    <mergeCell ref="B7:C8"/>
    <mergeCell ref="B9:C10"/>
    <mergeCell ref="J5:K5"/>
    <mergeCell ref="D6:E6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5A92-A560-4AB8-90A3-65EAA8E12374}">
  <sheetPr codeName="Hoja9">
    <tabColor theme="7" tint="0.39997558519241921"/>
  </sheetPr>
  <dimension ref="A1:I34"/>
  <sheetViews>
    <sheetView topLeftCell="A36" workbookViewId="0">
      <selection activeCell="K28" sqref="K28"/>
    </sheetView>
  </sheetViews>
  <sheetFormatPr baseColWidth="10" defaultColWidth="11.44140625" defaultRowHeight="14.4"/>
  <cols>
    <col min="1" max="1" width="5.44140625" style="13" customWidth="1"/>
    <col min="2" max="16384" width="11.44140625" style="13"/>
  </cols>
  <sheetData>
    <row r="1" spans="1:9">
      <c r="A1" s="585"/>
      <c r="B1" s="587"/>
      <c r="C1" s="588"/>
      <c r="D1" s="588" t="s">
        <v>44</v>
      </c>
      <c r="E1" s="588"/>
      <c r="F1" s="588"/>
      <c r="G1" s="588"/>
      <c r="H1" s="588"/>
      <c r="I1" s="588"/>
    </row>
    <row r="2" spans="1:9">
      <c r="A2" s="585"/>
      <c r="B2" s="589"/>
      <c r="C2" s="590"/>
      <c r="D2" s="590"/>
      <c r="E2" s="590"/>
      <c r="F2" s="590"/>
      <c r="G2" s="590"/>
      <c r="H2" s="590"/>
      <c r="I2" s="590"/>
    </row>
    <row r="3" spans="1:9">
      <c r="B3" s="589"/>
      <c r="C3" s="592"/>
      <c r="D3" s="587" t="s">
        <v>81</v>
      </c>
      <c r="E3" s="588"/>
      <c r="F3" s="588"/>
      <c r="G3" s="591"/>
      <c r="H3" s="593"/>
      <c r="I3" s="593"/>
    </row>
    <row r="4" spans="1:9">
      <c r="B4" s="594"/>
      <c r="C4" s="595"/>
      <c r="D4" s="594"/>
      <c r="E4" s="609"/>
      <c r="F4" s="609"/>
      <c r="G4" s="595"/>
      <c r="H4" s="593"/>
      <c r="I4" s="593"/>
    </row>
    <row r="5" spans="1:9">
      <c r="B5" s="589" t="s">
        <v>80</v>
      </c>
      <c r="C5" s="592"/>
      <c r="D5" s="589" t="s">
        <v>83</v>
      </c>
      <c r="E5" s="592"/>
      <c r="F5" s="589" t="s">
        <v>82</v>
      </c>
      <c r="G5" s="592"/>
      <c r="H5" s="589"/>
      <c r="I5" s="592"/>
    </row>
    <row r="6" spans="1:9">
      <c r="B6" s="594"/>
      <c r="C6" s="595"/>
      <c r="D6" s="594"/>
      <c r="E6" s="595"/>
      <c r="F6" s="594"/>
      <c r="G6" s="595"/>
      <c r="H6" s="594"/>
      <c r="I6" s="595"/>
    </row>
    <row r="7" spans="1:9" ht="15" customHeight="1">
      <c r="B7" s="586" t="s">
        <v>84</v>
      </c>
      <c r="C7" s="586"/>
      <c r="D7" s="601" t="s">
        <v>91</v>
      </c>
      <c r="E7" s="602"/>
      <c r="F7" s="601"/>
      <c r="G7" s="602"/>
      <c r="H7" s="601"/>
      <c r="I7" s="602"/>
    </row>
    <row r="8" spans="1:9">
      <c r="B8" s="586"/>
      <c r="C8" s="586"/>
      <c r="D8" s="607"/>
      <c r="E8" s="608"/>
      <c r="F8" s="598"/>
      <c r="G8" s="599"/>
      <c r="H8" s="598"/>
      <c r="I8" s="599"/>
    </row>
    <row r="9" spans="1:9" ht="15" customHeight="1">
      <c r="B9" s="586" t="s">
        <v>85</v>
      </c>
      <c r="C9" s="586"/>
      <c r="D9" s="601"/>
      <c r="E9" s="602"/>
      <c r="F9" s="601"/>
      <c r="G9" s="602"/>
      <c r="H9" s="601"/>
      <c r="I9" s="602"/>
    </row>
    <row r="10" spans="1:9">
      <c r="B10" s="586"/>
      <c r="C10" s="586"/>
      <c r="D10" s="598"/>
      <c r="E10" s="599"/>
      <c r="F10" s="598"/>
      <c r="G10" s="599"/>
      <c r="H10" s="598"/>
      <c r="I10" s="599"/>
    </row>
    <row r="11" spans="1:9">
      <c r="B11" s="586" t="s">
        <v>86</v>
      </c>
      <c r="C11" s="586"/>
      <c r="D11" s="601"/>
      <c r="E11" s="602"/>
      <c r="F11" s="601"/>
      <c r="G11" s="602"/>
      <c r="H11" s="601"/>
      <c r="I11" s="602"/>
    </row>
    <row r="12" spans="1:9">
      <c r="B12" s="586"/>
      <c r="C12" s="586"/>
      <c r="D12" s="598"/>
      <c r="E12" s="599"/>
      <c r="F12" s="598"/>
      <c r="G12" s="599"/>
      <c r="H12" s="598"/>
      <c r="I12" s="599"/>
    </row>
    <row r="13" spans="1:9">
      <c r="B13" s="586" t="s">
        <v>87</v>
      </c>
      <c r="C13" s="586"/>
      <c r="D13" s="601"/>
      <c r="E13" s="602"/>
      <c r="F13" s="601"/>
      <c r="G13" s="602"/>
      <c r="H13" s="601"/>
      <c r="I13" s="602"/>
    </row>
    <row r="14" spans="1:9">
      <c r="B14" s="586"/>
      <c r="C14" s="586"/>
      <c r="D14" s="598"/>
      <c r="E14" s="599"/>
      <c r="F14" s="598"/>
      <c r="G14" s="599"/>
      <c r="H14" s="598"/>
      <c r="I14" s="599"/>
    </row>
    <row r="15" spans="1:9">
      <c r="B15" s="586" t="s">
        <v>88</v>
      </c>
      <c r="C15" s="586"/>
      <c r="D15" s="601"/>
      <c r="E15" s="602"/>
      <c r="F15" s="601"/>
      <c r="G15" s="602"/>
      <c r="H15" s="601"/>
      <c r="I15" s="602"/>
    </row>
    <row r="16" spans="1:9">
      <c r="B16" s="586"/>
      <c r="C16" s="586"/>
      <c r="D16" s="603"/>
      <c r="E16" s="604"/>
      <c r="F16" s="598"/>
      <c r="G16" s="599"/>
      <c r="H16" s="598"/>
      <c r="I16" s="599"/>
    </row>
    <row r="17" spans="2:9">
      <c r="B17" s="586" t="s">
        <v>89</v>
      </c>
      <c r="C17" s="586"/>
      <c r="D17" s="601"/>
      <c r="E17" s="602"/>
      <c r="F17" s="601"/>
      <c r="G17" s="602"/>
      <c r="H17" s="601"/>
      <c r="I17" s="602"/>
    </row>
    <row r="18" spans="2:9">
      <c r="B18" s="586"/>
      <c r="C18" s="586"/>
      <c r="D18" s="598"/>
      <c r="E18" s="599"/>
      <c r="F18" s="598"/>
      <c r="G18" s="599"/>
      <c r="H18" s="598"/>
      <c r="I18" s="599"/>
    </row>
    <row r="19" spans="2:9">
      <c r="B19" s="586" t="s">
        <v>92</v>
      </c>
      <c r="C19" s="586"/>
      <c r="D19" s="601" t="s">
        <v>91</v>
      </c>
      <c r="E19" s="602"/>
      <c r="F19" s="601"/>
      <c r="G19" s="602"/>
      <c r="H19" s="601"/>
      <c r="I19" s="602"/>
    </row>
    <row r="20" spans="2:9">
      <c r="B20" s="586"/>
      <c r="C20" s="586"/>
      <c r="D20" s="607"/>
      <c r="E20" s="608"/>
      <c r="F20" s="598"/>
      <c r="G20" s="599"/>
      <c r="H20" s="598"/>
      <c r="I20" s="599"/>
    </row>
    <row r="21" spans="2:9">
      <c r="B21" s="586" t="s">
        <v>90</v>
      </c>
      <c r="C21" s="586"/>
      <c r="D21" s="601"/>
      <c r="E21" s="602"/>
      <c r="F21" s="601" t="s">
        <v>91</v>
      </c>
      <c r="G21" s="602"/>
      <c r="H21" s="601"/>
      <c r="I21" s="602"/>
    </row>
    <row r="22" spans="2:9">
      <c r="B22" s="586"/>
      <c r="C22" s="586"/>
      <c r="D22" s="598"/>
      <c r="E22" s="599"/>
      <c r="F22" s="607"/>
      <c r="G22" s="608"/>
      <c r="H22" s="598"/>
      <c r="I22" s="599"/>
    </row>
    <row r="23" spans="2:9" ht="15" customHeight="1">
      <c r="B23" s="586" t="s">
        <v>93</v>
      </c>
      <c r="C23" s="586"/>
      <c r="D23" s="601"/>
      <c r="E23" s="602"/>
      <c r="F23" s="601" t="s">
        <v>91</v>
      </c>
      <c r="G23" s="602"/>
      <c r="H23" s="601"/>
      <c r="I23" s="602"/>
    </row>
    <row r="24" spans="2:9">
      <c r="B24" s="586"/>
      <c r="C24" s="586"/>
      <c r="D24" s="598"/>
      <c r="E24" s="599"/>
      <c r="F24" s="607"/>
      <c r="G24" s="608"/>
      <c r="H24" s="598"/>
      <c r="I24" s="599"/>
    </row>
    <row r="25" spans="2:9">
      <c r="B25" s="586"/>
      <c r="C25" s="586"/>
      <c r="D25" s="601"/>
      <c r="E25" s="602"/>
      <c r="F25" s="601"/>
      <c r="G25" s="602"/>
      <c r="H25" s="601"/>
      <c r="I25" s="602"/>
    </row>
    <row r="26" spans="2:9">
      <c r="B26" s="586"/>
      <c r="C26" s="586"/>
      <c r="D26" s="598"/>
      <c r="E26" s="599"/>
      <c r="F26" s="598"/>
      <c r="G26" s="599"/>
      <c r="H26" s="598"/>
      <c r="I26" s="599"/>
    </row>
    <row r="27" spans="2:9">
      <c r="B27" s="586"/>
      <c r="C27" s="586"/>
      <c r="D27" s="601"/>
      <c r="E27" s="602"/>
      <c r="F27" s="601"/>
      <c r="G27" s="602"/>
      <c r="H27" s="601"/>
      <c r="I27" s="602"/>
    </row>
    <row r="28" spans="2:9">
      <c r="B28" s="586"/>
      <c r="C28" s="586"/>
      <c r="D28" s="598"/>
      <c r="E28" s="599"/>
      <c r="F28" s="598"/>
      <c r="G28" s="599"/>
      <c r="H28" s="598"/>
      <c r="I28" s="599"/>
    </row>
    <row r="29" spans="2:9">
      <c r="B29" s="586"/>
      <c r="C29" s="586"/>
      <c r="D29" s="601"/>
      <c r="E29" s="602"/>
      <c r="F29" s="601"/>
      <c r="G29" s="602"/>
      <c r="H29" s="601"/>
      <c r="I29" s="602"/>
    </row>
    <row r="30" spans="2:9">
      <c r="B30" s="586"/>
      <c r="C30" s="586"/>
      <c r="D30" s="598"/>
      <c r="E30" s="599"/>
      <c r="F30" s="598"/>
      <c r="G30" s="599"/>
      <c r="H30" s="598"/>
      <c r="I30" s="599"/>
    </row>
    <row r="31" spans="2:9">
      <c r="B31" s="586"/>
      <c r="C31" s="586"/>
      <c r="D31" s="605"/>
      <c r="E31" s="606"/>
      <c r="F31" s="605"/>
      <c r="G31" s="606"/>
      <c r="H31" s="605"/>
      <c r="I31" s="606"/>
    </row>
    <row r="32" spans="2:9">
      <c r="B32" s="586"/>
      <c r="C32" s="586"/>
      <c r="D32" s="598"/>
      <c r="E32" s="599"/>
      <c r="F32" s="598"/>
      <c r="G32" s="599"/>
      <c r="H32" s="598"/>
      <c r="I32" s="599"/>
    </row>
    <row r="33" spans="2:9">
      <c r="B33" s="586"/>
      <c r="C33" s="586"/>
      <c r="D33" s="605"/>
      <c r="E33" s="606"/>
      <c r="F33" s="605"/>
      <c r="G33" s="606"/>
      <c r="H33" s="605"/>
      <c r="I33" s="606"/>
    </row>
    <row r="34" spans="2:9">
      <c r="B34" s="586"/>
      <c r="C34" s="586"/>
      <c r="D34" s="598"/>
      <c r="E34" s="599"/>
      <c r="F34" s="598"/>
      <c r="G34" s="599"/>
      <c r="H34" s="598"/>
      <c r="I34" s="599"/>
    </row>
  </sheetData>
  <mergeCells count="104">
    <mergeCell ref="B5:C6"/>
    <mergeCell ref="A1:A2"/>
    <mergeCell ref="B1:C2"/>
    <mergeCell ref="D1:I2"/>
    <mergeCell ref="B3:C4"/>
    <mergeCell ref="H3:I4"/>
    <mergeCell ref="B9:C10"/>
    <mergeCell ref="D9:E9"/>
    <mergeCell ref="F9:G9"/>
    <mergeCell ref="H9:I9"/>
    <mergeCell ref="D10:E10"/>
    <mergeCell ref="F10:G10"/>
    <mergeCell ref="B7:C8"/>
    <mergeCell ref="F7:G7"/>
    <mergeCell ref="H7:I7"/>
    <mergeCell ref="F8:G8"/>
    <mergeCell ref="H8:I8"/>
    <mergeCell ref="D7:E8"/>
    <mergeCell ref="D3:G4"/>
    <mergeCell ref="D5:E6"/>
    <mergeCell ref="F5:G6"/>
    <mergeCell ref="H5:I6"/>
    <mergeCell ref="H10:I10"/>
    <mergeCell ref="B15:C16"/>
    <mergeCell ref="D15:E15"/>
    <mergeCell ref="F15:G15"/>
    <mergeCell ref="H15:I15"/>
    <mergeCell ref="F12:G12"/>
    <mergeCell ref="H12:I12"/>
    <mergeCell ref="B13:C14"/>
    <mergeCell ref="D13:E13"/>
    <mergeCell ref="F13:G13"/>
    <mergeCell ref="H13:I13"/>
    <mergeCell ref="B11:C12"/>
    <mergeCell ref="D11:E11"/>
    <mergeCell ref="F11:G11"/>
    <mergeCell ref="H11:I11"/>
    <mergeCell ref="D12:E12"/>
    <mergeCell ref="D16:E16"/>
    <mergeCell ref="F16:G16"/>
    <mergeCell ref="H16:I16"/>
    <mergeCell ref="D14:E14"/>
    <mergeCell ref="F14:G14"/>
    <mergeCell ref="H14:I14"/>
    <mergeCell ref="B19:C20"/>
    <mergeCell ref="F19:G19"/>
    <mergeCell ref="H19:I19"/>
    <mergeCell ref="F20:G20"/>
    <mergeCell ref="H20:I20"/>
    <mergeCell ref="B17:C18"/>
    <mergeCell ref="D17:E17"/>
    <mergeCell ref="F17:G17"/>
    <mergeCell ref="H17:I17"/>
    <mergeCell ref="D18:E18"/>
    <mergeCell ref="F18:G18"/>
    <mergeCell ref="H18:I18"/>
    <mergeCell ref="D19:E20"/>
    <mergeCell ref="B25:C26"/>
    <mergeCell ref="D25:E25"/>
    <mergeCell ref="F25:G25"/>
    <mergeCell ref="H25:I25"/>
    <mergeCell ref="H22:I22"/>
    <mergeCell ref="B23:C24"/>
    <mergeCell ref="D23:E23"/>
    <mergeCell ref="H23:I23"/>
    <mergeCell ref="D24:E24"/>
    <mergeCell ref="B21:C22"/>
    <mergeCell ref="D21:E21"/>
    <mergeCell ref="H21:I21"/>
    <mergeCell ref="D22:E22"/>
    <mergeCell ref="F21:G22"/>
    <mergeCell ref="F23:G24"/>
    <mergeCell ref="D26:E26"/>
    <mergeCell ref="F26:G26"/>
    <mergeCell ref="H26:I26"/>
    <mergeCell ref="H24:I24"/>
    <mergeCell ref="B29:C30"/>
    <mergeCell ref="D29:E29"/>
    <mergeCell ref="F29:G29"/>
    <mergeCell ref="H29:I29"/>
    <mergeCell ref="D30:E30"/>
    <mergeCell ref="F30:G30"/>
    <mergeCell ref="H30:I30"/>
    <mergeCell ref="D28:E28"/>
    <mergeCell ref="F28:G28"/>
    <mergeCell ref="H28:I28"/>
    <mergeCell ref="B27:C28"/>
    <mergeCell ref="D27:E27"/>
    <mergeCell ref="F27:G27"/>
    <mergeCell ref="H27:I27"/>
    <mergeCell ref="B33:C34"/>
    <mergeCell ref="D33:E33"/>
    <mergeCell ref="F33:G33"/>
    <mergeCell ref="H33:I33"/>
    <mergeCell ref="D34:E34"/>
    <mergeCell ref="F34:G34"/>
    <mergeCell ref="B31:C32"/>
    <mergeCell ref="D31:E31"/>
    <mergeCell ref="F31:G31"/>
    <mergeCell ref="H31:I31"/>
    <mergeCell ref="D32:E32"/>
    <mergeCell ref="F32:G32"/>
    <mergeCell ref="H32:I32"/>
    <mergeCell ref="H34:I34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F6EB-5E71-4C06-917E-189A4204FA75}">
  <dimension ref="A1:C78"/>
  <sheetViews>
    <sheetView zoomScale="85" zoomScaleNormal="85" workbookViewId="0">
      <pane ySplit="3" topLeftCell="A41" activePane="bottomLeft" state="frozen"/>
      <selection pane="bottomLeft" activeCell="A3" sqref="A3:C78"/>
    </sheetView>
  </sheetViews>
  <sheetFormatPr baseColWidth="10" defaultRowHeight="14.4"/>
  <cols>
    <col min="1" max="1" width="6.44140625" customWidth="1"/>
    <col min="2" max="2" width="51.88671875" customWidth="1"/>
    <col min="3" max="3" width="20.6640625" bestFit="1" customWidth="1"/>
  </cols>
  <sheetData>
    <row r="1" spans="1:3" ht="18">
      <c r="A1" s="610" t="s">
        <v>434</v>
      </c>
      <c r="B1" s="610"/>
      <c r="C1" s="610"/>
    </row>
    <row r="3" spans="1:3">
      <c r="A3" s="157" t="s">
        <v>435</v>
      </c>
      <c r="B3" s="157" t="s">
        <v>436</v>
      </c>
      <c r="C3" s="156" t="s">
        <v>442</v>
      </c>
    </row>
    <row r="4" spans="1:3">
      <c r="A4" s="158">
        <v>1</v>
      </c>
      <c r="B4" s="159" t="s">
        <v>13</v>
      </c>
      <c r="C4" s="162">
        <v>160000</v>
      </c>
    </row>
    <row r="5" spans="1:3">
      <c r="A5" s="158">
        <v>2</v>
      </c>
      <c r="B5" s="159" t="s">
        <v>261</v>
      </c>
      <c r="C5" s="162">
        <v>165000</v>
      </c>
    </row>
    <row r="6" spans="1:3">
      <c r="A6" s="158">
        <v>3</v>
      </c>
      <c r="B6" s="159" t="s">
        <v>14</v>
      </c>
      <c r="C6" s="162">
        <v>140000</v>
      </c>
    </row>
    <row r="7" spans="1:3">
      <c r="A7" s="158">
        <v>4</v>
      </c>
      <c r="B7" s="159" t="s">
        <v>23</v>
      </c>
      <c r="C7" s="162">
        <v>150000</v>
      </c>
    </row>
    <row r="8" spans="1:3">
      <c r="A8" s="158">
        <v>5</v>
      </c>
      <c r="B8" s="159" t="s">
        <v>18</v>
      </c>
      <c r="C8" s="162">
        <v>12800</v>
      </c>
    </row>
    <row r="9" spans="1:3">
      <c r="A9" s="158">
        <v>6</v>
      </c>
      <c r="B9" s="159" t="s">
        <v>19</v>
      </c>
      <c r="C9" s="162">
        <v>11100</v>
      </c>
    </row>
    <row r="10" spans="1:3">
      <c r="A10" s="158">
        <v>7</v>
      </c>
      <c r="B10" s="159" t="s">
        <v>259</v>
      </c>
      <c r="C10" s="162">
        <v>58</v>
      </c>
    </row>
    <row r="11" spans="1:3">
      <c r="A11" s="158">
        <v>8</v>
      </c>
      <c r="B11" s="159" t="s">
        <v>260</v>
      </c>
      <c r="C11" s="162">
        <v>35</v>
      </c>
    </row>
    <row r="12" spans="1:3">
      <c r="A12" s="158">
        <v>9</v>
      </c>
      <c r="B12" s="159" t="s">
        <v>299</v>
      </c>
      <c r="C12" s="162">
        <v>1250</v>
      </c>
    </row>
    <row r="13" spans="1:3">
      <c r="A13" s="158">
        <v>10</v>
      </c>
      <c r="B13" s="159" t="s">
        <v>300</v>
      </c>
      <c r="C13" s="162">
        <v>1250</v>
      </c>
    </row>
    <row r="14" spans="1:3">
      <c r="A14" s="158">
        <v>11</v>
      </c>
      <c r="B14" s="159" t="s">
        <v>220</v>
      </c>
      <c r="C14" s="162">
        <v>750</v>
      </c>
    </row>
    <row r="15" spans="1:3">
      <c r="A15" s="158">
        <v>12</v>
      </c>
      <c r="B15" s="159" t="s">
        <v>268</v>
      </c>
      <c r="C15" s="162">
        <v>175</v>
      </c>
    </row>
    <row r="16" spans="1:3">
      <c r="A16" s="158">
        <v>13</v>
      </c>
      <c r="B16" s="159" t="s">
        <v>221</v>
      </c>
      <c r="C16" s="162">
        <v>175</v>
      </c>
    </row>
    <row r="17" spans="1:3">
      <c r="A17" s="158">
        <v>14</v>
      </c>
      <c r="B17" s="159" t="s">
        <v>222</v>
      </c>
      <c r="C17" s="162">
        <v>90000</v>
      </c>
    </row>
    <row r="18" spans="1:3">
      <c r="A18" s="158">
        <v>15</v>
      </c>
      <c r="B18" s="159" t="s">
        <v>337</v>
      </c>
      <c r="C18" s="162">
        <v>21000</v>
      </c>
    </row>
    <row r="19" spans="1:3">
      <c r="A19" s="158">
        <v>16</v>
      </c>
      <c r="B19" s="159" t="s">
        <v>269</v>
      </c>
      <c r="C19" s="162">
        <v>40000</v>
      </c>
    </row>
    <row r="20" spans="1:3">
      <c r="A20" s="158">
        <v>17</v>
      </c>
      <c r="B20" s="159" t="s">
        <v>270</v>
      </c>
      <c r="C20" s="162">
        <v>13000</v>
      </c>
    </row>
    <row r="21" spans="1:3">
      <c r="A21" s="158">
        <v>18</v>
      </c>
      <c r="B21" s="159" t="s">
        <v>385</v>
      </c>
      <c r="C21" s="162">
        <v>43500</v>
      </c>
    </row>
    <row r="22" spans="1:3">
      <c r="A22" s="158">
        <v>19</v>
      </c>
      <c r="B22" s="159" t="s">
        <v>272</v>
      </c>
      <c r="C22" s="162">
        <v>220000</v>
      </c>
    </row>
    <row r="23" spans="1:3">
      <c r="A23" s="158">
        <v>20</v>
      </c>
      <c r="B23" s="159" t="s">
        <v>273</v>
      </c>
      <c r="C23" s="162">
        <v>90000</v>
      </c>
    </row>
    <row r="24" spans="1:3">
      <c r="A24" s="158">
        <v>21</v>
      </c>
      <c r="B24" s="159" t="s">
        <v>224</v>
      </c>
      <c r="C24" s="162">
        <v>60000</v>
      </c>
    </row>
    <row r="25" spans="1:3">
      <c r="A25" s="158">
        <v>22</v>
      </c>
      <c r="B25" s="159" t="s">
        <v>274</v>
      </c>
      <c r="C25" s="162">
        <v>90000</v>
      </c>
    </row>
    <row r="26" spans="1:3">
      <c r="A26" s="158">
        <v>23</v>
      </c>
      <c r="B26" s="159" t="s">
        <v>226</v>
      </c>
      <c r="C26" s="162">
        <v>0</v>
      </c>
    </row>
    <row r="27" spans="1:3">
      <c r="A27" s="158">
        <v>24</v>
      </c>
      <c r="B27" s="159" t="s">
        <v>227</v>
      </c>
      <c r="C27" s="162">
        <v>0</v>
      </c>
    </row>
    <row r="28" spans="1:3">
      <c r="A28" s="158">
        <v>25</v>
      </c>
      <c r="B28" s="159" t="s">
        <v>225</v>
      </c>
      <c r="C28" s="162">
        <v>0</v>
      </c>
    </row>
    <row r="29" spans="1:3">
      <c r="A29" s="158">
        <v>26</v>
      </c>
      <c r="B29" s="159" t="s">
        <v>31</v>
      </c>
      <c r="C29" s="162">
        <v>300000</v>
      </c>
    </row>
    <row r="30" spans="1:3">
      <c r="A30" s="158">
        <v>27</v>
      </c>
      <c r="B30" s="159" t="s">
        <v>11</v>
      </c>
      <c r="C30" s="162">
        <v>65000</v>
      </c>
    </row>
    <row r="31" spans="1:3">
      <c r="A31" s="158">
        <v>28</v>
      </c>
      <c r="B31" s="159" t="s">
        <v>32</v>
      </c>
      <c r="C31" s="162">
        <v>250000</v>
      </c>
    </row>
    <row r="32" spans="1:3">
      <c r="A32" s="158">
        <v>29</v>
      </c>
      <c r="B32" s="159" t="s">
        <v>327</v>
      </c>
      <c r="C32" s="162">
        <v>30000</v>
      </c>
    </row>
    <row r="33" spans="1:3">
      <c r="A33" s="158">
        <v>30</v>
      </c>
      <c r="B33" s="159" t="s">
        <v>100</v>
      </c>
      <c r="C33" s="162">
        <v>30000</v>
      </c>
    </row>
    <row r="34" spans="1:3">
      <c r="A34" s="158">
        <v>31</v>
      </c>
      <c r="B34" s="159" t="s">
        <v>328</v>
      </c>
      <c r="C34" s="162">
        <v>50000</v>
      </c>
    </row>
    <row r="35" spans="1:3">
      <c r="A35" s="158">
        <v>32</v>
      </c>
      <c r="B35" s="159" t="s">
        <v>325</v>
      </c>
      <c r="C35" s="162">
        <v>15000</v>
      </c>
    </row>
    <row r="36" spans="1:3">
      <c r="A36" s="158">
        <v>33</v>
      </c>
      <c r="B36" s="159" t="s">
        <v>326</v>
      </c>
      <c r="C36" s="162">
        <v>15000</v>
      </c>
    </row>
    <row r="37" spans="1:3">
      <c r="A37" s="158">
        <v>34</v>
      </c>
      <c r="B37" s="159" t="s">
        <v>276</v>
      </c>
      <c r="C37" s="162">
        <v>75000</v>
      </c>
    </row>
    <row r="38" spans="1:3">
      <c r="A38" s="158">
        <v>35</v>
      </c>
      <c r="B38" s="159" t="s">
        <v>277</v>
      </c>
      <c r="C38" s="162">
        <v>75000</v>
      </c>
    </row>
    <row r="39" spans="1:3">
      <c r="A39" s="158">
        <v>36</v>
      </c>
      <c r="B39" s="159" t="s">
        <v>6</v>
      </c>
      <c r="C39" s="162">
        <v>30000</v>
      </c>
    </row>
    <row r="40" spans="1:3">
      <c r="A40" s="158">
        <v>37</v>
      </c>
      <c r="B40" s="159" t="s">
        <v>12</v>
      </c>
      <c r="C40" s="162">
        <v>12000</v>
      </c>
    </row>
    <row r="41" spans="1:3">
      <c r="A41" s="158">
        <v>38</v>
      </c>
      <c r="B41" s="159" t="s">
        <v>278</v>
      </c>
      <c r="C41" s="162">
        <v>1500000</v>
      </c>
    </row>
    <row r="42" spans="1:3">
      <c r="A42" s="158">
        <v>39</v>
      </c>
      <c r="B42" s="159" t="s">
        <v>279</v>
      </c>
      <c r="C42" s="162">
        <v>0</v>
      </c>
    </row>
    <row r="43" spans="1:3">
      <c r="A43" s="158">
        <v>40</v>
      </c>
      <c r="B43" s="159" t="s">
        <v>280</v>
      </c>
      <c r="C43" s="162">
        <v>1000000</v>
      </c>
    </row>
    <row r="44" spans="1:3">
      <c r="A44" s="158">
        <v>41</v>
      </c>
      <c r="B44" s="159" t="s">
        <v>437</v>
      </c>
      <c r="C44" s="162">
        <v>0</v>
      </c>
    </row>
    <row r="45" spans="1:3">
      <c r="A45" s="158">
        <v>42</v>
      </c>
      <c r="B45" s="159" t="s">
        <v>281</v>
      </c>
      <c r="C45" s="162">
        <v>0</v>
      </c>
    </row>
    <row r="46" spans="1:3">
      <c r="A46" s="158">
        <v>43</v>
      </c>
      <c r="B46" s="159" t="s">
        <v>284</v>
      </c>
      <c r="C46" s="162">
        <v>600000</v>
      </c>
    </row>
    <row r="47" spans="1:3">
      <c r="A47" s="158">
        <v>44</v>
      </c>
      <c r="B47" s="159" t="s">
        <v>285</v>
      </c>
      <c r="C47" s="162">
        <v>0</v>
      </c>
    </row>
    <row r="48" spans="1:3">
      <c r="A48" s="158">
        <v>45</v>
      </c>
      <c r="B48" s="159" t="s">
        <v>288</v>
      </c>
      <c r="C48" s="162">
        <v>0</v>
      </c>
    </row>
    <row r="49" spans="1:3">
      <c r="A49" s="158">
        <v>46</v>
      </c>
      <c r="B49" s="159" t="s">
        <v>289</v>
      </c>
      <c r="C49" s="162">
        <v>600000</v>
      </c>
    </row>
    <row r="50" spans="1:3">
      <c r="A50" s="158">
        <v>47</v>
      </c>
      <c r="B50" s="159" t="s">
        <v>290</v>
      </c>
      <c r="C50" s="162">
        <v>250000</v>
      </c>
    </row>
    <row r="51" spans="1:3">
      <c r="A51" s="158">
        <v>48</v>
      </c>
      <c r="B51" s="159" t="s">
        <v>296</v>
      </c>
      <c r="C51" s="162">
        <v>50000</v>
      </c>
    </row>
    <row r="52" spans="1:3">
      <c r="A52" s="158">
        <v>49</v>
      </c>
      <c r="B52" s="159" t="s">
        <v>295</v>
      </c>
      <c r="C52" s="162">
        <v>15000</v>
      </c>
    </row>
    <row r="53" spans="1:3">
      <c r="A53" s="158">
        <v>50</v>
      </c>
      <c r="B53" s="159" t="s">
        <v>330</v>
      </c>
      <c r="C53" s="162">
        <v>15000</v>
      </c>
    </row>
    <row r="54" spans="1:3">
      <c r="A54" s="158">
        <v>51</v>
      </c>
      <c r="B54" s="159" t="s">
        <v>329</v>
      </c>
      <c r="C54" s="162">
        <v>12000</v>
      </c>
    </row>
    <row r="55" spans="1:3">
      <c r="A55" s="158">
        <v>52</v>
      </c>
      <c r="B55" s="159" t="s">
        <v>331</v>
      </c>
      <c r="C55" s="162">
        <v>28000</v>
      </c>
    </row>
    <row r="56" spans="1:3">
      <c r="A56" s="158">
        <v>53</v>
      </c>
      <c r="B56" s="159" t="s">
        <v>42</v>
      </c>
      <c r="C56" s="162">
        <v>200000</v>
      </c>
    </row>
    <row r="57" spans="1:3">
      <c r="A57" s="158">
        <v>54</v>
      </c>
      <c r="B57" s="159" t="s">
        <v>41</v>
      </c>
      <c r="C57" s="162">
        <v>150000</v>
      </c>
    </row>
    <row r="58" spans="1:3">
      <c r="A58" s="158">
        <v>55</v>
      </c>
      <c r="B58" s="159" t="s">
        <v>3</v>
      </c>
      <c r="C58" s="162">
        <v>100000</v>
      </c>
    </row>
    <row r="59" spans="1:3">
      <c r="A59" s="158">
        <v>56</v>
      </c>
      <c r="B59" s="159" t="s">
        <v>4</v>
      </c>
      <c r="C59" s="162">
        <v>75000</v>
      </c>
    </row>
    <row r="60" spans="1:3">
      <c r="A60" s="158">
        <v>57</v>
      </c>
      <c r="B60" s="159" t="s">
        <v>67</v>
      </c>
      <c r="C60" s="162">
        <v>500</v>
      </c>
    </row>
    <row r="61" spans="1:3">
      <c r="A61" s="158">
        <v>58</v>
      </c>
      <c r="B61" s="159" t="s">
        <v>68</v>
      </c>
      <c r="C61" s="162">
        <v>500</v>
      </c>
    </row>
    <row r="62" spans="1:3">
      <c r="A62" s="158">
        <v>59</v>
      </c>
      <c r="B62" s="159" t="s">
        <v>70</v>
      </c>
      <c r="C62" s="162">
        <v>6000</v>
      </c>
    </row>
    <row r="63" spans="1:3">
      <c r="A63" s="158">
        <v>60</v>
      </c>
      <c r="B63" s="159" t="s">
        <v>380</v>
      </c>
      <c r="C63" s="162">
        <v>15000</v>
      </c>
    </row>
    <row r="64" spans="1:3">
      <c r="A64" s="158">
        <v>61</v>
      </c>
      <c r="B64" s="159" t="s">
        <v>16</v>
      </c>
      <c r="C64" s="162">
        <v>150000</v>
      </c>
    </row>
    <row r="65" spans="1:3">
      <c r="A65" s="158">
        <v>62</v>
      </c>
      <c r="B65" s="159" t="s">
        <v>17</v>
      </c>
      <c r="C65" s="162">
        <v>150000</v>
      </c>
    </row>
    <row r="66" spans="1:3">
      <c r="A66" s="158">
        <v>63</v>
      </c>
      <c r="B66" s="159" t="s">
        <v>333</v>
      </c>
      <c r="C66" s="162">
        <v>2000000</v>
      </c>
    </row>
    <row r="67" spans="1:3">
      <c r="A67" s="158">
        <v>64</v>
      </c>
      <c r="B67" s="159" t="s">
        <v>291</v>
      </c>
      <c r="C67" s="162">
        <v>1000000</v>
      </c>
    </row>
    <row r="68" spans="1:3">
      <c r="A68" s="158">
        <v>65</v>
      </c>
      <c r="B68" s="159" t="s">
        <v>292</v>
      </c>
      <c r="C68" s="162">
        <v>200000</v>
      </c>
    </row>
    <row r="69" spans="1:3">
      <c r="A69" s="158">
        <v>66</v>
      </c>
      <c r="B69" s="159" t="s">
        <v>293</v>
      </c>
      <c r="C69" s="162">
        <v>500000</v>
      </c>
    </row>
    <row r="70" spans="1:3">
      <c r="A70" s="158">
        <v>67</v>
      </c>
      <c r="B70" s="159" t="s">
        <v>193</v>
      </c>
      <c r="C70" s="162">
        <v>650000</v>
      </c>
    </row>
    <row r="71" spans="1:3">
      <c r="A71" s="158">
        <v>68</v>
      </c>
      <c r="B71" s="159" t="s">
        <v>294</v>
      </c>
      <c r="C71" s="162">
        <v>300000</v>
      </c>
    </row>
    <row r="72" spans="1:3">
      <c r="A72" s="158">
        <v>69</v>
      </c>
      <c r="B72" s="159" t="s">
        <v>2</v>
      </c>
      <c r="C72" s="162">
        <v>950000</v>
      </c>
    </row>
    <row r="73" spans="1:3">
      <c r="A73" s="158">
        <v>70</v>
      </c>
      <c r="B73" s="159" t="s">
        <v>22</v>
      </c>
      <c r="C73" s="162">
        <v>650000</v>
      </c>
    </row>
    <row r="74" spans="1:3">
      <c r="A74" s="158">
        <v>71</v>
      </c>
      <c r="B74" s="159" t="s">
        <v>21</v>
      </c>
      <c r="C74" s="162">
        <v>300000</v>
      </c>
    </row>
    <row r="75" spans="1:3">
      <c r="A75" s="158">
        <v>72</v>
      </c>
      <c r="B75" s="159" t="s">
        <v>8</v>
      </c>
      <c r="C75" s="162">
        <v>3500000</v>
      </c>
    </row>
    <row r="76" spans="1:3">
      <c r="A76" s="158">
        <v>73</v>
      </c>
      <c r="B76" s="159" t="s">
        <v>9</v>
      </c>
      <c r="C76" s="162">
        <v>600000</v>
      </c>
    </row>
    <row r="77" spans="1:3">
      <c r="A77" s="158">
        <v>74</v>
      </c>
      <c r="B77" s="159" t="s">
        <v>335</v>
      </c>
      <c r="C77" s="162">
        <v>300000</v>
      </c>
    </row>
    <row r="78" spans="1:3">
      <c r="A78" s="158">
        <v>75</v>
      </c>
      <c r="B78" s="159" t="s">
        <v>336</v>
      </c>
      <c r="C78" s="162">
        <v>300000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24C9-4F49-4635-9739-3BE28714B289}">
  <dimension ref="A1:E901"/>
  <sheetViews>
    <sheetView tabSelected="1" topLeftCell="A4" workbookViewId="0"/>
  </sheetViews>
  <sheetFormatPr baseColWidth="10" defaultRowHeight="14.4"/>
  <cols>
    <col min="1" max="1" width="42.21875" bestFit="1" customWidth="1"/>
  </cols>
  <sheetData>
    <row r="1" spans="1:5">
      <c r="A1" s="157" t="s">
        <v>436</v>
      </c>
      <c r="B1" s="157" t="s">
        <v>438</v>
      </c>
      <c r="C1" s="157" t="s">
        <v>439</v>
      </c>
      <c r="D1" s="157" t="s">
        <v>441</v>
      </c>
      <c r="E1" s="155" t="s">
        <v>275</v>
      </c>
    </row>
    <row r="2" spans="1:5">
      <c r="A2" s="160" t="s">
        <v>13</v>
      </c>
      <c r="B2" s="158">
        <v>7</v>
      </c>
      <c r="C2" s="158" t="s">
        <v>200</v>
      </c>
      <c r="D2" s="161">
        <v>160000</v>
      </c>
      <c r="E2" s="160">
        <f t="shared" ref="E2:E65" si="0">B2*D2</f>
        <v>1120000</v>
      </c>
    </row>
    <row r="3" spans="1:5">
      <c r="A3" s="160" t="s">
        <v>261</v>
      </c>
      <c r="B3" s="158">
        <v>0</v>
      </c>
      <c r="C3" s="158" t="s">
        <v>200</v>
      </c>
      <c r="D3" s="161">
        <v>165000</v>
      </c>
      <c r="E3" s="160">
        <f t="shared" si="0"/>
        <v>0</v>
      </c>
    </row>
    <row r="4" spans="1:5">
      <c r="A4" s="160" t="s">
        <v>14</v>
      </c>
      <c r="B4" s="158">
        <v>19</v>
      </c>
      <c r="C4" s="158" t="s">
        <v>200</v>
      </c>
      <c r="D4" s="161">
        <v>140000</v>
      </c>
      <c r="E4" s="160">
        <f t="shared" si="0"/>
        <v>2660000</v>
      </c>
    </row>
    <row r="5" spans="1:5">
      <c r="A5" s="160" t="s">
        <v>23</v>
      </c>
      <c r="B5" s="158">
        <v>7</v>
      </c>
      <c r="C5" s="158" t="s">
        <v>200</v>
      </c>
      <c r="D5" s="161">
        <v>150000</v>
      </c>
      <c r="E5" s="160">
        <f t="shared" si="0"/>
        <v>1050000</v>
      </c>
    </row>
    <row r="6" spans="1:5">
      <c r="A6" s="160" t="s">
        <v>18</v>
      </c>
      <c r="B6" s="158">
        <v>40</v>
      </c>
      <c r="C6" s="158" t="s">
        <v>200</v>
      </c>
      <c r="D6" s="161">
        <v>12800</v>
      </c>
      <c r="E6" s="160">
        <f t="shared" si="0"/>
        <v>512000</v>
      </c>
    </row>
    <row r="7" spans="1:5">
      <c r="A7" s="160" t="s">
        <v>19</v>
      </c>
      <c r="B7" s="158">
        <v>40</v>
      </c>
      <c r="C7" s="158" t="s">
        <v>200</v>
      </c>
      <c r="D7" s="161">
        <v>11100</v>
      </c>
      <c r="E7" s="160">
        <f t="shared" si="0"/>
        <v>444000</v>
      </c>
    </row>
    <row r="8" spans="1:5">
      <c r="A8" s="160" t="s">
        <v>259</v>
      </c>
      <c r="B8" s="158">
        <v>1000</v>
      </c>
      <c r="C8" s="158" t="s">
        <v>200</v>
      </c>
      <c r="D8" s="161">
        <v>58</v>
      </c>
      <c r="E8" s="160">
        <f t="shared" si="0"/>
        <v>58000</v>
      </c>
    </row>
    <row r="9" spans="1:5">
      <c r="A9" s="160" t="s">
        <v>260</v>
      </c>
      <c r="B9" s="158">
        <v>3000</v>
      </c>
      <c r="C9" s="158" t="s">
        <v>200</v>
      </c>
      <c r="D9" s="161">
        <v>35</v>
      </c>
      <c r="E9" s="160">
        <f t="shared" si="0"/>
        <v>105000</v>
      </c>
    </row>
    <row r="10" spans="1:5">
      <c r="A10" s="160" t="s">
        <v>299</v>
      </c>
      <c r="B10" s="158">
        <v>0</v>
      </c>
      <c r="C10" s="158" t="s">
        <v>200</v>
      </c>
      <c r="D10" s="161">
        <v>1250</v>
      </c>
      <c r="E10" s="160">
        <f t="shared" si="0"/>
        <v>0</v>
      </c>
    </row>
    <row r="11" spans="1:5">
      <c r="A11" s="160" t="s">
        <v>300</v>
      </c>
      <c r="B11" s="158">
        <v>200</v>
      </c>
      <c r="C11" s="158" t="s">
        <v>200</v>
      </c>
      <c r="D11" s="161">
        <v>1250</v>
      </c>
      <c r="E11" s="160">
        <f t="shared" si="0"/>
        <v>250000</v>
      </c>
    </row>
    <row r="12" spans="1:5">
      <c r="A12" s="160" t="s">
        <v>220</v>
      </c>
      <c r="B12" s="158">
        <v>100</v>
      </c>
      <c r="C12" s="158" t="s">
        <v>200</v>
      </c>
      <c r="D12" s="161">
        <v>750</v>
      </c>
      <c r="E12" s="160">
        <f t="shared" si="0"/>
        <v>75000</v>
      </c>
    </row>
    <row r="13" spans="1:5">
      <c r="A13" s="160" t="s">
        <v>268</v>
      </c>
      <c r="B13" s="158">
        <v>500</v>
      </c>
      <c r="C13" s="158" t="s">
        <v>200</v>
      </c>
      <c r="D13" s="161">
        <v>175</v>
      </c>
      <c r="E13" s="160">
        <f t="shared" si="0"/>
        <v>87500</v>
      </c>
    </row>
    <row r="14" spans="1:5">
      <c r="A14" s="160" t="s">
        <v>221</v>
      </c>
      <c r="B14" s="158">
        <v>0</v>
      </c>
      <c r="C14" s="158" t="s">
        <v>200</v>
      </c>
      <c r="D14" s="161">
        <v>175</v>
      </c>
      <c r="E14" s="160">
        <f t="shared" si="0"/>
        <v>0</v>
      </c>
    </row>
    <row r="15" spans="1:5">
      <c r="A15" s="160" t="s">
        <v>222</v>
      </c>
      <c r="B15" s="158">
        <v>2</v>
      </c>
      <c r="C15" s="158" t="s">
        <v>200</v>
      </c>
      <c r="D15" s="161">
        <v>90000</v>
      </c>
      <c r="E15" s="160">
        <f t="shared" si="0"/>
        <v>180000</v>
      </c>
    </row>
    <row r="16" spans="1:5">
      <c r="A16" s="160" t="s">
        <v>337</v>
      </c>
      <c r="B16" s="158">
        <v>20</v>
      </c>
      <c r="C16" s="158" t="s">
        <v>200</v>
      </c>
      <c r="D16" s="161">
        <v>21000</v>
      </c>
      <c r="E16" s="160">
        <f t="shared" si="0"/>
        <v>420000</v>
      </c>
    </row>
    <row r="17" spans="1:5">
      <c r="A17" s="160" t="s">
        <v>269</v>
      </c>
      <c r="B17" s="158">
        <v>3</v>
      </c>
      <c r="C17" s="158" t="s">
        <v>200</v>
      </c>
      <c r="D17" s="161">
        <v>40000</v>
      </c>
      <c r="E17" s="160">
        <f t="shared" si="0"/>
        <v>120000</v>
      </c>
    </row>
    <row r="18" spans="1:5">
      <c r="A18" s="160" t="s">
        <v>270</v>
      </c>
      <c r="B18" s="158">
        <v>3</v>
      </c>
      <c r="C18" s="158" t="s">
        <v>200</v>
      </c>
      <c r="D18" s="161">
        <v>13000</v>
      </c>
      <c r="E18" s="160">
        <f t="shared" si="0"/>
        <v>39000</v>
      </c>
    </row>
    <row r="19" spans="1:5">
      <c r="A19" s="160" t="s">
        <v>385</v>
      </c>
      <c r="B19" s="158">
        <v>9</v>
      </c>
      <c r="C19" s="158" t="s">
        <v>200</v>
      </c>
      <c r="D19" s="161">
        <v>43500</v>
      </c>
      <c r="E19" s="160">
        <f t="shared" si="0"/>
        <v>391500</v>
      </c>
    </row>
    <row r="20" spans="1:5">
      <c r="A20" s="160" t="s">
        <v>272</v>
      </c>
      <c r="B20" s="158">
        <v>2</v>
      </c>
      <c r="C20" s="158" t="s">
        <v>200</v>
      </c>
      <c r="D20" s="161">
        <v>220000</v>
      </c>
      <c r="E20" s="160">
        <f t="shared" si="0"/>
        <v>440000</v>
      </c>
    </row>
    <row r="21" spans="1:5">
      <c r="A21" s="160" t="s">
        <v>273</v>
      </c>
      <c r="B21" s="158">
        <v>3</v>
      </c>
      <c r="C21" s="158" t="s">
        <v>200</v>
      </c>
      <c r="D21" s="161">
        <v>90000</v>
      </c>
      <c r="E21" s="160">
        <f t="shared" si="0"/>
        <v>270000</v>
      </c>
    </row>
    <row r="22" spans="1:5">
      <c r="A22" s="160" t="s">
        <v>224</v>
      </c>
      <c r="B22" s="158">
        <v>3</v>
      </c>
      <c r="C22" s="158" t="s">
        <v>200</v>
      </c>
      <c r="D22" s="161">
        <v>60000</v>
      </c>
      <c r="E22" s="160">
        <f t="shared" si="0"/>
        <v>180000</v>
      </c>
    </row>
    <row r="23" spans="1:5">
      <c r="A23" s="160" t="s">
        <v>274</v>
      </c>
      <c r="B23" s="158">
        <v>3</v>
      </c>
      <c r="C23" s="158" t="s">
        <v>200</v>
      </c>
      <c r="D23" s="161">
        <v>90000</v>
      </c>
      <c r="E23" s="160">
        <f t="shared" si="0"/>
        <v>270000</v>
      </c>
    </row>
    <row r="24" spans="1:5">
      <c r="A24" s="160" t="s">
        <v>226</v>
      </c>
      <c r="B24" s="158">
        <v>0</v>
      </c>
      <c r="C24" s="158" t="s">
        <v>200</v>
      </c>
      <c r="D24" s="161">
        <v>0</v>
      </c>
      <c r="E24" s="160">
        <f t="shared" si="0"/>
        <v>0</v>
      </c>
    </row>
    <row r="25" spans="1:5">
      <c r="A25" s="160" t="s">
        <v>227</v>
      </c>
      <c r="B25" s="158">
        <v>0</v>
      </c>
      <c r="C25" s="158" t="s">
        <v>200</v>
      </c>
      <c r="D25" s="161">
        <v>0</v>
      </c>
      <c r="E25" s="160">
        <f t="shared" si="0"/>
        <v>0</v>
      </c>
    </row>
    <row r="26" spans="1:5">
      <c r="A26" s="160" t="s">
        <v>225</v>
      </c>
      <c r="B26" s="158">
        <v>0</v>
      </c>
      <c r="C26" s="158" t="s">
        <v>200</v>
      </c>
      <c r="D26" s="161">
        <v>0</v>
      </c>
      <c r="E26" s="160">
        <f t="shared" si="0"/>
        <v>0</v>
      </c>
    </row>
    <row r="27" spans="1:5">
      <c r="A27" s="160" t="s">
        <v>31</v>
      </c>
      <c r="B27" s="158">
        <v>1</v>
      </c>
      <c r="C27" s="158" t="s">
        <v>200</v>
      </c>
      <c r="D27" s="161">
        <v>300000</v>
      </c>
      <c r="E27" s="160">
        <f t="shared" si="0"/>
        <v>300000</v>
      </c>
    </row>
    <row r="28" spans="1:5">
      <c r="A28" s="160" t="s">
        <v>11</v>
      </c>
      <c r="B28" s="158">
        <v>1</v>
      </c>
      <c r="C28" s="158" t="s">
        <v>200</v>
      </c>
      <c r="D28" s="161">
        <v>65000</v>
      </c>
      <c r="E28" s="160">
        <f t="shared" si="0"/>
        <v>65000</v>
      </c>
    </row>
    <row r="29" spans="1:5">
      <c r="A29" s="160" t="s">
        <v>32</v>
      </c>
      <c r="B29" s="158">
        <v>1</v>
      </c>
      <c r="C29" s="158" t="s">
        <v>200</v>
      </c>
      <c r="D29" s="161">
        <v>250000</v>
      </c>
      <c r="E29" s="160">
        <f t="shared" si="0"/>
        <v>250000</v>
      </c>
    </row>
    <row r="30" spans="1:5">
      <c r="A30" s="160" t="s">
        <v>327</v>
      </c>
      <c r="B30" s="158">
        <v>54</v>
      </c>
      <c r="C30" s="158" t="s">
        <v>200</v>
      </c>
      <c r="D30" s="161">
        <v>30000</v>
      </c>
      <c r="E30" s="160">
        <f t="shared" si="0"/>
        <v>1620000</v>
      </c>
    </row>
    <row r="31" spans="1:5">
      <c r="A31" s="160" t="s">
        <v>100</v>
      </c>
      <c r="B31" s="158">
        <v>0</v>
      </c>
      <c r="C31" s="158" t="s">
        <v>200</v>
      </c>
      <c r="D31" s="161">
        <v>30000</v>
      </c>
      <c r="E31" s="160">
        <f t="shared" si="0"/>
        <v>0</v>
      </c>
    </row>
    <row r="32" spans="1:5">
      <c r="A32" s="160" t="s">
        <v>328</v>
      </c>
      <c r="B32" s="158">
        <v>0</v>
      </c>
      <c r="C32" s="158" t="s">
        <v>200</v>
      </c>
      <c r="D32" s="161">
        <v>50000</v>
      </c>
      <c r="E32" s="160">
        <f t="shared" si="0"/>
        <v>0</v>
      </c>
    </row>
    <row r="33" spans="1:5">
      <c r="A33" s="160" t="s">
        <v>325</v>
      </c>
      <c r="B33" s="158">
        <v>54</v>
      </c>
      <c r="C33" s="158" t="s">
        <v>200</v>
      </c>
      <c r="D33" s="161">
        <v>15000</v>
      </c>
      <c r="E33" s="160">
        <f t="shared" si="0"/>
        <v>810000</v>
      </c>
    </row>
    <row r="34" spans="1:5">
      <c r="A34" s="160" t="s">
        <v>326</v>
      </c>
      <c r="B34" s="158">
        <v>0</v>
      </c>
      <c r="C34" s="158" t="s">
        <v>200</v>
      </c>
      <c r="D34" s="161">
        <v>15000</v>
      </c>
      <c r="E34" s="160">
        <f t="shared" si="0"/>
        <v>0</v>
      </c>
    </row>
    <row r="35" spans="1:5">
      <c r="A35" s="160" t="s">
        <v>276</v>
      </c>
      <c r="B35" s="158">
        <v>4</v>
      </c>
      <c r="C35" s="158" t="s">
        <v>200</v>
      </c>
      <c r="D35" s="161">
        <v>75000</v>
      </c>
      <c r="E35" s="160">
        <f t="shared" si="0"/>
        <v>300000</v>
      </c>
    </row>
    <row r="36" spans="1:5">
      <c r="A36" s="160" t="s">
        <v>277</v>
      </c>
      <c r="B36" s="158">
        <v>2</v>
      </c>
      <c r="C36" s="158" t="s">
        <v>200</v>
      </c>
      <c r="D36" s="161">
        <v>75000</v>
      </c>
      <c r="E36" s="160">
        <f t="shared" si="0"/>
        <v>150000</v>
      </c>
    </row>
    <row r="37" spans="1:5">
      <c r="A37" s="160" t="s">
        <v>6</v>
      </c>
      <c r="B37" s="158">
        <v>18</v>
      </c>
      <c r="C37" s="158" t="s">
        <v>200</v>
      </c>
      <c r="D37" s="161">
        <v>30000</v>
      </c>
      <c r="E37" s="160">
        <f t="shared" si="0"/>
        <v>540000</v>
      </c>
    </row>
    <row r="38" spans="1:5">
      <c r="A38" s="160" t="s">
        <v>12</v>
      </c>
      <c r="B38" s="158">
        <v>10</v>
      </c>
      <c r="C38" s="158" t="s">
        <v>200</v>
      </c>
      <c r="D38" s="161">
        <v>12000</v>
      </c>
      <c r="E38" s="160">
        <f t="shared" si="0"/>
        <v>120000</v>
      </c>
    </row>
    <row r="39" spans="1:5">
      <c r="A39" s="160" t="s">
        <v>278</v>
      </c>
      <c r="B39" s="158">
        <v>1</v>
      </c>
      <c r="C39" s="158" t="s">
        <v>200</v>
      </c>
      <c r="D39" s="161">
        <v>1500000</v>
      </c>
      <c r="E39" s="160">
        <f t="shared" si="0"/>
        <v>1500000</v>
      </c>
    </row>
    <row r="40" spans="1:5">
      <c r="A40" s="160" t="s">
        <v>279</v>
      </c>
      <c r="B40" s="158">
        <v>0</v>
      </c>
      <c r="C40" s="158" t="s">
        <v>200</v>
      </c>
      <c r="D40" s="161">
        <v>0</v>
      </c>
      <c r="E40" s="160">
        <f t="shared" si="0"/>
        <v>0</v>
      </c>
    </row>
    <row r="41" spans="1:5">
      <c r="A41" s="160" t="s">
        <v>280</v>
      </c>
      <c r="B41" s="158">
        <v>1</v>
      </c>
      <c r="C41" s="158" t="s">
        <v>200</v>
      </c>
      <c r="D41" s="161">
        <v>1000000</v>
      </c>
      <c r="E41" s="160">
        <f t="shared" si="0"/>
        <v>1000000</v>
      </c>
    </row>
    <row r="42" spans="1:5">
      <c r="A42" s="160" t="s">
        <v>437</v>
      </c>
      <c r="B42" s="158">
        <v>0</v>
      </c>
      <c r="C42" s="158" t="s">
        <v>200</v>
      </c>
      <c r="D42" s="161">
        <v>0</v>
      </c>
      <c r="E42" s="160">
        <f t="shared" si="0"/>
        <v>0</v>
      </c>
    </row>
    <row r="43" spans="1:5">
      <c r="A43" s="160" t="s">
        <v>281</v>
      </c>
      <c r="B43" s="158">
        <v>0</v>
      </c>
      <c r="C43" s="158" t="s">
        <v>200</v>
      </c>
      <c r="D43" s="161">
        <v>0</v>
      </c>
      <c r="E43" s="160">
        <f t="shared" si="0"/>
        <v>0</v>
      </c>
    </row>
    <row r="44" spans="1:5">
      <c r="A44" s="160" t="s">
        <v>284</v>
      </c>
      <c r="B44" s="158">
        <v>1</v>
      </c>
      <c r="C44" s="158" t="s">
        <v>200</v>
      </c>
      <c r="D44" s="161">
        <v>600000</v>
      </c>
      <c r="E44" s="160">
        <f t="shared" si="0"/>
        <v>600000</v>
      </c>
    </row>
    <row r="45" spans="1:5">
      <c r="A45" s="160" t="s">
        <v>285</v>
      </c>
      <c r="B45" s="158">
        <v>0</v>
      </c>
      <c r="C45" s="158" t="s">
        <v>200</v>
      </c>
      <c r="D45" s="161">
        <v>0</v>
      </c>
      <c r="E45" s="160">
        <f t="shared" si="0"/>
        <v>0</v>
      </c>
    </row>
    <row r="46" spans="1:5">
      <c r="A46" s="160" t="s">
        <v>288</v>
      </c>
      <c r="B46" s="158">
        <v>0</v>
      </c>
      <c r="C46" s="158" t="s">
        <v>200</v>
      </c>
      <c r="D46" s="161">
        <v>0</v>
      </c>
      <c r="E46" s="160">
        <f t="shared" si="0"/>
        <v>0</v>
      </c>
    </row>
    <row r="47" spans="1:5">
      <c r="A47" s="160" t="s">
        <v>289</v>
      </c>
      <c r="B47" s="158">
        <v>1</v>
      </c>
      <c r="C47" s="158" t="s">
        <v>200</v>
      </c>
      <c r="D47" s="161">
        <v>600000</v>
      </c>
      <c r="E47" s="160">
        <f t="shared" si="0"/>
        <v>600000</v>
      </c>
    </row>
    <row r="48" spans="1:5">
      <c r="A48" s="160" t="s">
        <v>290</v>
      </c>
      <c r="B48" s="158">
        <v>1</v>
      </c>
      <c r="C48" s="158" t="s">
        <v>200</v>
      </c>
      <c r="D48" s="161">
        <v>250000</v>
      </c>
      <c r="E48" s="160">
        <f t="shared" si="0"/>
        <v>250000</v>
      </c>
    </row>
    <row r="49" spans="1:5">
      <c r="A49" s="160" t="s">
        <v>296</v>
      </c>
      <c r="B49" s="158">
        <v>1</v>
      </c>
      <c r="C49" s="158" t="s">
        <v>200</v>
      </c>
      <c r="D49" s="161">
        <v>50000</v>
      </c>
      <c r="E49" s="160">
        <f t="shared" si="0"/>
        <v>50000</v>
      </c>
    </row>
    <row r="50" spans="1:5">
      <c r="A50" s="160" t="s">
        <v>295</v>
      </c>
      <c r="B50" s="158">
        <v>1</v>
      </c>
      <c r="C50" s="158" t="s">
        <v>200</v>
      </c>
      <c r="D50" s="161">
        <v>15000</v>
      </c>
      <c r="E50" s="160">
        <f t="shared" si="0"/>
        <v>15000</v>
      </c>
    </row>
    <row r="51" spans="1:5">
      <c r="A51" s="160" t="s">
        <v>330</v>
      </c>
      <c r="B51" s="158">
        <v>1</v>
      </c>
      <c r="C51" s="158" t="s">
        <v>200</v>
      </c>
      <c r="D51" s="161">
        <v>15000</v>
      </c>
      <c r="E51" s="160">
        <f t="shared" si="0"/>
        <v>15000</v>
      </c>
    </row>
    <row r="52" spans="1:5">
      <c r="A52" s="160" t="s">
        <v>329</v>
      </c>
      <c r="B52" s="158">
        <v>2</v>
      </c>
      <c r="C52" s="158" t="s">
        <v>200</v>
      </c>
      <c r="D52" s="161">
        <v>12000</v>
      </c>
      <c r="E52" s="160">
        <f t="shared" si="0"/>
        <v>24000</v>
      </c>
    </row>
    <row r="53" spans="1:5">
      <c r="A53" s="160" t="s">
        <v>331</v>
      </c>
      <c r="B53" s="158">
        <v>2</v>
      </c>
      <c r="C53" s="158" t="s">
        <v>200</v>
      </c>
      <c r="D53" s="161">
        <v>28000</v>
      </c>
      <c r="E53" s="160">
        <f t="shared" si="0"/>
        <v>56000</v>
      </c>
    </row>
    <row r="54" spans="1:5">
      <c r="A54" s="160" t="s">
        <v>42</v>
      </c>
      <c r="B54" s="158">
        <v>1</v>
      </c>
      <c r="C54" s="158" t="s">
        <v>200</v>
      </c>
      <c r="D54" s="161">
        <v>200000</v>
      </c>
      <c r="E54" s="160">
        <f t="shared" si="0"/>
        <v>200000</v>
      </c>
    </row>
    <row r="55" spans="1:5">
      <c r="A55" s="160" t="s">
        <v>41</v>
      </c>
      <c r="B55" s="158">
        <v>0</v>
      </c>
      <c r="C55" s="158" t="s">
        <v>200</v>
      </c>
      <c r="D55" s="161">
        <v>150000</v>
      </c>
      <c r="E55" s="160">
        <f t="shared" si="0"/>
        <v>0</v>
      </c>
    </row>
    <row r="56" spans="1:5">
      <c r="A56" s="160" t="s">
        <v>3</v>
      </c>
      <c r="B56" s="158">
        <v>2</v>
      </c>
      <c r="C56" s="158" t="s">
        <v>200</v>
      </c>
      <c r="D56" s="161">
        <v>100000</v>
      </c>
      <c r="E56" s="160">
        <f t="shared" si="0"/>
        <v>200000</v>
      </c>
    </row>
    <row r="57" spans="1:5">
      <c r="A57" s="160" t="s">
        <v>4</v>
      </c>
      <c r="B57" s="158">
        <v>1</v>
      </c>
      <c r="C57" s="158" t="s">
        <v>200</v>
      </c>
      <c r="D57" s="161">
        <v>75000</v>
      </c>
      <c r="E57" s="160">
        <f t="shared" si="0"/>
        <v>75000</v>
      </c>
    </row>
    <row r="58" spans="1:5">
      <c r="A58" s="160" t="s">
        <v>67</v>
      </c>
      <c r="B58" s="158">
        <v>4</v>
      </c>
      <c r="C58" s="158" t="s">
        <v>200</v>
      </c>
      <c r="D58" s="161">
        <v>500</v>
      </c>
      <c r="E58" s="160">
        <f t="shared" si="0"/>
        <v>2000</v>
      </c>
    </row>
    <row r="59" spans="1:5">
      <c r="A59" s="160" t="s">
        <v>68</v>
      </c>
      <c r="B59" s="158">
        <v>10</v>
      </c>
      <c r="C59" s="158" t="s">
        <v>200</v>
      </c>
      <c r="D59" s="161">
        <v>500</v>
      </c>
      <c r="E59" s="160">
        <f t="shared" si="0"/>
        <v>5000</v>
      </c>
    </row>
    <row r="60" spans="1:5">
      <c r="A60" s="160" t="s">
        <v>70</v>
      </c>
      <c r="B60" s="158">
        <v>10</v>
      </c>
      <c r="C60" s="158" t="s">
        <v>200</v>
      </c>
      <c r="D60" s="161">
        <v>6000</v>
      </c>
      <c r="E60" s="160">
        <f t="shared" si="0"/>
        <v>60000</v>
      </c>
    </row>
    <row r="61" spans="1:5">
      <c r="A61" s="160" t="s">
        <v>380</v>
      </c>
      <c r="B61" s="158">
        <v>4</v>
      </c>
      <c r="C61" s="158" t="s">
        <v>200</v>
      </c>
      <c r="D61" s="161">
        <v>15000</v>
      </c>
      <c r="E61" s="160">
        <f t="shared" si="0"/>
        <v>60000</v>
      </c>
    </row>
    <row r="62" spans="1:5">
      <c r="A62" s="160" t="s">
        <v>16</v>
      </c>
      <c r="B62" s="158">
        <v>1</v>
      </c>
      <c r="C62" s="158" t="s">
        <v>200</v>
      </c>
      <c r="D62" s="161">
        <v>150000</v>
      </c>
      <c r="E62" s="160">
        <f t="shared" si="0"/>
        <v>150000</v>
      </c>
    </row>
    <row r="63" spans="1:5">
      <c r="A63" s="160" t="s">
        <v>17</v>
      </c>
      <c r="B63" s="158">
        <v>1</v>
      </c>
      <c r="C63" s="158" t="s">
        <v>200</v>
      </c>
      <c r="D63" s="161">
        <v>150000</v>
      </c>
      <c r="E63" s="160">
        <f t="shared" si="0"/>
        <v>150000</v>
      </c>
    </row>
    <row r="64" spans="1:5">
      <c r="A64" s="160" t="s">
        <v>333</v>
      </c>
      <c r="B64" s="158">
        <v>1</v>
      </c>
      <c r="C64" s="158" t="s">
        <v>200</v>
      </c>
      <c r="D64" s="161">
        <v>2000000</v>
      </c>
      <c r="E64" s="160">
        <f t="shared" si="0"/>
        <v>2000000</v>
      </c>
    </row>
    <row r="65" spans="1:5">
      <c r="A65" s="160" t="s">
        <v>291</v>
      </c>
      <c r="B65" s="158">
        <v>1</v>
      </c>
      <c r="C65" s="158" t="s">
        <v>200</v>
      </c>
      <c r="D65" s="161">
        <v>1000000</v>
      </c>
      <c r="E65" s="160">
        <f t="shared" si="0"/>
        <v>1000000</v>
      </c>
    </row>
    <row r="66" spans="1:5">
      <c r="A66" s="160" t="s">
        <v>292</v>
      </c>
      <c r="B66" s="158">
        <v>1</v>
      </c>
      <c r="C66" s="158" t="s">
        <v>200</v>
      </c>
      <c r="D66" s="161">
        <v>200000</v>
      </c>
      <c r="E66" s="160">
        <f t="shared" ref="E66:E129" si="1">B66*D66</f>
        <v>200000</v>
      </c>
    </row>
    <row r="67" spans="1:5">
      <c r="A67" s="160" t="s">
        <v>293</v>
      </c>
      <c r="B67" s="158">
        <v>1</v>
      </c>
      <c r="C67" s="158" t="s">
        <v>200</v>
      </c>
      <c r="D67" s="161">
        <v>500000</v>
      </c>
      <c r="E67" s="160">
        <f t="shared" si="1"/>
        <v>500000</v>
      </c>
    </row>
    <row r="68" spans="1:5">
      <c r="A68" s="160" t="s">
        <v>193</v>
      </c>
      <c r="B68" s="158">
        <v>1</v>
      </c>
      <c r="C68" s="158" t="s">
        <v>200</v>
      </c>
      <c r="D68" s="161">
        <v>650000</v>
      </c>
      <c r="E68" s="160">
        <f t="shared" si="1"/>
        <v>650000</v>
      </c>
    </row>
    <row r="69" spans="1:5">
      <c r="A69" s="160" t="s">
        <v>294</v>
      </c>
      <c r="B69" s="158">
        <v>1</v>
      </c>
      <c r="C69" s="158" t="s">
        <v>200</v>
      </c>
      <c r="D69" s="161">
        <v>300000</v>
      </c>
      <c r="E69" s="160">
        <f t="shared" si="1"/>
        <v>300000</v>
      </c>
    </row>
    <row r="70" spans="1:5">
      <c r="A70" s="160" t="s">
        <v>2</v>
      </c>
      <c r="B70" s="158">
        <v>1</v>
      </c>
      <c r="C70" s="158" t="s">
        <v>200</v>
      </c>
      <c r="D70" s="161">
        <v>950000</v>
      </c>
      <c r="E70" s="160">
        <f t="shared" si="1"/>
        <v>950000</v>
      </c>
    </row>
    <row r="71" spans="1:5">
      <c r="A71" s="160" t="s">
        <v>22</v>
      </c>
      <c r="B71" s="158">
        <v>1</v>
      </c>
      <c r="C71" s="158" t="s">
        <v>200</v>
      </c>
      <c r="D71" s="161">
        <v>650000</v>
      </c>
      <c r="E71" s="160">
        <f t="shared" si="1"/>
        <v>650000</v>
      </c>
    </row>
    <row r="72" spans="1:5">
      <c r="A72" s="160" t="s">
        <v>21</v>
      </c>
      <c r="B72" s="158">
        <v>1</v>
      </c>
      <c r="C72" s="158" t="s">
        <v>200</v>
      </c>
      <c r="D72" s="161">
        <v>300000</v>
      </c>
      <c r="E72" s="160">
        <f t="shared" si="1"/>
        <v>300000</v>
      </c>
    </row>
    <row r="73" spans="1:5">
      <c r="A73" s="160" t="s">
        <v>8</v>
      </c>
      <c r="B73" s="158">
        <v>1</v>
      </c>
      <c r="C73" s="158" t="s">
        <v>200</v>
      </c>
      <c r="D73" s="161">
        <v>3500000</v>
      </c>
      <c r="E73" s="160">
        <f t="shared" si="1"/>
        <v>3500000</v>
      </c>
    </row>
    <row r="74" spans="1:5">
      <c r="A74" s="160" t="s">
        <v>9</v>
      </c>
      <c r="B74" s="158">
        <v>1</v>
      </c>
      <c r="C74" s="158" t="s">
        <v>200</v>
      </c>
      <c r="D74" s="161">
        <v>600000</v>
      </c>
      <c r="E74" s="160">
        <f t="shared" si="1"/>
        <v>600000</v>
      </c>
    </row>
    <row r="75" spans="1:5">
      <c r="A75" s="160" t="s">
        <v>335</v>
      </c>
      <c r="B75" s="158">
        <v>1</v>
      </c>
      <c r="C75" s="158" t="s">
        <v>200</v>
      </c>
      <c r="D75" s="161">
        <v>300000</v>
      </c>
      <c r="E75" s="160">
        <f t="shared" si="1"/>
        <v>300000</v>
      </c>
    </row>
    <row r="76" spans="1:5">
      <c r="A76" s="160" t="s">
        <v>336</v>
      </c>
      <c r="B76" s="158">
        <v>1</v>
      </c>
      <c r="C76" s="158" t="s">
        <v>200</v>
      </c>
      <c r="D76" s="161">
        <v>300000</v>
      </c>
      <c r="E76" s="160">
        <f t="shared" si="1"/>
        <v>300000</v>
      </c>
    </row>
    <row r="77" spans="1:5">
      <c r="A77" s="159" t="s">
        <v>13</v>
      </c>
      <c r="B77" s="158">
        <v>10</v>
      </c>
      <c r="C77" s="158" t="s">
        <v>201</v>
      </c>
      <c r="D77" s="161">
        <v>160000</v>
      </c>
      <c r="E77" s="160">
        <f t="shared" si="1"/>
        <v>1600000</v>
      </c>
    </row>
    <row r="78" spans="1:5">
      <c r="A78" s="159" t="s">
        <v>261</v>
      </c>
      <c r="B78" s="158">
        <v>0</v>
      </c>
      <c r="C78" s="158" t="s">
        <v>201</v>
      </c>
      <c r="D78" s="161">
        <v>165000</v>
      </c>
      <c r="E78" s="160">
        <f t="shared" si="1"/>
        <v>0</v>
      </c>
    </row>
    <row r="79" spans="1:5">
      <c r="A79" s="159" t="s">
        <v>14</v>
      </c>
      <c r="B79" s="158">
        <v>29</v>
      </c>
      <c r="C79" s="158" t="s">
        <v>201</v>
      </c>
      <c r="D79" s="161">
        <v>140000</v>
      </c>
      <c r="E79" s="160">
        <f t="shared" si="1"/>
        <v>4060000</v>
      </c>
    </row>
    <row r="80" spans="1:5">
      <c r="A80" s="159" t="s">
        <v>23</v>
      </c>
      <c r="B80" s="158">
        <v>10</v>
      </c>
      <c r="C80" s="158" t="s">
        <v>201</v>
      </c>
      <c r="D80" s="161">
        <v>150000</v>
      </c>
      <c r="E80" s="160">
        <f t="shared" si="1"/>
        <v>1500000</v>
      </c>
    </row>
    <row r="81" spans="1:5">
      <c r="A81" s="159" t="s">
        <v>18</v>
      </c>
      <c r="B81" s="158">
        <v>50</v>
      </c>
      <c r="C81" s="158" t="s">
        <v>201</v>
      </c>
      <c r="D81" s="161">
        <v>12800</v>
      </c>
      <c r="E81" s="160">
        <f t="shared" si="1"/>
        <v>640000</v>
      </c>
    </row>
    <row r="82" spans="1:5">
      <c r="A82" s="159" t="s">
        <v>19</v>
      </c>
      <c r="B82" s="158">
        <v>55</v>
      </c>
      <c r="C82" s="158" t="s">
        <v>201</v>
      </c>
      <c r="D82" s="161">
        <v>11100</v>
      </c>
      <c r="E82" s="160">
        <f t="shared" si="1"/>
        <v>610500</v>
      </c>
    </row>
    <row r="83" spans="1:5">
      <c r="A83" s="159" t="s">
        <v>259</v>
      </c>
      <c r="B83" s="158">
        <v>2000</v>
      </c>
      <c r="C83" s="158" t="s">
        <v>201</v>
      </c>
      <c r="D83" s="161">
        <v>58</v>
      </c>
      <c r="E83" s="160">
        <f t="shared" si="1"/>
        <v>116000</v>
      </c>
    </row>
    <row r="84" spans="1:5">
      <c r="A84" s="159" t="s">
        <v>260</v>
      </c>
      <c r="B84" s="158">
        <v>4000</v>
      </c>
      <c r="C84" s="158" t="s">
        <v>201</v>
      </c>
      <c r="D84" s="161">
        <v>35</v>
      </c>
      <c r="E84" s="160">
        <f t="shared" si="1"/>
        <v>140000</v>
      </c>
    </row>
    <row r="85" spans="1:5">
      <c r="A85" s="159" t="s">
        <v>299</v>
      </c>
      <c r="B85" s="158">
        <v>0</v>
      </c>
      <c r="C85" s="158" t="s">
        <v>201</v>
      </c>
      <c r="D85" s="161">
        <v>1250</v>
      </c>
      <c r="E85" s="160">
        <f t="shared" si="1"/>
        <v>0</v>
      </c>
    </row>
    <row r="86" spans="1:5">
      <c r="A86" s="159" t="s">
        <v>300</v>
      </c>
      <c r="B86" s="158">
        <v>400</v>
      </c>
      <c r="C86" s="158" t="s">
        <v>201</v>
      </c>
      <c r="D86" s="161">
        <v>1250</v>
      </c>
      <c r="E86" s="160">
        <f t="shared" si="1"/>
        <v>500000</v>
      </c>
    </row>
    <row r="87" spans="1:5">
      <c r="A87" s="159" t="s">
        <v>220</v>
      </c>
      <c r="B87" s="158">
        <v>200</v>
      </c>
      <c r="C87" s="158" t="s">
        <v>201</v>
      </c>
      <c r="D87" s="161">
        <v>750</v>
      </c>
      <c r="E87" s="160">
        <f t="shared" si="1"/>
        <v>150000</v>
      </c>
    </row>
    <row r="88" spans="1:5">
      <c r="A88" s="159" t="s">
        <v>268</v>
      </c>
      <c r="B88" s="158">
        <v>0</v>
      </c>
      <c r="C88" s="158" t="s">
        <v>201</v>
      </c>
      <c r="D88" s="161">
        <v>175</v>
      </c>
      <c r="E88" s="160">
        <f t="shared" si="1"/>
        <v>0</v>
      </c>
    </row>
    <row r="89" spans="1:5">
      <c r="A89" s="159" t="s">
        <v>221</v>
      </c>
      <c r="B89" s="158">
        <v>500</v>
      </c>
      <c r="C89" s="158" t="s">
        <v>201</v>
      </c>
      <c r="D89" s="161">
        <v>175</v>
      </c>
      <c r="E89" s="160">
        <f t="shared" si="1"/>
        <v>87500</v>
      </c>
    </row>
    <row r="90" spans="1:5">
      <c r="A90" s="159" t="s">
        <v>222</v>
      </c>
      <c r="B90" s="158">
        <v>2</v>
      </c>
      <c r="C90" s="158" t="s">
        <v>201</v>
      </c>
      <c r="D90" s="161">
        <v>90000</v>
      </c>
      <c r="E90" s="160">
        <f t="shared" si="1"/>
        <v>180000</v>
      </c>
    </row>
    <row r="91" spans="1:5">
      <c r="A91" s="159" t="s">
        <v>337</v>
      </c>
      <c r="B91" s="158">
        <v>25</v>
      </c>
      <c r="C91" s="158" t="s">
        <v>201</v>
      </c>
      <c r="D91" s="161">
        <v>21000</v>
      </c>
      <c r="E91" s="160">
        <f t="shared" si="1"/>
        <v>525000</v>
      </c>
    </row>
    <row r="92" spans="1:5">
      <c r="A92" s="159" t="s">
        <v>269</v>
      </c>
      <c r="B92" s="158">
        <v>5</v>
      </c>
      <c r="C92" s="158" t="s">
        <v>201</v>
      </c>
      <c r="D92" s="161">
        <v>40000</v>
      </c>
      <c r="E92" s="160">
        <f t="shared" si="1"/>
        <v>200000</v>
      </c>
    </row>
    <row r="93" spans="1:5">
      <c r="A93" s="159" t="s">
        <v>270</v>
      </c>
      <c r="B93" s="158">
        <v>5</v>
      </c>
      <c r="C93" s="158" t="s">
        <v>201</v>
      </c>
      <c r="D93" s="161">
        <v>13000</v>
      </c>
      <c r="E93" s="160">
        <f t="shared" si="1"/>
        <v>65000</v>
      </c>
    </row>
    <row r="94" spans="1:5">
      <c r="A94" s="159" t="s">
        <v>385</v>
      </c>
      <c r="B94" s="158">
        <v>14</v>
      </c>
      <c r="C94" s="158" t="s">
        <v>201</v>
      </c>
      <c r="D94" s="161">
        <v>43500</v>
      </c>
      <c r="E94" s="160">
        <f t="shared" si="1"/>
        <v>609000</v>
      </c>
    </row>
    <row r="95" spans="1:5">
      <c r="A95" s="159" t="s">
        <v>272</v>
      </c>
      <c r="B95" s="158">
        <v>2</v>
      </c>
      <c r="C95" s="158" t="s">
        <v>201</v>
      </c>
      <c r="D95" s="161">
        <v>220000</v>
      </c>
      <c r="E95" s="160">
        <f t="shared" si="1"/>
        <v>440000</v>
      </c>
    </row>
    <row r="96" spans="1:5">
      <c r="A96" s="159" t="s">
        <v>273</v>
      </c>
      <c r="B96" s="158">
        <v>4</v>
      </c>
      <c r="C96" s="158" t="s">
        <v>201</v>
      </c>
      <c r="D96" s="161">
        <v>90000</v>
      </c>
      <c r="E96" s="160">
        <f t="shared" si="1"/>
        <v>360000</v>
      </c>
    </row>
    <row r="97" spans="1:5">
      <c r="A97" s="159" t="s">
        <v>224</v>
      </c>
      <c r="B97" s="158">
        <v>4</v>
      </c>
      <c r="C97" s="158" t="s">
        <v>201</v>
      </c>
      <c r="D97" s="161">
        <v>60000</v>
      </c>
      <c r="E97" s="160">
        <f t="shared" si="1"/>
        <v>240000</v>
      </c>
    </row>
    <row r="98" spans="1:5">
      <c r="A98" s="159" t="s">
        <v>274</v>
      </c>
      <c r="B98" s="158">
        <v>4</v>
      </c>
      <c r="C98" s="158" t="s">
        <v>201</v>
      </c>
      <c r="D98" s="161">
        <v>90000</v>
      </c>
      <c r="E98" s="160">
        <f t="shared" si="1"/>
        <v>360000</v>
      </c>
    </row>
    <row r="99" spans="1:5">
      <c r="A99" s="159" t="s">
        <v>226</v>
      </c>
      <c r="B99" s="158">
        <v>0</v>
      </c>
      <c r="C99" s="158" t="s">
        <v>201</v>
      </c>
      <c r="D99" s="161">
        <v>0</v>
      </c>
      <c r="E99" s="160">
        <f t="shared" si="1"/>
        <v>0</v>
      </c>
    </row>
    <row r="100" spans="1:5">
      <c r="A100" s="159" t="s">
        <v>227</v>
      </c>
      <c r="B100" s="158">
        <v>0</v>
      </c>
      <c r="C100" s="158" t="s">
        <v>201</v>
      </c>
      <c r="D100" s="161">
        <v>0</v>
      </c>
      <c r="E100" s="160">
        <f t="shared" si="1"/>
        <v>0</v>
      </c>
    </row>
    <row r="101" spans="1:5">
      <c r="A101" s="159" t="s">
        <v>225</v>
      </c>
      <c r="B101" s="158">
        <v>0</v>
      </c>
      <c r="C101" s="158" t="s">
        <v>201</v>
      </c>
      <c r="D101" s="161">
        <v>0</v>
      </c>
      <c r="E101" s="160">
        <f t="shared" si="1"/>
        <v>0</v>
      </c>
    </row>
    <row r="102" spans="1:5">
      <c r="A102" s="159" t="s">
        <v>31</v>
      </c>
      <c r="B102" s="158">
        <v>1</v>
      </c>
      <c r="C102" s="158" t="s">
        <v>201</v>
      </c>
      <c r="D102" s="161">
        <v>300000</v>
      </c>
      <c r="E102" s="160">
        <f t="shared" si="1"/>
        <v>300000</v>
      </c>
    </row>
    <row r="103" spans="1:5">
      <c r="A103" s="159" t="s">
        <v>11</v>
      </c>
      <c r="B103" s="158">
        <v>1</v>
      </c>
      <c r="C103" s="158" t="s">
        <v>201</v>
      </c>
      <c r="D103" s="161">
        <v>65000</v>
      </c>
      <c r="E103" s="160">
        <f t="shared" si="1"/>
        <v>65000</v>
      </c>
    </row>
    <row r="104" spans="1:5">
      <c r="A104" s="159" t="s">
        <v>32</v>
      </c>
      <c r="B104" s="158">
        <v>1</v>
      </c>
      <c r="C104" s="158" t="s">
        <v>201</v>
      </c>
      <c r="D104" s="161">
        <v>250000</v>
      </c>
      <c r="E104" s="160">
        <f t="shared" si="1"/>
        <v>250000</v>
      </c>
    </row>
    <row r="105" spans="1:5">
      <c r="A105" s="159" t="s">
        <v>327</v>
      </c>
      <c r="B105" s="158">
        <v>100</v>
      </c>
      <c r="C105" s="158" t="s">
        <v>201</v>
      </c>
      <c r="D105" s="161">
        <v>30000</v>
      </c>
      <c r="E105" s="160">
        <f t="shared" si="1"/>
        <v>3000000</v>
      </c>
    </row>
    <row r="106" spans="1:5">
      <c r="A106" s="159" t="s">
        <v>100</v>
      </c>
      <c r="B106" s="158">
        <v>0</v>
      </c>
      <c r="C106" s="158" t="s">
        <v>201</v>
      </c>
      <c r="D106" s="161">
        <v>30000</v>
      </c>
      <c r="E106" s="160">
        <f t="shared" si="1"/>
        <v>0</v>
      </c>
    </row>
    <row r="107" spans="1:5">
      <c r="A107" s="159" t="s">
        <v>328</v>
      </c>
      <c r="B107" s="158">
        <v>0</v>
      </c>
      <c r="C107" s="158" t="s">
        <v>201</v>
      </c>
      <c r="D107" s="161">
        <v>50000</v>
      </c>
      <c r="E107" s="160">
        <f t="shared" si="1"/>
        <v>0</v>
      </c>
    </row>
    <row r="108" spans="1:5">
      <c r="A108" s="159" t="s">
        <v>325</v>
      </c>
      <c r="B108" s="158">
        <v>50</v>
      </c>
      <c r="C108" s="158" t="s">
        <v>201</v>
      </c>
      <c r="D108" s="161">
        <v>15000</v>
      </c>
      <c r="E108" s="160">
        <f t="shared" si="1"/>
        <v>750000</v>
      </c>
    </row>
    <row r="109" spans="1:5">
      <c r="A109" s="159" t="s">
        <v>326</v>
      </c>
      <c r="B109" s="158">
        <v>50</v>
      </c>
      <c r="C109" s="158" t="s">
        <v>201</v>
      </c>
      <c r="D109" s="161">
        <v>15000</v>
      </c>
      <c r="E109" s="160">
        <f t="shared" si="1"/>
        <v>750000</v>
      </c>
    </row>
    <row r="110" spans="1:5">
      <c r="A110" s="159" t="s">
        <v>276</v>
      </c>
      <c r="B110" s="158">
        <v>6</v>
      </c>
      <c r="C110" s="158" t="s">
        <v>201</v>
      </c>
      <c r="D110" s="161">
        <v>75000</v>
      </c>
      <c r="E110" s="160">
        <f t="shared" si="1"/>
        <v>450000</v>
      </c>
    </row>
    <row r="111" spans="1:5">
      <c r="A111" s="159" t="s">
        <v>277</v>
      </c>
      <c r="B111" s="158">
        <v>2</v>
      </c>
      <c r="C111" s="158" t="s">
        <v>201</v>
      </c>
      <c r="D111" s="161">
        <v>75000</v>
      </c>
      <c r="E111" s="160">
        <f t="shared" si="1"/>
        <v>150000</v>
      </c>
    </row>
    <row r="112" spans="1:5">
      <c r="A112" s="159" t="s">
        <v>6</v>
      </c>
      <c r="B112" s="158">
        <v>27</v>
      </c>
      <c r="C112" s="158" t="s">
        <v>201</v>
      </c>
      <c r="D112" s="161">
        <v>30000</v>
      </c>
      <c r="E112" s="160">
        <f t="shared" si="1"/>
        <v>810000</v>
      </c>
    </row>
    <row r="113" spans="1:5">
      <c r="A113" s="159" t="s">
        <v>12</v>
      </c>
      <c r="B113" s="158">
        <v>18</v>
      </c>
      <c r="C113" s="158" t="s">
        <v>201</v>
      </c>
      <c r="D113" s="161">
        <v>12000</v>
      </c>
      <c r="E113" s="160">
        <f t="shared" si="1"/>
        <v>216000</v>
      </c>
    </row>
    <row r="114" spans="1:5">
      <c r="A114" s="159" t="s">
        <v>278</v>
      </c>
      <c r="B114" s="158">
        <v>1</v>
      </c>
      <c r="C114" s="158" t="s">
        <v>201</v>
      </c>
      <c r="D114" s="161">
        <v>1500000</v>
      </c>
      <c r="E114" s="160">
        <f t="shared" si="1"/>
        <v>1500000</v>
      </c>
    </row>
    <row r="115" spans="1:5">
      <c r="A115" s="159" t="s">
        <v>279</v>
      </c>
      <c r="B115" s="158">
        <v>0</v>
      </c>
      <c r="C115" s="158" t="s">
        <v>201</v>
      </c>
      <c r="D115" s="161">
        <v>0</v>
      </c>
      <c r="E115" s="160">
        <f t="shared" si="1"/>
        <v>0</v>
      </c>
    </row>
    <row r="116" spans="1:5">
      <c r="A116" s="159" t="s">
        <v>280</v>
      </c>
      <c r="B116" s="158">
        <v>1</v>
      </c>
      <c r="C116" s="158" t="s">
        <v>201</v>
      </c>
      <c r="D116" s="161">
        <v>1000000</v>
      </c>
      <c r="E116" s="160">
        <f t="shared" si="1"/>
        <v>1000000</v>
      </c>
    </row>
    <row r="117" spans="1:5">
      <c r="A117" s="159" t="s">
        <v>437</v>
      </c>
      <c r="B117" s="158">
        <v>0</v>
      </c>
      <c r="C117" s="158" t="s">
        <v>201</v>
      </c>
      <c r="D117" s="161">
        <v>0</v>
      </c>
      <c r="E117" s="160">
        <f t="shared" si="1"/>
        <v>0</v>
      </c>
    </row>
    <row r="118" spans="1:5">
      <c r="A118" s="159" t="s">
        <v>281</v>
      </c>
      <c r="B118" s="158">
        <v>1</v>
      </c>
      <c r="C118" s="158" t="s">
        <v>201</v>
      </c>
      <c r="D118" s="161">
        <v>850000</v>
      </c>
      <c r="E118" s="160">
        <f t="shared" si="1"/>
        <v>850000</v>
      </c>
    </row>
    <row r="119" spans="1:5">
      <c r="A119" s="159" t="s">
        <v>284</v>
      </c>
      <c r="B119" s="158">
        <v>2</v>
      </c>
      <c r="C119" s="158" t="s">
        <v>201</v>
      </c>
      <c r="D119" s="161">
        <v>600000</v>
      </c>
      <c r="E119" s="160">
        <f t="shared" si="1"/>
        <v>1200000</v>
      </c>
    </row>
    <row r="120" spans="1:5">
      <c r="A120" s="159" t="s">
        <v>285</v>
      </c>
      <c r="B120" s="158">
        <v>0</v>
      </c>
      <c r="C120" s="158" t="s">
        <v>201</v>
      </c>
      <c r="D120" s="161">
        <v>0</v>
      </c>
      <c r="E120" s="160">
        <f t="shared" si="1"/>
        <v>0</v>
      </c>
    </row>
    <row r="121" spans="1:5">
      <c r="A121" s="159" t="s">
        <v>288</v>
      </c>
      <c r="B121" s="158">
        <v>0</v>
      </c>
      <c r="C121" s="158" t="s">
        <v>201</v>
      </c>
      <c r="D121" s="161">
        <v>0</v>
      </c>
      <c r="E121" s="160">
        <f t="shared" si="1"/>
        <v>0</v>
      </c>
    </row>
    <row r="122" spans="1:5">
      <c r="A122" s="159" t="s">
        <v>289</v>
      </c>
      <c r="B122" s="158">
        <v>1</v>
      </c>
      <c r="C122" s="158" t="s">
        <v>201</v>
      </c>
      <c r="D122" s="161">
        <v>600000</v>
      </c>
      <c r="E122" s="160">
        <f t="shared" si="1"/>
        <v>600000</v>
      </c>
    </row>
    <row r="123" spans="1:5">
      <c r="A123" s="159" t="s">
        <v>290</v>
      </c>
      <c r="B123" s="158">
        <v>1</v>
      </c>
      <c r="C123" s="158" t="s">
        <v>201</v>
      </c>
      <c r="D123" s="161">
        <v>250000</v>
      </c>
      <c r="E123" s="160">
        <f t="shared" si="1"/>
        <v>250000</v>
      </c>
    </row>
    <row r="124" spans="1:5">
      <c r="A124" s="159" t="s">
        <v>296</v>
      </c>
      <c r="B124" s="158">
        <v>2</v>
      </c>
      <c r="C124" s="158" t="s">
        <v>201</v>
      </c>
      <c r="D124" s="161">
        <v>50000</v>
      </c>
      <c r="E124" s="160">
        <f t="shared" si="1"/>
        <v>100000</v>
      </c>
    </row>
    <row r="125" spans="1:5">
      <c r="A125" s="159" t="s">
        <v>295</v>
      </c>
      <c r="B125" s="158">
        <v>1</v>
      </c>
      <c r="C125" s="158" t="s">
        <v>201</v>
      </c>
      <c r="D125" s="161">
        <v>15000</v>
      </c>
      <c r="E125" s="160">
        <f t="shared" si="1"/>
        <v>15000</v>
      </c>
    </row>
    <row r="126" spans="1:5">
      <c r="A126" s="159" t="s">
        <v>330</v>
      </c>
      <c r="B126" s="158">
        <v>1</v>
      </c>
      <c r="C126" s="158" t="s">
        <v>201</v>
      </c>
      <c r="D126" s="161">
        <v>15000</v>
      </c>
      <c r="E126" s="160">
        <f t="shared" si="1"/>
        <v>15000</v>
      </c>
    </row>
    <row r="127" spans="1:5">
      <c r="A127" s="159" t="s">
        <v>329</v>
      </c>
      <c r="B127" s="158">
        <v>4</v>
      </c>
      <c r="C127" s="158" t="s">
        <v>201</v>
      </c>
      <c r="D127" s="161">
        <v>12000</v>
      </c>
      <c r="E127" s="160">
        <f t="shared" si="1"/>
        <v>48000</v>
      </c>
    </row>
    <row r="128" spans="1:5">
      <c r="A128" s="159" t="s">
        <v>331</v>
      </c>
      <c r="B128" s="158">
        <v>1</v>
      </c>
      <c r="C128" s="158" t="s">
        <v>201</v>
      </c>
      <c r="D128" s="161">
        <v>28000</v>
      </c>
      <c r="E128" s="160">
        <f t="shared" si="1"/>
        <v>28000</v>
      </c>
    </row>
    <row r="129" spans="1:5">
      <c r="A129" s="159" t="s">
        <v>42</v>
      </c>
      <c r="B129" s="158">
        <v>1</v>
      </c>
      <c r="C129" s="158" t="s">
        <v>201</v>
      </c>
      <c r="D129" s="161">
        <v>200000</v>
      </c>
      <c r="E129" s="160">
        <f t="shared" si="1"/>
        <v>200000</v>
      </c>
    </row>
    <row r="130" spans="1:5">
      <c r="A130" s="159" t="s">
        <v>41</v>
      </c>
      <c r="B130" s="158">
        <v>0</v>
      </c>
      <c r="C130" s="158" t="s">
        <v>201</v>
      </c>
      <c r="D130" s="161">
        <v>150000</v>
      </c>
      <c r="E130" s="160">
        <f t="shared" ref="E130:E193" si="2">B130*D130</f>
        <v>0</v>
      </c>
    </row>
    <row r="131" spans="1:5">
      <c r="A131" s="159" t="s">
        <v>3</v>
      </c>
      <c r="B131" s="158">
        <v>2.5</v>
      </c>
      <c r="C131" s="158" t="s">
        <v>201</v>
      </c>
      <c r="D131" s="161">
        <v>100000</v>
      </c>
      <c r="E131" s="160">
        <f t="shared" si="2"/>
        <v>250000</v>
      </c>
    </row>
    <row r="132" spans="1:5">
      <c r="A132" s="159" t="s">
        <v>4</v>
      </c>
      <c r="B132" s="158">
        <v>2</v>
      </c>
      <c r="C132" s="158" t="s">
        <v>201</v>
      </c>
      <c r="D132" s="161">
        <v>75000</v>
      </c>
      <c r="E132" s="160">
        <f t="shared" si="2"/>
        <v>150000</v>
      </c>
    </row>
    <row r="133" spans="1:5">
      <c r="A133" s="159" t="s">
        <v>67</v>
      </c>
      <c r="B133" s="158">
        <v>8</v>
      </c>
      <c r="C133" s="158" t="s">
        <v>201</v>
      </c>
      <c r="D133" s="161">
        <v>500</v>
      </c>
      <c r="E133" s="160">
        <f t="shared" si="2"/>
        <v>4000</v>
      </c>
    </row>
    <row r="134" spans="1:5">
      <c r="A134" s="159" t="s">
        <v>68</v>
      </c>
      <c r="B134" s="158">
        <v>10</v>
      </c>
      <c r="C134" s="158" t="s">
        <v>201</v>
      </c>
      <c r="D134" s="161">
        <v>500</v>
      </c>
      <c r="E134" s="160">
        <f t="shared" si="2"/>
        <v>5000</v>
      </c>
    </row>
    <row r="135" spans="1:5">
      <c r="A135" s="159" t="s">
        <v>70</v>
      </c>
      <c r="B135" s="158">
        <v>18</v>
      </c>
      <c r="C135" s="158" t="s">
        <v>201</v>
      </c>
      <c r="D135" s="161">
        <v>6000</v>
      </c>
      <c r="E135" s="160">
        <f t="shared" si="2"/>
        <v>108000</v>
      </c>
    </row>
    <row r="136" spans="1:5">
      <c r="A136" s="159" t="s">
        <v>380</v>
      </c>
      <c r="B136" s="158">
        <v>8</v>
      </c>
      <c r="C136" s="158" t="s">
        <v>201</v>
      </c>
      <c r="D136" s="161">
        <v>15000</v>
      </c>
      <c r="E136" s="160">
        <f t="shared" si="2"/>
        <v>120000</v>
      </c>
    </row>
    <row r="137" spans="1:5">
      <c r="A137" s="159" t="s">
        <v>16</v>
      </c>
      <c r="B137" s="158">
        <v>1</v>
      </c>
      <c r="C137" s="158" t="s">
        <v>201</v>
      </c>
      <c r="D137" s="161">
        <v>150000</v>
      </c>
      <c r="E137" s="160">
        <f t="shared" si="2"/>
        <v>150000</v>
      </c>
    </row>
    <row r="138" spans="1:5">
      <c r="A138" s="159" t="s">
        <v>17</v>
      </c>
      <c r="B138" s="158">
        <v>1</v>
      </c>
      <c r="C138" s="158" t="s">
        <v>201</v>
      </c>
      <c r="D138" s="161">
        <v>150000</v>
      </c>
      <c r="E138" s="160">
        <f t="shared" si="2"/>
        <v>150000</v>
      </c>
    </row>
    <row r="139" spans="1:5">
      <c r="A139" s="159" t="s">
        <v>333</v>
      </c>
      <c r="B139" s="158">
        <v>1</v>
      </c>
      <c r="C139" s="158" t="s">
        <v>201</v>
      </c>
      <c r="D139" s="161">
        <v>2500000</v>
      </c>
      <c r="E139" s="160">
        <f t="shared" si="2"/>
        <v>2500000</v>
      </c>
    </row>
    <row r="140" spans="1:5">
      <c r="A140" s="159" t="s">
        <v>291</v>
      </c>
      <c r="B140" s="158">
        <v>1</v>
      </c>
      <c r="C140" s="158" t="s">
        <v>201</v>
      </c>
      <c r="D140" s="161">
        <v>1000000</v>
      </c>
      <c r="E140" s="160">
        <f t="shared" si="2"/>
        <v>1000000</v>
      </c>
    </row>
    <row r="141" spans="1:5">
      <c r="A141" s="159" t="s">
        <v>292</v>
      </c>
      <c r="B141" s="158">
        <v>1</v>
      </c>
      <c r="C141" s="158" t="s">
        <v>201</v>
      </c>
      <c r="D141" s="161">
        <v>200000</v>
      </c>
      <c r="E141" s="160">
        <f t="shared" si="2"/>
        <v>200000</v>
      </c>
    </row>
    <row r="142" spans="1:5">
      <c r="A142" s="159" t="s">
        <v>293</v>
      </c>
      <c r="B142" s="158">
        <v>1</v>
      </c>
      <c r="C142" s="158" t="s">
        <v>201</v>
      </c>
      <c r="D142" s="161">
        <v>500000</v>
      </c>
      <c r="E142" s="160">
        <f t="shared" si="2"/>
        <v>500000</v>
      </c>
    </row>
    <row r="143" spans="1:5">
      <c r="A143" s="159" t="s">
        <v>193</v>
      </c>
      <c r="B143" s="158">
        <v>1</v>
      </c>
      <c r="C143" s="158" t="s">
        <v>201</v>
      </c>
      <c r="D143" s="161">
        <v>650000</v>
      </c>
      <c r="E143" s="160">
        <f t="shared" si="2"/>
        <v>650000</v>
      </c>
    </row>
    <row r="144" spans="1:5">
      <c r="A144" s="159" t="s">
        <v>294</v>
      </c>
      <c r="B144" s="158">
        <v>1</v>
      </c>
      <c r="C144" s="158" t="s">
        <v>201</v>
      </c>
      <c r="D144" s="161">
        <v>300000</v>
      </c>
      <c r="E144" s="160">
        <f t="shared" si="2"/>
        <v>300000</v>
      </c>
    </row>
    <row r="145" spans="1:5">
      <c r="A145" s="159" t="s">
        <v>2</v>
      </c>
      <c r="B145" s="158">
        <v>1</v>
      </c>
      <c r="C145" s="158" t="s">
        <v>201</v>
      </c>
      <c r="D145" s="161">
        <v>950000</v>
      </c>
      <c r="E145" s="160">
        <f t="shared" si="2"/>
        <v>950000</v>
      </c>
    </row>
    <row r="146" spans="1:5">
      <c r="A146" s="159" t="s">
        <v>22</v>
      </c>
      <c r="B146" s="158">
        <v>1</v>
      </c>
      <c r="C146" s="158" t="s">
        <v>201</v>
      </c>
      <c r="D146" s="161">
        <v>650000</v>
      </c>
      <c r="E146" s="160">
        <f t="shared" si="2"/>
        <v>650000</v>
      </c>
    </row>
    <row r="147" spans="1:5">
      <c r="A147" s="159" t="s">
        <v>21</v>
      </c>
      <c r="B147" s="158">
        <v>1</v>
      </c>
      <c r="C147" s="158" t="s">
        <v>201</v>
      </c>
      <c r="D147" s="161">
        <v>300000</v>
      </c>
      <c r="E147" s="160">
        <f t="shared" si="2"/>
        <v>300000</v>
      </c>
    </row>
    <row r="148" spans="1:5">
      <c r="A148" s="159" t="s">
        <v>8</v>
      </c>
      <c r="B148" s="158">
        <v>1</v>
      </c>
      <c r="C148" s="158" t="s">
        <v>201</v>
      </c>
      <c r="D148" s="161">
        <v>4500000</v>
      </c>
      <c r="E148" s="160">
        <f t="shared" si="2"/>
        <v>4500000</v>
      </c>
    </row>
    <row r="149" spans="1:5">
      <c r="A149" s="159" t="s">
        <v>9</v>
      </c>
      <c r="B149" s="158">
        <v>1</v>
      </c>
      <c r="C149" s="158" t="s">
        <v>201</v>
      </c>
      <c r="D149" s="161">
        <v>750000</v>
      </c>
      <c r="E149" s="160">
        <f t="shared" si="2"/>
        <v>750000</v>
      </c>
    </row>
    <row r="150" spans="1:5">
      <c r="A150" s="159" t="s">
        <v>335</v>
      </c>
      <c r="B150" s="158">
        <v>1</v>
      </c>
      <c r="C150" s="158" t="s">
        <v>201</v>
      </c>
      <c r="D150" s="161">
        <v>500000</v>
      </c>
      <c r="E150" s="160">
        <f t="shared" si="2"/>
        <v>500000</v>
      </c>
    </row>
    <row r="151" spans="1:5">
      <c r="A151" s="159" t="s">
        <v>336</v>
      </c>
      <c r="B151" s="158">
        <v>1</v>
      </c>
      <c r="C151" s="158" t="s">
        <v>201</v>
      </c>
      <c r="D151" s="161">
        <v>300000</v>
      </c>
      <c r="E151" s="160">
        <f t="shared" si="2"/>
        <v>300000</v>
      </c>
    </row>
    <row r="152" spans="1:5">
      <c r="A152" s="159" t="s">
        <v>13</v>
      </c>
      <c r="B152" s="158">
        <v>13</v>
      </c>
      <c r="C152" s="158" t="s">
        <v>202</v>
      </c>
      <c r="D152" s="161">
        <v>160000</v>
      </c>
      <c r="E152" s="160">
        <f t="shared" si="2"/>
        <v>2080000</v>
      </c>
    </row>
    <row r="153" spans="1:5">
      <c r="A153" s="159" t="s">
        <v>261</v>
      </c>
      <c r="B153" s="158">
        <v>0</v>
      </c>
      <c r="C153" s="158" t="s">
        <v>202</v>
      </c>
      <c r="D153" s="161">
        <v>165000</v>
      </c>
      <c r="E153" s="160">
        <f t="shared" si="2"/>
        <v>0</v>
      </c>
    </row>
    <row r="154" spans="1:5">
      <c r="A154" s="159" t="s">
        <v>14</v>
      </c>
      <c r="B154" s="158">
        <v>37</v>
      </c>
      <c r="C154" s="158" t="s">
        <v>202</v>
      </c>
      <c r="D154" s="161">
        <v>140000</v>
      </c>
      <c r="E154" s="160">
        <f t="shared" si="2"/>
        <v>5180000</v>
      </c>
    </row>
    <row r="155" spans="1:5">
      <c r="A155" s="159" t="s">
        <v>23</v>
      </c>
      <c r="B155" s="158">
        <v>13</v>
      </c>
      <c r="C155" s="158" t="s">
        <v>202</v>
      </c>
      <c r="D155" s="161">
        <v>150000</v>
      </c>
      <c r="E155" s="160">
        <f t="shared" si="2"/>
        <v>1950000</v>
      </c>
    </row>
    <row r="156" spans="1:5">
      <c r="A156" s="159" t="s">
        <v>18</v>
      </c>
      <c r="B156" s="158">
        <v>80</v>
      </c>
      <c r="C156" s="158" t="s">
        <v>202</v>
      </c>
      <c r="D156" s="161">
        <v>12800</v>
      </c>
      <c r="E156" s="160">
        <f t="shared" si="2"/>
        <v>1024000</v>
      </c>
    </row>
    <row r="157" spans="1:5">
      <c r="A157" s="159" t="s">
        <v>19</v>
      </c>
      <c r="B157" s="158">
        <v>85</v>
      </c>
      <c r="C157" s="158" t="s">
        <v>202</v>
      </c>
      <c r="D157" s="161">
        <v>11100</v>
      </c>
      <c r="E157" s="160">
        <f t="shared" si="2"/>
        <v>943500</v>
      </c>
    </row>
    <row r="158" spans="1:5">
      <c r="A158" s="159" t="s">
        <v>259</v>
      </c>
      <c r="B158" s="158">
        <v>2000</v>
      </c>
      <c r="C158" s="158" t="s">
        <v>202</v>
      </c>
      <c r="D158" s="161">
        <v>58</v>
      </c>
      <c r="E158" s="160">
        <f t="shared" si="2"/>
        <v>116000</v>
      </c>
    </row>
    <row r="159" spans="1:5">
      <c r="A159" s="159" t="s">
        <v>260</v>
      </c>
      <c r="B159" s="158">
        <v>6000</v>
      </c>
      <c r="C159" s="158" t="s">
        <v>202</v>
      </c>
      <c r="D159" s="161">
        <v>35</v>
      </c>
      <c r="E159" s="160">
        <f t="shared" si="2"/>
        <v>210000</v>
      </c>
    </row>
    <row r="160" spans="1:5">
      <c r="A160" s="159" t="s">
        <v>299</v>
      </c>
      <c r="B160" s="158">
        <v>0</v>
      </c>
      <c r="C160" s="158" t="s">
        <v>202</v>
      </c>
      <c r="D160" s="161">
        <v>1250</v>
      </c>
      <c r="E160" s="160">
        <f t="shared" si="2"/>
        <v>0</v>
      </c>
    </row>
    <row r="161" spans="1:5">
      <c r="A161" s="159" t="s">
        <v>300</v>
      </c>
      <c r="B161" s="158">
        <v>600</v>
      </c>
      <c r="C161" s="158" t="s">
        <v>202</v>
      </c>
      <c r="D161" s="161">
        <v>1250</v>
      </c>
      <c r="E161" s="160">
        <f t="shared" si="2"/>
        <v>750000</v>
      </c>
    </row>
    <row r="162" spans="1:5">
      <c r="A162" s="159" t="s">
        <v>220</v>
      </c>
      <c r="B162" s="158">
        <v>300</v>
      </c>
      <c r="C162" s="158" t="s">
        <v>202</v>
      </c>
      <c r="D162" s="161">
        <v>750</v>
      </c>
      <c r="E162" s="160">
        <f t="shared" si="2"/>
        <v>225000</v>
      </c>
    </row>
    <row r="163" spans="1:5">
      <c r="A163" s="159" t="s">
        <v>268</v>
      </c>
      <c r="B163" s="158">
        <v>0</v>
      </c>
      <c r="C163" s="158" t="s">
        <v>202</v>
      </c>
      <c r="D163" s="161">
        <v>175</v>
      </c>
      <c r="E163" s="160">
        <f t="shared" si="2"/>
        <v>0</v>
      </c>
    </row>
    <row r="164" spans="1:5">
      <c r="A164" s="159" t="s">
        <v>221</v>
      </c>
      <c r="B164" s="158">
        <v>400</v>
      </c>
      <c r="C164" s="158" t="s">
        <v>202</v>
      </c>
      <c r="D164" s="161">
        <v>175</v>
      </c>
      <c r="E164" s="160">
        <f t="shared" si="2"/>
        <v>70000</v>
      </c>
    </row>
    <row r="165" spans="1:5">
      <c r="A165" s="159" t="s">
        <v>222</v>
      </c>
      <c r="B165" s="158">
        <v>3</v>
      </c>
      <c r="C165" s="158" t="s">
        <v>202</v>
      </c>
      <c r="D165" s="161">
        <v>90000</v>
      </c>
      <c r="E165" s="160">
        <f t="shared" si="2"/>
        <v>270000</v>
      </c>
    </row>
    <row r="166" spans="1:5">
      <c r="A166" s="159" t="s">
        <v>337</v>
      </c>
      <c r="B166" s="158">
        <v>36</v>
      </c>
      <c r="C166" s="158" t="s">
        <v>202</v>
      </c>
      <c r="D166" s="161">
        <v>21000</v>
      </c>
      <c r="E166" s="160">
        <f t="shared" si="2"/>
        <v>756000</v>
      </c>
    </row>
    <row r="167" spans="1:5">
      <c r="A167" s="159" t="s">
        <v>269</v>
      </c>
      <c r="B167" s="158">
        <v>7</v>
      </c>
      <c r="C167" s="158" t="s">
        <v>202</v>
      </c>
      <c r="D167" s="161">
        <v>40000</v>
      </c>
      <c r="E167" s="160">
        <f t="shared" si="2"/>
        <v>280000</v>
      </c>
    </row>
    <row r="168" spans="1:5">
      <c r="A168" s="159" t="s">
        <v>270</v>
      </c>
      <c r="B168" s="158">
        <v>7</v>
      </c>
      <c r="C168" s="158" t="s">
        <v>202</v>
      </c>
      <c r="D168" s="161">
        <v>13000</v>
      </c>
      <c r="E168" s="160">
        <f t="shared" si="2"/>
        <v>91000</v>
      </c>
    </row>
    <row r="169" spans="1:5">
      <c r="A169" s="159" t="s">
        <v>385</v>
      </c>
      <c r="B169" s="158">
        <v>19</v>
      </c>
      <c r="C169" s="158" t="s">
        <v>202</v>
      </c>
      <c r="D169" s="161">
        <v>450000</v>
      </c>
      <c r="E169" s="160">
        <f t="shared" si="2"/>
        <v>8550000</v>
      </c>
    </row>
    <row r="170" spans="1:5">
      <c r="A170" s="159" t="s">
        <v>272</v>
      </c>
      <c r="B170" s="158">
        <v>3</v>
      </c>
      <c r="C170" s="158" t="s">
        <v>202</v>
      </c>
      <c r="D170" s="161">
        <v>220000</v>
      </c>
      <c r="E170" s="160">
        <f t="shared" si="2"/>
        <v>660000</v>
      </c>
    </row>
    <row r="171" spans="1:5">
      <c r="A171" s="159" t="s">
        <v>273</v>
      </c>
      <c r="B171" s="158">
        <v>5</v>
      </c>
      <c r="C171" s="158" t="s">
        <v>202</v>
      </c>
      <c r="D171" s="161">
        <v>90000</v>
      </c>
      <c r="E171" s="160">
        <f t="shared" si="2"/>
        <v>450000</v>
      </c>
    </row>
    <row r="172" spans="1:5">
      <c r="A172" s="159" t="s">
        <v>224</v>
      </c>
      <c r="B172" s="158">
        <v>11</v>
      </c>
      <c r="C172" s="158" t="s">
        <v>202</v>
      </c>
      <c r="D172" s="161">
        <v>60000</v>
      </c>
      <c r="E172" s="160">
        <f t="shared" si="2"/>
        <v>660000</v>
      </c>
    </row>
    <row r="173" spans="1:5">
      <c r="A173" s="159" t="s">
        <v>274</v>
      </c>
      <c r="B173" s="158">
        <v>0</v>
      </c>
      <c r="C173" s="158" t="s">
        <v>202</v>
      </c>
      <c r="D173" s="161">
        <v>90000</v>
      </c>
      <c r="E173" s="160">
        <f t="shared" si="2"/>
        <v>0</v>
      </c>
    </row>
    <row r="174" spans="1:5">
      <c r="A174" s="159" t="s">
        <v>226</v>
      </c>
      <c r="B174" s="158">
        <v>0</v>
      </c>
      <c r="C174" s="158" t="s">
        <v>202</v>
      </c>
      <c r="D174" s="161">
        <v>0</v>
      </c>
      <c r="E174" s="160">
        <f t="shared" si="2"/>
        <v>0</v>
      </c>
    </row>
    <row r="175" spans="1:5">
      <c r="A175" s="159" t="s">
        <v>227</v>
      </c>
      <c r="B175" s="158">
        <v>0</v>
      </c>
      <c r="C175" s="158" t="s">
        <v>202</v>
      </c>
      <c r="D175" s="161">
        <v>0</v>
      </c>
      <c r="E175" s="160">
        <f t="shared" si="2"/>
        <v>0</v>
      </c>
    </row>
    <row r="176" spans="1:5">
      <c r="A176" s="159" t="s">
        <v>225</v>
      </c>
      <c r="B176" s="158">
        <v>0</v>
      </c>
      <c r="C176" s="158" t="s">
        <v>202</v>
      </c>
      <c r="D176" s="161">
        <v>0</v>
      </c>
      <c r="E176" s="160">
        <f t="shared" si="2"/>
        <v>0</v>
      </c>
    </row>
    <row r="177" spans="1:5">
      <c r="A177" s="159" t="s">
        <v>31</v>
      </c>
      <c r="B177" s="158">
        <v>1</v>
      </c>
      <c r="C177" s="158" t="s">
        <v>202</v>
      </c>
      <c r="D177" s="161">
        <v>300000</v>
      </c>
      <c r="E177" s="160">
        <f t="shared" si="2"/>
        <v>300000</v>
      </c>
    </row>
    <row r="178" spans="1:5">
      <c r="A178" s="159" t="s">
        <v>11</v>
      </c>
      <c r="B178" s="158">
        <v>1</v>
      </c>
      <c r="C178" s="158" t="s">
        <v>202</v>
      </c>
      <c r="D178" s="161">
        <v>65000</v>
      </c>
      <c r="E178" s="160">
        <f t="shared" si="2"/>
        <v>65000</v>
      </c>
    </row>
    <row r="179" spans="1:5">
      <c r="A179" s="159" t="s">
        <v>32</v>
      </c>
      <c r="B179" s="158">
        <v>1</v>
      </c>
      <c r="C179" s="158" t="s">
        <v>202</v>
      </c>
      <c r="D179" s="161">
        <v>250000</v>
      </c>
      <c r="E179" s="160">
        <f t="shared" si="2"/>
        <v>250000</v>
      </c>
    </row>
    <row r="180" spans="1:5">
      <c r="A180" s="159" t="s">
        <v>327</v>
      </c>
      <c r="B180" s="158">
        <v>130</v>
      </c>
      <c r="C180" s="158" t="s">
        <v>202</v>
      </c>
      <c r="D180" s="161">
        <v>30000</v>
      </c>
      <c r="E180" s="160">
        <f t="shared" si="2"/>
        <v>3900000</v>
      </c>
    </row>
    <row r="181" spans="1:5">
      <c r="A181" s="159" t="s">
        <v>100</v>
      </c>
      <c r="B181" s="158">
        <v>0</v>
      </c>
      <c r="C181" s="158" t="s">
        <v>202</v>
      </c>
      <c r="D181" s="161">
        <v>30000</v>
      </c>
      <c r="E181" s="160">
        <f t="shared" si="2"/>
        <v>0</v>
      </c>
    </row>
    <row r="182" spans="1:5">
      <c r="A182" s="159" t="s">
        <v>328</v>
      </c>
      <c r="B182" s="158">
        <v>0</v>
      </c>
      <c r="C182" s="158" t="s">
        <v>202</v>
      </c>
      <c r="D182" s="161">
        <v>50000</v>
      </c>
      <c r="E182" s="160">
        <f t="shared" si="2"/>
        <v>0</v>
      </c>
    </row>
    <row r="183" spans="1:5">
      <c r="A183" s="159" t="s">
        <v>325</v>
      </c>
      <c r="B183" s="158">
        <v>75</v>
      </c>
      <c r="C183" s="158" t="s">
        <v>202</v>
      </c>
      <c r="D183" s="161">
        <v>15000</v>
      </c>
      <c r="E183" s="160">
        <f t="shared" si="2"/>
        <v>1125000</v>
      </c>
    </row>
    <row r="184" spans="1:5">
      <c r="A184" s="159" t="s">
        <v>326</v>
      </c>
      <c r="B184" s="158">
        <v>75</v>
      </c>
      <c r="C184" s="158" t="s">
        <v>202</v>
      </c>
      <c r="D184" s="161">
        <v>15000</v>
      </c>
      <c r="E184" s="160">
        <f t="shared" si="2"/>
        <v>1125000</v>
      </c>
    </row>
    <row r="185" spans="1:5">
      <c r="A185" s="159" t="s">
        <v>276</v>
      </c>
      <c r="B185" s="158">
        <v>6</v>
      </c>
      <c r="C185" s="158" t="s">
        <v>202</v>
      </c>
      <c r="D185" s="161">
        <v>75000</v>
      </c>
      <c r="E185" s="160">
        <f t="shared" si="2"/>
        <v>450000</v>
      </c>
    </row>
    <row r="186" spans="1:5">
      <c r="A186" s="159" t="s">
        <v>277</v>
      </c>
      <c r="B186" s="158">
        <v>2</v>
      </c>
      <c r="C186" s="158" t="s">
        <v>202</v>
      </c>
      <c r="D186" s="161">
        <v>75000</v>
      </c>
      <c r="E186" s="160">
        <f t="shared" si="2"/>
        <v>150000</v>
      </c>
    </row>
    <row r="187" spans="1:5">
      <c r="A187" s="159" t="s">
        <v>6</v>
      </c>
      <c r="B187" s="158">
        <v>36</v>
      </c>
      <c r="C187" s="158" t="s">
        <v>202</v>
      </c>
      <c r="D187" s="161">
        <v>30000</v>
      </c>
      <c r="E187" s="160">
        <f t="shared" si="2"/>
        <v>1080000</v>
      </c>
    </row>
    <row r="188" spans="1:5">
      <c r="A188" s="159" t="s">
        <v>12</v>
      </c>
      <c r="B188" s="158">
        <v>20</v>
      </c>
      <c r="C188" s="158" t="s">
        <v>202</v>
      </c>
      <c r="D188" s="161">
        <v>12000</v>
      </c>
      <c r="E188" s="160">
        <f t="shared" si="2"/>
        <v>240000</v>
      </c>
    </row>
    <row r="189" spans="1:5">
      <c r="A189" s="159" t="s">
        <v>278</v>
      </c>
      <c r="B189" s="158">
        <v>1</v>
      </c>
      <c r="C189" s="158" t="s">
        <v>202</v>
      </c>
      <c r="D189" s="161">
        <v>1500000</v>
      </c>
      <c r="E189" s="160">
        <f t="shared" si="2"/>
        <v>1500000</v>
      </c>
    </row>
    <row r="190" spans="1:5">
      <c r="A190" s="159" t="s">
        <v>279</v>
      </c>
      <c r="B190" s="158">
        <v>0</v>
      </c>
      <c r="C190" s="158" t="s">
        <v>202</v>
      </c>
      <c r="D190" s="161">
        <v>0</v>
      </c>
      <c r="E190" s="160">
        <f t="shared" si="2"/>
        <v>0</v>
      </c>
    </row>
    <row r="191" spans="1:5">
      <c r="A191" s="159" t="s">
        <v>280</v>
      </c>
      <c r="B191" s="158">
        <v>1</v>
      </c>
      <c r="C191" s="158" t="s">
        <v>202</v>
      </c>
      <c r="D191" s="161">
        <v>1000000</v>
      </c>
      <c r="E191" s="160">
        <f t="shared" si="2"/>
        <v>1000000</v>
      </c>
    </row>
    <row r="192" spans="1:5">
      <c r="A192" s="159" t="s">
        <v>437</v>
      </c>
      <c r="B192" s="158">
        <v>0</v>
      </c>
      <c r="C192" s="158" t="s">
        <v>202</v>
      </c>
      <c r="D192" s="161">
        <v>0</v>
      </c>
      <c r="E192" s="160">
        <f t="shared" si="2"/>
        <v>0</v>
      </c>
    </row>
    <row r="193" spans="1:5">
      <c r="A193" s="159" t="s">
        <v>281</v>
      </c>
      <c r="B193" s="158">
        <v>1</v>
      </c>
      <c r="C193" s="158" t="s">
        <v>202</v>
      </c>
      <c r="D193" s="161">
        <v>850000</v>
      </c>
      <c r="E193" s="160">
        <f t="shared" si="2"/>
        <v>850000</v>
      </c>
    </row>
    <row r="194" spans="1:5">
      <c r="A194" s="159" t="s">
        <v>284</v>
      </c>
      <c r="B194" s="158">
        <v>2</v>
      </c>
      <c r="C194" s="158" t="s">
        <v>202</v>
      </c>
      <c r="D194" s="161">
        <v>600000</v>
      </c>
      <c r="E194" s="160">
        <f t="shared" ref="E194:E257" si="3">B194*D194</f>
        <v>1200000</v>
      </c>
    </row>
    <row r="195" spans="1:5">
      <c r="A195" s="159" t="s">
        <v>285</v>
      </c>
      <c r="B195" s="158">
        <v>0</v>
      </c>
      <c r="C195" s="158" t="s">
        <v>202</v>
      </c>
      <c r="D195" s="161">
        <v>0</v>
      </c>
      <c r="E195" s="160">
        <f t="shared" si="3"/>
        <v>0</v>
      </c>
    </row>
    <row r="196" spans="1:5">
      <c r="A196" s="159" t="s">
        <v>288</v>
      </c>
      <c r="B196" s="158">
        <v>0</v>
      </c>
      <c r="C196" s="158" t="s">
        <v>202</v>
      </c>
      <c r="D196" s="161">
        <v>0</v>
      </c>
      <c r="E196" s="160">
        <f t="shared" si="3"/>
        <v>0</v>
      </c>
    </row>
    <row r="197" spans="1:5">
      <c r="A197" s="159" t="s">
        <v>289</v>
      </c>
      <c r="B197" s="158">
        <v>2</v>
      </c>
      <c r="C197" s="158" t="s">
        <v>202</v>
      </c>
      <c r="D197" s="161">
        <v>600000</v>
      </c>
      <c r="E197" s="160">
        <f t="shared" si="3"/>
        <v>1200000</v>
      </c>
    </row>
    <row r="198" spans="1:5">
      <c r="A198" s="159" t="s">
        <v>290</v>
      </c>
      <c r="B198" s="158">
        <v>1</v>
      </c>
      <c r="C198" s="158" t="s">
        <v>202</v>
      </c>
      <c r="D198" s="161">
        <v>250000</v>
      </c>
      <c r="E198" s="160">
        <f t="shared" si="3"/>
        <v>250000</v>
      </c>
    </row>
    <row r="199" spans="1:5">
      <c r="A199" s="159" t="s">
        <v>296</v>
      </c>
      <c r="B199" s="158">
        <v>3</v>
      </c>
      <c r="C199" s="158" t="s">
        <v>202</v>
      </c>
      <c r="D199" s="161">
        <v>50000</v>
      </c>
      <c r="E199" s="160">
        <f t="shared" si="3"/>
        <v>150000</v>
      </c>
    </row>
    <row r="200" spans="1:5">
      <c r="A200" s="159" t="s">
        <v>295</v>
      </c>
      <c r="B200" s="158">
        <v>1</v>
      </c>
      <c r="C200" s="158" t="s">
        <v>202</v>
      </c>
      <c r="D200" s="161">
        <v>15000</v>
      </c>
      <c r="E200" s="160">
        <f t="shared" si="3"/>
        <v>15000</v>
      </c>
    </row>
    <row r="201" spans="1:5">
      <c r="A201" s="159" t="s">
        <v>330</v>
      </c>
      <c r="B201" s="158">
        <v>2</v>
      </c>
      <c r="C201" s="158" t="s">
        <v>202</v>
      </c>
      <c r="D201" s="161">
        <v>15000</v>
      </c>
      <c r="E201" s="160">
        <f t="shared" si="3"/>
        <v>30000</v>
      </c>
    </row>
    <row r="202" spans="1:5">
      <c r="A202" s="159" t="s">
        <v>329</v>
      </c>
      <c r="B202" s="158">
        <v>4</v>
      </c>
      <c r="C202" s="158" t="s">
        <v>202</v>
      </c>
      <c r="D202" s="161">
        <v>12000</v>
      </c>
      <c r="E202" s="160">
        <f t="shared" si="3"/>
        <v>48000</v>
      </c>
    </row>
    <row r="203" spans="1:5">
      <c r="A203" s="159" t="s">
        <v>331</v>
      </c>
      <c r="B203" s="158">
        <v>1</v>
      </c>
      <c r="C203" s="158" t="s">
        <v>202</v>
      </c>
      <c r="D203" s="161">
        <v>28000</v>
      </c>
      <c r="E203" s="160">
        <f t="shared" si="3"/>
        <v>28000</v>
      </c>
    </row>
    <row r="204" spans="1:5">
      <c r="A204" s="159" t="s">
        <v>42</v>
      </c>
      <c r="B204" s="158">
        <v>2</v>
      </c>
      <c r="C204" s="158" t="s">
        <v>202</v>
      </c>
      <c r="D204" s="161">
        <v>200000</v>
      </c>
      <c r="E204" s="160">
        <f t="shared" si="3"/>
        <v>400000</v>
      </c>
    </row>
    <row r="205" spans="1:5">
      <c r="A205" s="159" t="s">
        <v>41</v>
      </c>
      <c r="B205" s="158">
        <v>0</v>
      </c>
      <c r="C205" s="158" t="s">
        <v>202</v>
      </c>
      <c r="D205" s="161">
        <v>150000</v>
      </c>
      <c r="E205" s="160">
        <f t="shared" si="3"/>
        <v>0</v>
      </c>
    </row>
    <row r="206" spans="1:5">
      <c r="A206" s="159" t="s">
        <v>3</v>
      </c>
      <c r="B206" s="158">
        <v>3</v>
      </c>
      <c r="C206" s="158" t="s">
        <v>202</v>
      </c>
      <c r="D206" s="161">
        <v>100000</v>
      </c>
      <c r="E206" s="160">
        <f t="shared" si="3"/>
        <v>300000</v>
      </c>
    </row>
    <row r="207" spans="1:5">
      <c r="A207" s="159" t="s">
        <v>4</v>
      </c>
      <c r="B207" s="158">
        <v>3</v>
      </c>
      <c r="C207" s="158" t="s">
        <v>202</v>
      </c>
      <c r="D207" s="161">
        <v>75000</v>
      </c>
      <c r="E207" s="160">
        <f t="shared" si="3"/>
        <v>225000</v>
      </c>
    </row>
    <row r="208" spans="1:5">
      <c r="A208" s="159" t="s">
        <v>67</v>
      </c>
      <c r="B208" s="158">
        <v>8</v>
      </c>
      <c r="C208" s="158" t="s">
        <v>202</v>
      </c>
      <c r="D208" s="161">
        <v>500</v>
      </c>
      <c r="E208" s="160">
        <f t="shared" si="3"/>
        <v>4000</v>
      </c>
    </row>
    <row r="209" spans="1:5">
      <c r="A209" s="159" t="s">
        <v>68</v>
      </c>
      <c r="B209" s="158">
        <v>18</v>
      </c>
      <c r="C209" s="158" t="s">
        <v>202</v>
      </c>
      <c r="D209" s="161">
        <v>500</v>
      </c>
      <c r="E209" s="160">
        <f t="shared" si="3"/>
        <v>9000</v>
      </c>
    </row>
    <row r="210" spans="1:5">
      <c r="A210" s="159" t="s">
        <v>70</v>
      </c>
      <c r="B210" s="158">
        <v>18</v>
      </c>
      <c r="C210" s="158" t="s">
        <v>202</v>
      </c>
      <c r="D210" s="161">
        <v>6000</v>
      </c>
      <c r="E210" s="160">
        <f t="shared" si="3"/>
        <v>108000</v>
      </c>
    </row>
    <row r="211" spans="1:5">
      <c r="A211" s="159" t="s">
        <v>380</v>
      </c>
      <c r="B211" s="158">
        <v>12</v>
      </c>
      <c r="C211" s="158" t="s">
        <v>202</v>
      </c>
      <c r="D211" s="161">
        <v>15000</v>
      </c>
      <c r="E211" s="160">
        <f t="shared" si="3"/>
        <v>180000</v>
      </c>
    </row>
    <row r="212" spans="1:5">
      <c r="A212" s="159" t="s">
        <v>16</v>
      </c>
      <c r="B212" s="158">
        <v>1</v>
      </c>
      <c r="C212" s="158" t="s">
        <v>202</v>
      </c>
      <c r="D212" s="161">
        <v>150000</v>
      </c>
      <c r="E212" s="160">
        <f t="shared" si="3"/>
        <v>150000</v>
      </c>
    </row>
    <row r="213" spans="1:5">
      <c r="A213" s="159" t="s">
        <v>17</v>
      </c>
      <c r="B213" s="158">
        <v>1</v>
      </c>
      <c r="C213" s="158" t="s">
        <v>202</v>
      </c>
      <c r="D213" s="161">
        <v>150000</v>
      </c>
      <c r="E213" s="160">
        <f t="shared" si="3"/>
        <v>150000</v>
      </c>
    </row>
    <row r="214" spans="1:5">
      <c r="A214" s="159" t="s">
        <v>333</v>
      </c>
      <c r="B214" s="158">
        <v>1</v>
      </c>
      <c r="C214" s="158" t="s">
        <v>202</v>
      </c>
      <c r="D214" s="161">
        <v>2500000</v>
      </c>
      <c r="E214" s="160">
        <f t="shared" si="3"/>
        <v>2500000</v>
      </c>
    </row>
    <row r="215" spans="1:5">
      <c r="A215" s="159" t="s">
        <v>291</v>
      </c>
      <c r="B215" s="158">
        <v>1</v>
      </c>
      <c r="C215" s="158" t="s">
        <v>202</v>
      </c>
      <c r="D215" s="161">
        <v>1000000</v>
      </c>
      <c r="E215" s="160">
        <f t="shared" si="3"/>
        <v>1000000</v>
      </c>
    </row>
    <row r="216" spans="1:5">
      <c r="A216" s="159" t="s">
        <v>292</v>
      </c>
      <c r="B216" s="158">
        <v>1</v>
      </c>
      <c r="C216" s="158" t="s">
        <v>202</v>
      </c>
      <c r="D216" s="161">
        <v>200000</v>
      </c>
      <c r="E216" s="160">
        <f t="shared" si="3"/>
        <v>200000</v>
      </c>
    </row>
    <row r="217" spans="1:5">
      <c r="A217" s="159" t="s">
        <v>293</v>
      </c>
      <c r="B217" s="158">
        <v>1</v>
      </c>
      <c r="C217" s="158" t="s">
        <v>202</v>
      </c>
      <c r="D217" s="161">
        <v>500000</v>
      </c>
      <c r="E217" s="160">
        <f t="shared" si="3"/>
        <v>500000</v>
      </c>
    </row>
    <row r="218" spans="1:5">
      <c r="A218" s="159" t="s">
        <v>193</v>
      </c>
      <c r="B218" s="158">
        <v>1</v>
      </c>
      <c r="C218" s="158" t="s">
        <v>202</v>
      </c>
      <c r="D218" s="161">
        <v>650000</v>
      </c>
      <c r="E218" s="160">
        <f t="shared" si="3"/>
        <v>650000</v>
      </c>
    </row>
    <row r="219" spans="1:5">
      <c r="A219" s="159" t="s">
        <v>294</v>
      </c>
      <c r="B219" s="158">
        <v>1</v>
      </c>
      <c r="C219" s="158" t="s">
        <v>202</v>
      </c>
      <c r="D219" s="161">
        <v>300000</v>
      </c>
      <c r="E219" s="160">
        <f t="shared" si="3"/>
        <v>300000</v>
      </c>
    </row>
    <row r="220" spans="1:5">
      <c r="A220" s="159" t="s">
        <v>2</v>
      </c>
      <c r="B220" s="158">
        <v>1</v>
      </c>
      <c r="C220" s="158" t="s">
        <v>202</v>
      </c>
      <c r="D220" s="161">
        <v>950000</v>
      </c>
      <c r="E220" s="160">
        <f t="shared" si="3"/>
        <v>950000</v>
      </c>
    </row>
    <row r="221" spans="1:5">
      <c r="A221" s="159" t="s">
        <v>22</v>
      </c>
      <c r="B221" s="158">
        <v>1</v>
      </c>
      <c r="C221" s="158" t="s">
        <v>202</v>
      </c>
      <c r="D221" s="161">
        <v>1000000</v>
      </c>
      <c r="E221" s="160">
        <f t="shared" si="3"/>
        <v>1000000</v>
      </c>
    </row>
    <row r="222" spans="1:5">
      <c r="A222" s="159" t="s">
        <v>21</v>
      </c>
      <c r="B222" s="158">
        <v>1</v>
      </c>
      <c r="C222" s="158" t="s">
        <v>202</v>
      </c>
      <c r="D222" s="161">
        <v>350000</v>
      </c>
      <c r="E222" s="160">
        <f t="shared" si="3"/>
        <v>350000</v>
      </c>
    </row>
    <row r="223" spans="1:5">
      <c r="A223" s="159" t="s">
        <v>8</v>
      </c>
      <c r="B223" s="158">
        <v>1</v>
      </c>
      <c r="C223" s="158" t="s">
        <v>202</v>
      </c>
      <c r="D223" s="161">
        <v>7000000</v>
      </c>
      <c r="E223" s="160">
        <f t="shared" si="3"/>
        <v>7000000</v>
      </c>
    </row>
    <row r="224" spans="1:5">
      <c r="A224" s="159" t="s">
        <v>9</v>
      </c>
      <c r="B224" s="158">
        <v>1</v>
      </c>
      <c r="C224" s="158" t="s">
        <v>202</v>
      </c>
      <c r="D224" s="161">
        <v>900000</v>
      </c>
      <c r="E224" s="160">
        <f t="shared" si="3"/>
        <v>900000</v>
      </c>
    </row>
    <row r="225" spans="1:5">
      <c r="A225" s="159" t="s">
        <v>335</v>
      </c>
      <c r="B225" s="158">
        <v>1</v>
      </c>
      <c r="C225" s="158" t="s">
        <v>202</v>
      </c>
      <c r="D225" s="161">
        <v>500000</v>
      </c>
      <c r="E225" s="160">
        <f t="shared" si="3"/>
        <v>500000</v>
      </c>
    </row>
    <row r="226" spans="1:5">
      <c r="A226" s="159" t="s">
        <v>336</v>
      </c>
      <c r="B226" s="158">
        <v>1</v>
      </c>
      <c r="C226" s="158" t="s">
        <v>202</v>
      </c>
      <c r="D226" s="161">
        <v>500000</v>
      </c>
      <c r="E226" s="160">
        <f t="shared" si="3"/>
        <v>500000</v>
      </c>
    </row>
    <row r="227" spans="1:5">
      <c r="A227" s="159" t="s">
        <v>13</v>
      </c>
      <c r="B227" s="158">
        <v>0</v>
      </c>
      <c r="C227" s="158" t="s">
        <v>377</v>
      </c>
      <c r="D227" s="161">
        <v>0</v>
      </c>
      <c r="E227" s="160">
        <f t="shared" si="3"/>
        <v>0</v>
      </c>
    </row>
    <row r="228" spans="1:5">
      <c r="A228" s="159" t="s">
        <v>261</v>
      </c>
      <c r="B228" s="158">
        <v>0</v>
      </c>
      <c r="C228" s="158" t="s">
        <v>377</v>
      </c>
      <c r="D228" s="161">
        <v>0</v>
      </c>
      <c r="E228" s="160">
        <f t="shared" si="3"/>
        <v>0</v>
      </c>
    </row>
    <row r="229" spans="1:5">
      <c r="A229" s="159" t="s">
        <v>14</v>
      </c>
      <c r="B229" s="158">
        <v>0</v>
      </c>
      <c r="C229" s="158" t="s">
        <v>377</v>
      </c>
      <c r="D229" s="161">
        <v>0</v>
      </c>
      <c r="E229" s="160">
        <f t="shared" si="3"/>
        <v>0</v>
      </c>
    </row>
    <row r="230" spans="1:5">
      <c r="A230" s="159" t="s">
        <v>23</v>
      </c>
      <c r="B230" s="158">
        <v>0</v>
      </c>
      <c r="C230" s="158" t="s">
        <v>377</v>
      </c>
      <c r="D230" s="161">
        <v>0</v>
      </c>
      <c r="E230" s="160">
        <f t="shared" si="3"/>
        <v>0</v>
      </c>
    </row>
    <row r="231" spans="1:5">
      <c r="A231" s="159" t="s">
        <v>18</v>
      </c>
      <c r="B231" s="158">
        <v>0</v>
      </c>
      <c r="C231" s="158" t="s">
        <v>377</v>
      </c>
      <c r="D231" s="161">
        <v>0</v>
      </c>
      <c r="E231" s="160">
        <f t="shared" si="3"/>
        <v>0</v>
      </c>
    </row>
    <row r="232" spans="1:5">
      <c r="A232" s="159" t="s">
        <v>19</v>
      </c>
      <c r="B232" s="158">
        <v>0</v>
      </c>
      <c r="C232" s="158" t="s">
        <v>377</v>
      </c>
      <c r="D232" s="161">
        <v>0</v>
      </c>
      <c r="E232" s="160">
        <f t="shared" si="3"/>
        <v>0</v>
      </c>
    </row>
    <row r="233" spans="1:5">
      <c r="A233" s="159" t="s">
        <v>259</v>
      </c>
      <c r="B233" s="158">
        <v>0</v>
      </c>
      <c r="C233" s="158" t="s">
        <v>377</v>
      </c>
      <c r="D233" s="161">
        <v>0</v>
      </c>
      <c r="E233" s="160">
        <f t="shared" si="3"/>
        <v>0</v>
      </c>
    </row>
    <row r="234" spans="1:5">
      <c r="A234" s="159" t="s">
        <v>260</v>
      </c>
      <c r="B234" s="158">
        <v>0</v>
      </c>
      <c r="C234" s="158" t="s">
        <v>377</v>
      </c>
      <c r="D234" s="161">
        <v>0</v>
      </c>
      <c r="E234" s="160">
        <f t="shared" si="3"/>
        <v>0</v>
      </c>
    </row>
    <row r="235" spans="1:5">
      <c r="A235" s="159" t="s">
        <v>299</v>
      </c>
      <c r="B235" s="158">
        <v>0</v>
      </c>
      <c r="C235" s="158" t="s">
        <v>377</v>
      </c>
      <c r="D235" s="161">
        <v>0</v>
      </c>
      <c r="E235" s="160">
        <f t="shared" si="3"/>
        <v>0</v>
      </c>
    </row>
    <row r="236" spans="1:5">
      <c r="A236" s="159" t="s">
        <v>300</v>
      </c>
      <c r="B236" s="158">
        <v>0</v>
      </c>
      <c r="C236" s="158" t="s">
        <v>377</v>
      </c>
      <c r="D236" s="161">
        <v>0</v>
      </c>
      <c r="E236" s="160">
        <f t="shared" si="3"/>
        <v>0</v>
      </c>
    </row>
    <row r="237" spans="1:5">
      <c r="A237" s="159" t="s">
        <v>220</v>
      </c>
      <c r="B237" s="158">
        <v>0</v>
      </c>
      <c r="C237" s="158" t="s">
        <v>377</v>
      </c>
      <c r="D237" s="161">
        <v>0</v>
      </c>
      <c r="E237" s="160">
        <f t="shared" si="3"/>
        <v>0</v>
      </c>
    </row>
    <row r="238" spans="1:5">
      <c r="A238" s="159" t="s">
        <v>268</v>
      </c>
      <c r="B238" s="158">
        <v>0</v>
      </c>
      <c r="C238" s="158" t="s">
        <v>377</v>
      </c>
      <c r="D238" s="161">
        <v>0</v>
      </c>
      <c r="E238" s="160">
        <f t="shared" si="3"/>
        <v>0</v>
      </c>
    </row>
    <row r="239" spans="1:5">
      <c r="A239" s="159" t="s">
        <v>221</v>
      </c>
      <c r="B239" s="158">
        <v>0</v>
      </c>
      <c r="C239" s="158" t="s">
        <v>377</v>
      </c>
      <c r="D239" s="161">
        <v>0</v>
      </c>
      <c r="E239" s="160">
        <f t="shared" si="3"/>
        <v>0</v>
      </c>
    </row>
    <row r="240" spans="1:5">
      <c r="A240" s="159" t="s">
        <v>222</v>
      </c>
      <c r="B240" s="158">
        <v>0</v>
      </c>
      <c r="C240" s="158" t="s">
        <v>377</v>
      </c>
      <c r="D240" s="161">
        <v>0</v>
      </c>
      <c r="E240" s="160">
        <f t="shared" si="3"/>
        <v>0</v>
      </c>
    </row>
    <row r="241" spans="1:5">
      <c r="A241" s="159" t="s">
        <v>337</v>
      </c>
      <c r="B241" s="158">
        <v>0</v>
      </c>
      <c r="C241" s="158" t="s">
        <v>377</v>
      </c>
      <c r="D241" s="161">
        <v>0</v>
      </c>
      <c r="E241" s="160">
        <f t="shared" si="3"/>
        <v>0</v>
      </c>
    </row>
    <row r="242" spans="1:5">
      <c r="A242" s="159" t="s">
        <v>269</v>
      </c>
      <c r="B242" s="158">
        <v>0</v>
      </c>
      <c r="C242" s="158" t="s">
        <v>377</v>
      </c>
      <c r="D242" s="161">
        <v>0</v>
      </c>
      <c r="E242" s="160">
        <f t="shared" si="3"/>
        <v>0</v>
      </c>
    </row>
    <row r="243" spans="1:5">
      <c r="A243" s="159" t="s">
        <v>270</v>
      </c>
      <c r="B243" s="158">
        <v>0</v>
      </c>
      <c r="C243" s="158" t="s">
        <v>377</v>
      </c>
      <c r="D243" s="161">
        <v>0</v>
      </c>
      <c r="E243" s="160">
        <f t="shared" si="3"/>
        <v>0</v>
      </c>
    </row>
    <row r="244" spans="1:5">
      <c r="A244" s="159" t="s">
        <v>385</v>
      </c>
      <c r="B244" s="158">
        <v>0</v>
      </c>
      <c r="C244" s="158" t="s">
        <v>377</v>
      </c>
      <c r="D244" s="161">
        <v>0</v>
      </c>
      <c r="E244" s="160">
        <f t="shared" si="3"/>
        <v>0</v>
      </c>
    </row>
    <row r="245" spans="1:5">
      <c r="A245" s="159" t="s">
        <v>272</v>
      </c>
      <c r="B245" s="158">
        <v>0</v>
      </c>
      <c r="C245" s="158" t="s">
        <v>377</v>
      </c>
      <c r="D245" s="161">
        <v>0</v>
      </c>
      <c r="E245" s="160">
        <f t="shared" si="3"/>
        <v>0</v>
      </c>
    </row>
    <row r="246" spans="1:5">
      <c r="A246" s="159" t="s">
        <v>273</v>
      </c>
      <c r="B246" s="158">
        <v>0</v>
      </c>
      <c r="C246" s="158" t="s">
        <v>377</v>
      </c>
      <c r="D246" s="161">
        <v>0</v>
      </c>
      <c r="E246" s="160">
        <f t="shared" si="3"/>
        <v>0</v>
      </c>
    </row>
    <row r="247" spans="1:5">
      <c r="A247" s="159" t="s">
        <v>224</v>
      </c>
      <c r="B247" s="158">
        <v>0</v>
      </c>
      <c r="C247" s="158" t="s">
        <v>377</v>
      </c>
      <c r="D247" s="161">
        <v>0</v>
      </c>
      <c r="E247" s="160">
        <f t="shared" si="3"/>
        <v>0</v>
      </c>
    </row>
    <row r="248" spans="1:5">
      <c r="A248" s="159" t="s">
        <v>274</v>
      </c>
      <c r="B248" s="158">
        <v>0</v>
      </c>
      <c r="C248" s="158" t="s">
        <v>377</v>
      </c>
      <c r="D248" s="161">
        <v>0</v>
      </c>
      <c r="E248" s="160">
        <f t="shared" si="3"/>
        <v>0</v>
      </c>
    </row>
    <row r="249" spans="1:5">
      <c r="A249" s="159" t="s">
        <v>226</v>
      </c>
      <c r="B249" s="158">
        <v>0</v>
      </c>
      <c r="C249" s="158" t="s">
        <v>377</v>
      </c>
      <c r="D249" s="161">
        <v>0</v>
      </c>
      <c r="E249" s="160">
        <f t="shared" si="3"/>
        <v>0</v>
      </c>
    </row>
    <row r="250" spans="1:5">
      <c r="A250" s="159" t="s">
        <v>227</v>
      </c>
      <c r="B250" s="158">
        <v>0</v>
      </c>
      <c r="C250" s="158" t="s">
        <v>377</v>
      </c>
      <c r="D250" s="161">
        <v>0</v>
      </c>
      <c r="E250" s="160">
        <f t="shared" si="3"/>
        <v>0</v>
      </c>
    </row>
    <row r="251" spans="1:5">
      <c r="A251" s="159" t="s">
        <v>225</v>
      </c>
      <c r="B251" s="158">
        <v>0</v>
      </c>
      <c r="C251" s="158" t="s">
        <v>377</v>
      </c>
      <c r="D251" s="161">
        <v>0</v>
      </c>
      <c r="E251" s="160">
        <f t="shared" si="3"/>
        <v>0</v>
      </c>
    </row>
    <row r="252" spans="1:5">
      <c r="A252" s="159" t="s">
        <v>31</v>
      </c>
      <c r="B252" s="158">
        <v>0</v>
      </c>
      <c r="C252" s="158" t="s">
        <v>377</v>
      </c>
      <c r="D252" s="161">
        <v>0</v>
      </c>
      <c r="E252" s="160">
        <f t="shared" si="3"/>
        <v>0</v>
      </c>
    </row>
    <row r="253" spans="1:5">
      <c r="A253" s="159" t="s">
        <v>11</v>
      </c>
      <c r="B253" s="158">
        <v>0</v>
      </c>
      <c r="C253" s="158" t="s">
        <v>377</v>
      </c>
      <c r="D253" s="161">
        <v>0</v>
      </c>
      <c r="E253" s="160">
        <f t="shared" si="3"/>
        <v>0</v>
      </c>
    </row>
    <row r="254" spans="1:5">
      <c r="A254" s="159" t="s">
        <v>32</v>
      </c>
      <c r="B254" s="158">
        <v>0</v>
      </c>
      <c r="C254" s="158" t="s">
        <v>377</v>
      </c>
      <c r="D254" s="161">
        <v>0</v>
      </c>
      <c r="E254" s="160">
        <f t="shared" si="3"/>
        <v>0</v>
      </c>
    </row>
    <row r="255" spans="1:5">
      <c r="A255" s="159" t="s">
        <v>327</v>
      </c>
      <c r="B255" s="158">
        <v>0</v>
      </c>
      <c r="C255" s="158" t="s">
        <v>377</v>
      </c>
      <c r="D255" s="161">
        <v>0</v>
      </c>
      <c r="E255" s="160">
        <f t="shared" si="3"/>
        <v>0</v>
      </c>
    </row>
    <row r="256" spans="1:5">
      <c r="A256" s="159" t="s">
        <v>100</v>
      </c>
      <c r="B256" s="158">
        <v>0</v>
      </c>
      <c r="C256" s="158" t="s">
        <v>377</v>
      </c>
      <c r="D256" s="161">
        <v>0</v>
      </c>
      <c r="E256" s="160">
        <f t="shared" si="3"/>
        <v>0</v>
      </c>
    </row>
    <row r="257" spans="1:5">
      <c r="A257" s="159" t="s">
        <v>328</v>
      </c>
      <c r="B257" s="158">
        <v>0</v>
      </c>
      <c r="C257" s="158" t="s">
        <v>377</v>
      </c>
      <c r="D257" s="161">
        <v>0</v>
      </c>
      <c r="E257" s="160">
        <f t="shared" si="3"/>
        <v>0</v>
      </c>
    </row>
    <row r="258" spans="1:5">
      <c r="A258" s="159" t="s">
        <v>325</v>
      </c>
      <c r="B258" s="158">
        <v>0</v>
      </c>
      <c r="C258" s="158" t="s">
        <v>377</v>
      </c>
      <c r="D258" s="161">
        <v>0</v>
      </c>
      <c r="E258" s="160">
        <f t="shared" ref="E258:E321" si="4">B258*D258</f>
        <v>0</v>
      </c>
    </row>
    <row r="259" spans="1:5">
      <c r="A259" s="159" t="s">
        <v>326</v>
      </c>
      <c r="B259" s="158">
        <v>0</v>
      </c>
      <c r="C259" s="158" t="s">
        <v>377</v>
      </c>
      <c r="D259" s="161">
        <v>0</v>
      </c>
      <c r="E259" s="160">
        <f t="shared" si="4"/>
        <v>0</v>
      </c>
    </row>
    <row r="260" spans="1:5">
      <c r="A260" s="159" t="s">
        <v>276</v>
      </c>
      <c r="B260" s="158">
        <v>0</v>
      </c>
      <c r="C260" s="158" t="s">
        <v>377</v>
      </c>
      <c r="D260" s="161">
        <v>0</v>
      </c>
      <c r="E260" s="160">
        <f t="shared" si="4"/>
        <v>0</v>
      </c>
    </row>
    <row r="261" spans="1:5">
      <c r="A261" s="159" t="s">
        <v>277</v>
      </c>
      <c r="B261" s="158">
        <v>0</v>
      </c>
      <c r="C261" s="158" t="s">
        <v>377</v>
      </c>
      <c r="D261" s="161">
        <v>0</v>
      </c>
      <c r="E261" s="160">
        <f t="shared" si="4"/>
        <v>0</v>
      </c>
    </row>
    <row r="262" spans="1:5">
      <c r="A262" s="159" t="s">
        <v>6</v>
      </c>
      <c r="B262" s="158">
        <v>0</v>
      </c>
      <c r="C262" s="158" t="s">
        <v>377</v>
      </c>
      <c r="D262" s="161">
        <v>0</v>
      </c>
      <c r="E262" s="160">
        <f t="shared" si="4"/>
        <v>0</v>
      </c>
    </row>
    <row r="263" spans="1:5">
      <c r="A263" s="159" t="s">
        <v>12</v>
      </c>
      <c r="B263" s="158">
        <v>0</v>
      </c>
      <c r="C263" s="158" t="s">
        <v>377</v>
      </c>
      <c r="D263" s="161">
        <v>0</v>
      </c>
      <c r="E263" s="160">
        <f t="shared" si="4"/>
        <v>0</v>
      </c>
    </row>
    <row r="264" spans="1:5">
      <c r="A264" s="159" t="s">
        <v>278</v>
      </c>
      <c r="B264" s="158">
        <v>0</v>
      </c>
      <c r="C264" s="158" t="s">
        <v>377</v>
      </c>
      <c r="D264" s="161">
        <v>0</v>
      </c>
      <c r="E264" s="160">
        <f t="shared" si="4"/>
        <v>0</v>
      </c>
    </row>
    <row r="265" spans="1:5">
      <c r="A265" s="159" t="s">
        <v>279</v>
      </c>
      <c r="B265" s="158">
        <v>0</v>
      </c>
      <c r="C265" s="158" t="s">
        <v>377</v>
      </c>
      <c r="D265" s="161">
        <v>0</v>
      </c>
      <c r="E265" s="160">
        <f t="shared" si="4"/>
        <v>0</v>
      </c>
    </row>
    <row r="266" spans="1:5">
      <c r="A266" s="159" t="s">
        <v>280</v>
      </c>
      <c r="B266" s="158">
        <v>0</v>
      </c>
      <c r="C266" s="158" t="s">
        <v>377</v>
      </c>
      <c r="D266" s="161">
        <v>0</v>
      </c>
      <c r="E266" s="160">
        <f t="shared" si="4"/>
        <v>0</v>
      </c>
    </row>
    <row r="267" spans="1:5">
      <c r="A267" s="159" t="s">
        <v>437</v>
      </c>
      <c r="B267" s="158">
        <v>0</v>
      </c>
      <c r="C267" s="158" t="s">
        <v>377</v>
      </c>
      <c r="D267" s="161">
        <v>0</v>
      </c>
      <c r="E267" s="160">
        <f t="shared" si="4"/>
        <v>0</v>
      </c>
    </row>
    <row r="268" spans="1:5">
      <c r="A268" s="159" t="s">
        <v>281</v>
      </c>
      <c r="B268" s="158">
        <v>0</v>
      </c>
      <c r="C268" s="158" t="s">
        <v>377</v>
      </c>
      <c r="D268" s="161">
        <v>0</v>
      </c>
      <c r="E268" s="160">
        <f t="shared" si="4"/>
        <v>0</v>
      </c>
    </row>
    <row r="269" spans="1:5">
      <c r="A269" s="159" t="s">
        <v>284</v>
      </c>
      <c r="B269" s="158">
        <v>0</v>
      </c>
      <c r="C269" s="158" t="s">
        <v>377</v>
      </c>
      <c r="D269" s="161">
        <v>0</v>
      </c>
      <c r="E269" s="160">
        <f t="shared" si="4"/>
        <v>0</v>
      </c>
    </row>
    <row r="270" spans="1:5">
      <c r="A270" s="159" t="s">
        <v>285</v>
      </c>
      <c r="B270" s="158">
        <v>0</v>
      </c>
      <c r="C270" s="158" t="s">
        <v>377</v>
      </c>
      <c r="D270" s="161">
        <v>0</v>
      </c>
      <c r="E270" s="160">
        <f t="shared" si="4"/>
        <v>0</v>
      </c>
    </row>
    <row r="271" spans="1:5">
      <c r="A271" s="159" t="s">
        <v>288</v>
      </c>
      <c r="B271" s="158">
        <v>0</v>
      </c>
      <c r="C271" s="158" t="s">
        <v>377</v>
      </c>
      <c r="D271" s="161">
        <v>0</v>
      </c>
      <c r="E271" s="160">
        <f t="shared" si="4"/>
        <v>0</v>
      </c>
    </row>
    <row r="272" spans="1:5">
      <c r="A272" s="159" t="s">
        <v>289</v>
      </c>
      <c r="B272" s="158">
        <v>0</v>
      </c>
      <c r="C272" s="158" t="s">
        <v>377</v>
      </c>
      <c r="D272" s="161">
        <v>0</v>
      </c>
      <c r="E272" s="160">
        <f t="shared" si="4"/>
        <v>0</v>
      </c>
    </row>
    <row r="273" spans="1:5">
      <c r="A273" s="159" t="s">
        <v>290</v>
      </c>
      <c r="B273" s="158">
        <v>0</v>
      </c>
      <c r="C273" s="158" t="s">
        <v>377</v>
      </c>
      <c r="D273" s="161">
        <v>0</v>
      </c>
      <c r="E273" s="160">
        <f t="shared" si="4"/>
        <v>0</v>
      </c>
    </row>
    <row r="274" spans="1:5">
      <c r="A274" s="159" t="s">
        <v>296</v>
      </c>
      <c r="B274" s="158">
        <v>0</v>
      </c>
      <c r="C274" s="158" t="s">
        <v>377</v>
      </c>
      <c r="D274" s="161">
        <v>0</v>
      </c>
      <c r="E274" s="160">
        <f t="shared" si="4"/>
        <v>0</v>
      </c>
    </row>
    <row r="275" spans="1:5">
      <c r="A275" s="159" t="s">
        <v>295</v>
      </c>
      <c r="B275" s="158">
        <v>0</v>
      </c>
      <c r="C275" s="158" t="s">
        <v>377</v>
      </c>
      <c r="D275" s="161">
        <v>0</v>
      </c>
      <c r="E275" s="160">
        <f t="shared" si="4"/>
        <v>0</v>
      </c>
    </row>
    <row r="276" spans="1:5">
      <c r="A276" s="159" t="s">
        <v>330</v>
      </c>
      <c r="B276" s="158">
        <v>0</v>
      </c>
      <c r="C276" s="158" t="s">
        <v>377</v>
      </c>
      <c r="D276" s="161">
        <v>0</v>
      </c>
      <c r="E276" s="160">
        <f t="shared" si="4"/>
        <v>0</v>
      </c>
    </row>
    <row r="277" spans="1:5">
      <c r="A277" s="159" t="s">
        <v>329</v>
      </c>
      <c r="B277" s="158">
        <v>0</v>
      </c>
      <c r="C277" s="158" t="s">
        <v>377</v>
      </c>
      <c r="D277" s="161">
        <v>0</v>
      </c>
      <c r="E277" s="160">
        <f t="shared" si="4"/>
        <v>0</v>
      </c>
    </row>
    <row r="278" spans="1:5">
      <c r="A278" s="159" t="s">
        <v>331</v>
      </c>
      <c r="B278" s="158">
        <v>0</v>
      </c>
      <c r="C278" s="158" t="s">
        <v>377</v>
      </c>
      <c r="D278" s="161">
        <v>0</v>
      </c>
      <c r="E278" s="160">
        <f t="shared" si="4"/>
        <v>0</v>
      </c>
    </row>
    <row r="279" spans="1:5">
      <c r="A279" s="159" t="s">
        <v>42</v>
      </c>
      <c r="B279" s="158">
        <v>0</v>
      </c>
      <c r="C279" s="158" t="s">
        <v>377</v>
      </c>
      <c r="D279" s="161">
        <v>0</v>
      </c>
      <c r="E279" s="160">
        <f t="shared" si="4"/>
        <v>0</v>
      </c>
    </row>
    <row r="280" spans="1:5">
      <c r="A280" s="159" t="s">
        <v>41</v>
      </c>
      <c r="B280" s="158">
        <v>0</v>
      </c>
      <c r="C280" s="158" t="s">
        <v>377</v>
      </c>
      <c r="D280" s="161">
        <v>0</v>
      </c>
      <c r="E280" s="160">
        <f t="shared" si="4"/>
        <v>0</v>
      </c>
    </row>
    <row r="281" spans="1:5">
      <c r="A281" s="159" t="s">
        <v>3</v>
      </c>
      <c r="B281" s="158">
        <v>0</v>
      </c>
      <c r="C281" s="158" t="s">
        <v>377</v>
      </c>
      <c r="D281" s="161">
        <v>0</v>
      </c>
      <c r="E281" s="160">
        <f t="shared" si="4"/>
        <v>0</v>
      </c>
    </row>
    <row r="282" spans="1:5">
      <c r="A282" s="159" t="s">
        <v>4</v>
      </c>
      <c r="B282" s="158">
        <v>0</v>
      </c>
      <c r="C282" s="158" t="s">
        <v>377</v>
      </c>
      <c r="D282" s="161">
        <v>0</v>
      </c>
      <c r="E282" s="160">
        <f t="shared" si="4"/>
        <v>0</v>
      </c>
    </row>
    <row r="283" spans="1:5">
      <c r="A283" s="159" t="s">
        <v>67</v>
      </c>
      <c r="B283" s="158">
        <v>0</v>
      </c>
      <c r="C283" s="158" t="s">
        <v>377</v>
      </c>
      <c r="D283" s="161">
        <v>0</v>
      </c>
      <c r="E283" s="160">
        <f t="shared" si="4"/>
        <v>0</v>
      </c>
    </row>
    <row r="284" spans="1:5">
      <c r="A284" s="159" t="s">
        <v>68</v>
      </c>
      <c r="B284" s="158">
        <v>0</v>
      </c>
      <c r="C284" s="158" t="s">
        <v>377</v>
      </c>
      <c r="D284" s="161">
        <v>0</v>
      </c>
      <c r="E284" s="160">
        <f t="shared" si="4"/>
        <v>0</v>
      </c>
    </row>
    <row r="285" spans="1:5">
      <c r="A285" s="159" t="s">
        <v>70</v>
      </c>
      <c r="B285" s="158">
        <v>0</v>
      </c>
      <c r="C285" s="158" t="s">
        <v>377</v>
      </c>
      <c r="D285" s="161">
        <v>0</v>
      </c>
      <c r="E285" s="160">
        <f t="shared" si="4"/>
        <v>0</v>
      </c>
    </row>
    <row r="286" spans="1:5">
      <c r="A286" s="159" t="s">
        <v>380</v>
      </c>
      <c r="B286" s="158">
        <v>0</v>
      </c>
      <c r="C286" s="158" t="s">
        <v>377</v>
      </c>
      <c r="D286" s="161">
        <v>0</v>
      </c>
      <c r="E286" s="160">
        <f t="shared" si="4"/>
        <v>0</v>
      </c>
    </row>
    <row r="287" spans="1:5">
      <c r="A287" s="159" t="s">
        <v>16</v>
      </c>
      <c r="B287" s="158">
        <v>0</v>
      </c>
      <c r="C287" s="158" t="s">
        <v>377</v>
      </c>
      <c r="D287" s="161">
        <v>0</v>
      </c>
      <c r="E287" s="160">
        <f t="shared" si="4"/>
        <v>0</v>
      </c>
    </row>
    <row r="288" spans="1:5">
      <c r="A288" s="159" t="s">
        <v>17</v>
      </c>
      <c r="B288" s="158">
        <v>0</v>
      </c>
      <c r="C288" s="158" t="s">
        <v>377</v>
      </c>
      <c r="D288" s="161">
        <v>0</v>
      </c>
      <c r="E288" s="160">
        <f t="shared" si="4"/>
        <v>0</v>
      </c>
    </row>
    <row r="289" spans="1:5">
      <c r="A289" s="159" t="s">
        <v>333</v>
      </c>
      <c r="B289" s="158">
        <v>0</v>
      </c>
      <c r="C289" s="158" t="s">
        <v>377</v>
      </c>
      <c r="D289" s="161">
        <v>0</v>
      </c>
      <c r="E289" s="160">
        <f t="shared" si="4"/>
        <v>0</v>
      </c>
    </row>
    <row r="290" spans="1:5">
      <c r="A290" s="159" t="s">
        <v>291</v>
      </c>
      <c r="B290" s="158">
        <v>0</v>
      </c>
      <c r="C290" s="158" t="s">
        <v>377</v>
      </c>
      <c r="D290" s="161">
        <v>0</v>
      </c>
      <c r="E290" s="160">
        <f t="shared" si="4"/>
        <v>0</v>
      </c>
    </row>
    <row r="291" spans="1:5">
      <c r="A291" s="159" t="s">
        <v>292</v>
      </c>
      <c r="B291" s="158">
        <v>0</v>
      </c>
      <c r="C291" s="158" t="s">
        <v>377</v>
      </c>
      <c r="D291" s="161">
        <v>0</v>
      </c>
      <c r="E291" s="160">
        <f t="shared" si="4"/>
        <v>0</v>
      </c>
    </row>
    <row r="292" spans="1:5">
      <c r="A292" s="159" t="s">
        <v>293</v>
      </c>
      <c r="B292" s="158">
        <v>0</v>
      </c>
      <c r="C292" s="158" t="s">
        <v>377</v>
      </c>
      <c r="D292" s="161">
        <v>0</v>
      </c>
      <c r="E292" s="160">
        <f t="shared" si="4"/>
        <v>0</v>
      </c>
    </row>
    <row r="293" spans="1:5">
      <c r="A293" s="159" t="s">
        <v>193</v>
      </c>
      <c r="B293" s="158">
        <v>0</v>
      </c>
      <c r="C293" s="158" t="s">
        <v>377</v>
      </c>
      <c r="D293" s="161">
        <v>0</v>
      </c>
      <c r="E293" s="160">
        <f t="shared" si="4"/>
        <v>0</v>
      </c>
    </row>
    <row r="294" spans="1:5">
      <c r="A294" s="159" t="s">
        <v>294</v>
      </c>
      <c r="B294" s="158">
        <v>0</v>
      </c>
      <c r="C294" s="158" t="s">
        <v>377</v>
      </c>
      <c r="D294" s="161">
        <v>0</v>
      </c>
      <c r="E294" s="160">
        <f t="shared" si="4"/>
        <v>0</v>
      </c>
    </row>
    <row r="295" spans="1:5">
      <c r="A295" s="159" t="s">
        <v>2</v>
      </c>
      <c r="B295" s="158">
        <v>0</v>
      </c>
      <c r="C295" s="158" t="s">
        <v>377</v>
      </c>
      <c r="D295" s="161">
        <v>0</v>
      </c>
      <c r="E295" s="160">
        <f t="shared" si="4"/>
        <v>0</v>
      </c>
    </row>
    <row r="296" spans="1:5">
      <c r="A296" s="159" t="s">
        <v>22</v>
      </c>
      <c r="B296" s="158">
        <v>0</v>
      </c>
      <c r="C296" s="158" t="s">
        <v>377</v>
      </c>
      <c r="D296" s="161">
        <v>0</v>
      </c>
      <c r="E296" s="160">
        <f t="shared" si="4"/>
        <v>0</v>
      </c>
    </row>
    <row r="297" spans="1:5">
      <c r="A297" s="159" t="s">
        <v>21</v>
      </c>
      <c r="B297" s="158">
        <v>0</v>
      </c>
      <c r="C297" s="158" t="s">
        <v>377</v>
      </c>
      <c r="D297" s="161">
        <v>0</v>
      </c>
      <c r="E297" s="160">
        <f t="shared" si="4"/>
        <v>0</v>
      </c>
    </row>
    <row r="298" spans="1:5">
      <c r="A298" s="159" t="s">
        <v>8</v>
      </c>
      <c r="B298" s="158">
        <v>0</v>
      </c>
      <c r="C298" s="158" t="s">
        <v>377</v>
      </c>
      <c r="D298" s="161">
        <v>0</v>
      </c>
      <c r="E298" s="160">
        <f t="shared" si="4"/>
        <v>0</v>
      </c>
    </row>
    <row r="299" spans="1:5">
      <c r="A299" s="159" t="s">
        <v>9</v>
      </c>
      <c r="B299" s="158">
        <v>0</v>
      </c>
      <c r="C299" s="158" t="s">
        <v>377</v>
      </c>
      <c r="D299" s="161">
        <v>0</v>
      </c>
      <c r="E299" s="160">
        <f t="shared" si="4"/>
        <v>0</v>
      </c>
    </row>
    <row r="300" spans="1:5">
      <c r="A300" s="159" t="s">
        <v>335</v>
      </c>
      <c r="B300" s="158">
        <v>0</v>
      </c>
      <c r="C300" s="158" t="s">
        <v>377</v>
      </c>
      <c r="D300" s="161">
        <v>0</v>
      </c>
      <c r="E300" s="160">
        <f t="shared" si="4"/>
        <v>0</v>
      </c>
    </row>
    <row r="301" spans="1:5">
      <c r="A301" s="159" t="s">
        <v>336</v>
      </c>
      <c r="B301" s="158">
        <v>0</v>
      </c>
      <c r="C301" s="158" t="s">
        <v>377</v>
      </c>
      <c r="D301" s="161">
        <v>0</v>
      </c>
      <c r="E301" s="160">
        <f t="shared" si="4"/>
        <v>0</v>
      </c>
    </row>
    <row r="302" spans="1:5">
      <c r="A302" s="159" t="s">
        <v>13</v>
      </c>
      <c r="B302" s="158">
        <v>0</v>
      </c>
      <c r="C302" s="158" t="s">
        <v>378</v>
      </c>
      <c r="D302" s="161">
        <v>0</v>
      </c>
      <c r="E302" s="160">
        <f t="shared" si="4"/>
        <v>0</v>
      </c>
    </row>
    <row r="303" spans="1:5">
      <c r="A303" s="159" t="s">
        <v>261</v>
      </c>
      <c r="B303" s="158">
        <v>0</v>
      </c>
      <c r="C303" s="158" t="s">
        <v>378</v>
      </c>
      <c r="D303" s="161">
        <v>0</v>
      </c>
      <c r="E303" s="160">
        <f t="shared" si="4"/>
        <v>0</v>
      </c>
    </row>
    <row r="304" spans="1:5">
      <c r="A304" s="159" t="s">
        <v>14</v>
      </c>
      <c r="B304" s="158">
        <v>0</v>
      </c>
      <c r="C304" s="158" t="s">
        <v>378</v>
      </c>
      <c r="D304" s="161">
        <v>0</v>
      </c>
      <c r="E304" s="160">
        <f t="shared" si="4"/>
        <v>0</v>
      </c>
    </row>
    <row r="305" spans="1:5">
      <c r="A305" s="159" t="s">
        <v>23</v>
      </c>
      <c r="B305" s="158">
        <v>0</v>
      </c>
      <c r="C305" s="158" t="s">
        <v>378</v>
      </c>
      <c r="D305" s="161">
        <v>0</v>
      </c>
      <c r="E305" s="160">
        <f t="shared" si="4"/>
        <v>0</v>
      </c>
    </row>
    <row r="306" spans="1:5">
      <c r="A306" s="159" t="s">
        <v>18</v>
      </c>
      <c r="B306" s="158">
        <v>0</v>
      </c>
      <c r="C306" s="158" t="s">
        <v>378</v>
      </c>
      <c r="D306" s="161">
        <v>0</v>
      </c>
      <c r="E306" s="160">
        <f t="shared" si="4"/>
        <v>0</v>
      </c>
    </row>
    <row r="307" spans="1:5">
      <c r="A307" s="159" t="s">
        <v>19</v>
      </c>
      <c r="B307" s="158">
        <v>0</v>
      </c>
      <c r="C307" s="158" t="s">
        <v>378</v>
      </c>
      <c r="D307" s="161">
        <v>0</v>
      </c>
      <c r="E307" s="160">
        <f t="shared" si="4"/>
        <v>0</v>
      </c>
    </row>
    <row r="308" spans="1:5">
      <c r="A308" s="159" t="s">
        <v>259</v>
      </c>
      <c r="B308" s="158">
        <v>0</v>
      </c>
      <c r="C308" s="158" t="s">
        <v>378</v>
      </c>
      <c r="D308" s="161">
        <v>0</v>
      </c>
      <c r="E308" s="160">
        <f t="shared" si="4"/>
        <v>0</v>
      </c>
    </row>
    <row r="309" spans="1:5">
      <c r="A309" s="159" t="s">
        <v>260</v>
      </c>
      <c r="B309" s="158">
        <v>0</v>
      </c>
      <c r="C309" s="158" t="s">
        <v>378</v>
      </c>
      <c r="D309" s="161">
        <v>0</v>
      </c>
      <c r="E309" s="160">
        <f t="shared" si="4"/>
        <v>0</v>
      </c>
    </row>
    <row r="310" spans="1:5">
      <c r="A310" s="159" t="s">
        <v>299</v>
      </c>
      <c r="B310" s="158">
        <v>0</v>
      </c>
      <c r="C310" s="158" t="s">
        <v>378</v>
      </c>
      <c r="D310" s="161">
        <v>0</v>
      </c>
      <c r="E310" s="160">
        <f t="shared" si="4"/>
        <v>0</v>
      </c>
    </row>
    <row r="311" spans="1:5">
      <c r="A311" s="159" t="s">
        <v>300</v>
      </c>
      <c r="B311" s="158">
        <v>0</v>
      </c>
      <c r="C311" s="158" t="s">
        <v>378</v>
      </c>
      <c r="D311" s="161">
        <v>0</v>
      </c>
      <c r="E311" s="160">
        <f t="shared" si="4"/>
        <v>0</v>
      </c>
    </row>
    <row r="312" spans="1:5">
      <c r="A312" s="159" t="s">
        <v>220</v>
      </c>
      <c r="B312" s="158">
        <v>0</v>
      </c>
      <c r="C312" s="158" t="s">
        <v>378</v>
      </c>
      <c r="D312" s="161">
        <v>0</v>
      </c>
      <c r="E312" s="160">
        <f t="shared" si="4"/>
        <v>0</v>
      </c>
    </row>
    <row r="313" spans="1:5">
      <c r="A313" s="159" t="s">
        <v>268</v>
      </c>
      <c r="B313" s="158">
        <v>0</v>
      </c>
      <c r="C313" s="158" t="s">
        <v>378</v>
      </c>
      <c r="D313" s="161">
        <v>0</v>
      </c>
      <c r="E313" s="160">
        <f t="shared" si="4"/>
        <v>0</v>
      </c>
    </row>
    <row r="314" spans="1:5">
      <c r="A314" s="159" t="s">
        <v>221</v>
      </c>
      <c r="B314" s="158">
        <v>0</v>
      </c>
      <c r="C314" s="158" t="s">
        <v>378</v>
      </c>
      <c r="D314" s="161">
        <v>0</v>
      </c>
      <c r="E314" s="160">
        <f t="shared" si="4"/>
        <v>0</v>
      </c>
    </row>
    <row r="315" spans="1:5">
      <c r="A315" s="159" t="s">
        <v>222</v>
      </c>
      <c r="B315" s="158">
        <v>0</v>
      </c>
      <c r="C315" s="158" t="s">
        <v>378</v>
      </c>
      <c r="D315" s="161">
        <v>0</v>
      </c>
      <c r="E315" s="160">
        <f t="shared" si="4"/>
        <v>0</v>
      </c>
    </row>
    <row r="316" spans="1:5">
      <c r="A316" s="159" t="s">
        <v>337</v>
      </c>
      <c r="B316" s="158">
        <v>0</v>
      </c>
      <c r="C316" s="158" t="s">
        <v>378</v>
      </c>
      <c r="D316" s="161">
        <v>0</v>
      </c>
      <c r="E316" s="160">
        <f t="shared" si="4"/>
        <v>0</v>
      </c>
    </row>
    <row r="317" spans="1:5">
      <c r="A317" s="159" t="s">
        <v>269</v>
      </c>
      <c r="B317" s="158">
        <v>0</v>
      </c>
      <c r="C317" s="158" t="s">
        <v>378</v>
      </c>
      <c r="D317" s="161">
        <v>0</v>
      </c>
      <c r="E317" s="160">
        <f t="shared" si="4"/>
        <v>0</v>
      </c>
    </row>
    <row r="318" spans="1:5">
      <c r="A318" s="159" t="s">
        <v>270</v>
      </c>
      <c r="B318" s="158">
        <v>0</v>
      </c>
      <c r="C318" s="158" t="s">
        <v>378</v>
      </c>
      <c r="D318" s="161">
        <v>0</v>
      </c>
      <c r="E318" s="160">
        <f t="shared" si="4"/>
        <v>0</v>
      </c>
    </row>
    <row r="319" spans="1:5">
      <c r="A319" s="159" t="s">
        <v>385</v>
      </c>
      <c r="B319" s="158">
        <v>0</v>
      </c>
      <c r="C319" s="158" t="s">
        <v>378</v>
      </c>
      <c r="D319" s="161">
        <v>0</v>
      </c>
      <c r="E319" s="160">
        <f t="shared" si="4"/>
        <v>0</v>
      </c>
    </row>
    <row r="320" spans="1:5">
      <c r="A320" s="159" t="s">
        <v>272</v>
      </c>
      <c r="B320" s="158">
        <v>0</v>
      </c>
      <c r="C320" s="158" t="s">
        <v>378</v>
      </c>
      <c r="D320" s="161">
        <v>0</v>
      </c>
      <c r="E320" s="160">
        <f t="shared" si="4"/>
        <v>0</v>
      </c>
    </row>
    <row r="321" spans="1:5">
      <c r="A321" s="159" t="s">
        <v>273</v>
      </c>
      <c r="B321" s="158">
        <v>0</v>
      </c>
      <c r="C321" s="158" t="s">
        <v>378</v>
      </c>
      <c r="D321" s="161">
        <v>0</v>
      </c>
      <c r="E321" s="160">
        <f t="shared" si="4"/>
        <v>0</v>
      </c>
    </row>
    <row r="322" spans="1:5">
      <c r="A322" s="159" t="s">
        <v>224</v>
      </c>
      <c r="B322" s="158">
        <v>0</v>
      </c>
      <c r="C322" s="158" t="s">
        <v>378</v>
      </c>
      <c r="D322" s="161">
        <v>0</v>
      </c>
      <c r="E322" s="160">
        <f t="shared" ref="E322:E385" si="5">B322*D322</f>
        <v>0</v>
      </c>
    </row>
    <row r="323" spans="1:5">
      <c r="A323" s="159" t="s">
        <v>274</v>
      </c>
      <c r="B323" s="158">
        <v>0</v>
      </c>
      <c r="C323" s="158" t="s">
        <v>378</v>
      </c>
      <c r="D323" s="161">
        <v>0</v>
      </c>
      <c r="E323" s="160">
        <f t="shared" si="5"/>
        <v>0</v>
      </c>
    </row>
    <row r="324" spans="1:5">
      <c r="A324" s="159" t="s">
        <v>226</v>
      </c>
      <c r="B324" s="158">
        <v>0</v>
      </c>
      <c r="C324" s="158" t="s">
        <v>378</v>
      </c>
      <c r="D324" s="161">
        <v>0</v>
      </c>
      <c r="E324" s="160">
        <f t="shared" si="5"/>
        <v>0</v>
      </c>
    </row>
    <row r="325" spans="1:5">
      <c r="A325" s="159" t="s">
        <v>227</v>
      </c>
      <c r="B325" s="158">
        <v>0</v>
      </c>
      <c r="C325" s="158" t="s">
        <v>378</v>
      </c>
      <c r="D325" s="161">
        <v>0</v>
      </c>
      <c r="E325" s="160">
        <f t="shared" si="5"/>
        <v>0</v>
      </c>
    </row>
    <row r="326" spans="1:5">
      <c r="A326" s="159" t="s">
        <v>225</v>
      </c>
      <c r="B326" s="158">
        <v>0</v>
      </c>
      <c r="C326" s="158" t="s">
        <v>378</v>
      </c>
      <c r="D326" s="161">
        <v>0</v>
      </c>
      <c r="E326" s="160">
        <f t="shared" si="5"/>
        <v>0</v>
      </c>
    </row>
    <row r="327" spans="1:5">
      <c r="A327" s="159" t="s">
        <v>31</v>
      </c>
      <c r="B327" s="158">
        <v>0</v>
      </c>
      <c r="C327" s="158" t="s">
        <v>378</v>
      </c>
      <c r="D327" s="161">
        <v>0</v>
      </c>
      <c r="E327" s="160">
        <f t="shared" si="5"/>
        <v>0</v>
      </c>
    </row>
    <row r="328" spans="1:5">
      <c r="A328" s="159" t="s">
        <v>11</v>
      </c>
      <c r="B328" s="158">
        <v>0</v>
      </c>
      <c r="C328" s="158" t="s">
        <v>378</v>
      </c>
      <c r="D328" s="161">
        <v>0</v>
      </c>
      <c r="E328" s="160">
        <f t="shared" si="5"/>
        <v>0</v>
      </c>
    </row>
    <row r="329" spans="1:5">
      <c r="A329" s="159" t="s">
        <v>32</v>
      </c>
      <c r="B329" s="158">
        <v>0</v>
      </c>
      <c r="C329" s="158" t="s">
        <v>378</v>
      </c>
      <c r="D329" s="161">
        <v>0</v>
      </c>
      <c r="E329" s="160">
        <f t="shared" si="5"/>
        <v>0</v>
      </c>
    </row>
    <row r="330" spans="1:5">
      <c r="A330" s="159" t="s">
        <v>327</v>
      </c>
      <c r="B330" s="158">
        <v>0</v>
      </c>
      <c r="C330" s="158" t="s">
        <v>378</v>
      </c>
      <c r="D330" s="161">
        <v>0</v>
      </c>
      <c r="E330" s="160">
        <f t="shared" si="5"/>
        <v>0</v>
      </c>
    </row>
    <row r="331" spans="1:5">
      <c r="A331" s="159" t="s">
        <v>100</v>
      </c>
      <c r="B331" s="158">
        <v>0</v>
      </c>
      <c r="C331" s="158" t="s">
        <v>378</v>
      </c>
      <c r="D331" s="161">
        <v>0</v>
      </c>
      <c r="E331" s="160">
        <f t="shared" si="5"/>
        <v>0</v>
      </c>
    </row>
    <row r="332" spans="1:5">
      <c r="A332" s="159" t="s">
        <v>328</v>
      </c>
      <c r="B332" s="158">
        <v>0</v>
      </c>
      <c r="C332" s="158" t="s">
        <v>378</v>
      </c>
      <c r="D332" s="161">
        <v>0</v>
      </c>
      <c r="E332" s="160">
        <f t="shared" si="5"/>
        <v>0</v>
      </c>
    </row>
    <row r="333" spans="1:5">
      <c r="A333" s="159" t="s">
        <v>325</v>
      </c>
      <c r="B333" s="158">
        <v>0</v>
      </c>
      <c r="C333" s="158" t="s">
        <v>378</v>
      </c>
      <c r="D333" s="161">
        <v>0</v>
      </c>
      <c r="E333" s="160">
        <f t="shared" si="5"/>
        <v>0</v>
      </c>
    </row>
    <row r="334" spans="1:5">
      <c r="A334" s="159" t="s">
        <v>326</v>
      </c>
      <c r="B334" s="158">
        <v>0</v>
      </c>
      <c r="C334" s="158" t="s">
        <v>378</v>
      </c>
      <c r="D334" s="161">
        <v>0</v>
      </c>
      <c r="E334" s="160">
        <f t="shared" si="5"/>
        <v>0</v>
      </c>
    </row>
    <row r="335" spans="1:5">
      <c r="A335" s="159" t="s">
        <v>276</v>
      </c>
      <c r="B335" s="158">
        <v>0</v>
      </c>
      <c r="C335" s="158" t="s">
        <v>378</v>
      </c>
      <c r="D335" s="161">
        <v>0</v>
      </c>
      <c r="E335" s="160">
        <f t="shared" si="5"/>
        <v>0</v>
      </c>
    </row>
    <row r="336" spans="1:5">
      <c r="A336" s="159" t="s">
        <v>277</v>
      </c>
      <c r="B336" s="158">
        <v>0</v>
      </c>
      <c r="C336" s="158" t="s">
        <v>378</v>
      </c>
      <c r="D336" s="161">
        <v>0</v>
      </c>
      <c r="E336" s="160">
        <f t="shared" si="5"/>
        <v>0</v>
      </c>
    </row>
    <row r="337" spans="1:5">
      <c r="A337" s="159" t="s">
        <v>6</v>
      </c>
      <c r="B337" s="158">
        <v>0</v>
      </c>
      <c r="C337" s="158" t="s">
        <v>378</v>
      </c>
      <c r="D337" s="161">
        <v>0</v>
      </c>
      <c r="E337" s="160">
        <f t="shared" si="5"/>
        <v>0</v>
      </c>
    </row>
    <row r="338" spans="1:5">
      <c r="A338" s="159" t="s">
        <v>12</v>
      </c>
      <c r="B338" s="158">
        <v>0</v>
      </c>
      <c r="C338" s="158" t="s">
        <v>378</v>
      </c>
      <c r="D338" s="161">
        <v>0</v>
      </c>
      <c r="E338" s="160">
        <f t="shared" si="5"/>
        <v>0</v>
      </c>
    </row>
    <row r="339" spans="1:5">
      <c r="A339" s="159" t="s">
        <v>278</v>
      </c>
      <c r="B339" s="158">
        <v>0</v>
      </c>
      <c r="C339" s="158" t="s">
        <v>378</v>
      </c>
      <c r="D339" s="161">
        <v>0</v>
      </c>
      <c r="E339" s="160">
        <f t="shared" si="5"/>
        <v>0</v>
      </c>
    </row>
    <row r="340" spans="1:5">
      <c r="A340" s="159" t="s">
        <v>279</v>
      </c>
      <c r="B340" s="158">
        <v>0</v>
      </c>
      <c r="C340" s="158" t="s">
        <v>378</v>
      </c>
      <c r="D340" s="161">
        <v>0</v>
      </c>
      <c r="E340" s="160">
        <f t="shared" si="5"/>
        <v>0</v>
      </c>
    </row>
    <row r="341" spans="1:5">
      <c r="A341" s="159" t="s">
        <v>280</v>
      </c>
      <c r="B341" s="158">
        <v>0</v>
      </c>
      <c r="C341" s="158" t="s">
        <v>378</v>
      </c>
      <c r="D341" s="161">
        <v>0</v>
      </c>
      <c r="E341" s="160">
        <f t="shared" si="5"/>
        <v>0</v>
      </c>
    </row>
    <row r="342" spans="1:5">
      <c r="A342" s="159" t="s">
        <v>437</v>
      </c>
      <c r="B342" s="158">
        <v>0</v>
      </c>
      <c r="C342" s="158" t="s">
        <v>378</v>
      </c>
      <c r="D342" s="161">
        <v>0</v>
      </c>
      <c r="E342" s="160">
        <f t="shared" si="5"/>
        <v>0</v>
      </c>
    </row>
    <row r="343" spans="1:5">
      <c r="A343" s="159" t="s">
        <v>281</v>
      </c>
      <c r="B343" s="158">
        <v>0</v>
      </c>
      <c r="C343" s="158" t="s">
        <v>378</v>
      </c>
      <c r="D343" s="161">
        <v>0</v>
      </c>
      <c r="E343" s="160">
        <f t="shared" si="5"/>
        <v>0</v>
      </c>
    </row>
    <row r="344" spans="1:5">
      <c r="A344" s="159" t="s">
        <v>284</v>
      </c>
      <c r="B344" s="158">
        <v>0</v>
      </c>
      <c r="C344" s="158" t="s">
        <v>378</v>
      </c>
      <c r="D344" s="161">
        <v>0</v>
      </c>
      <c r="E344" s="160">
        <f t="shared" si="5"/>
        <v>0</v>
      </c>
    </row>
    <row r="345" spans="1:5">
      <c r="A345" s="159" t="s">
        <v>285</v>
      </c>
      <c r="B345" s="158">
        <v>0</v>
      </c>
      <c r="C345" s="158" t="s">
        <v>378</v>
      </c>
      <c r="D345" s="161">
        <v>0</v>
      </c>
      <c r="E345" s="160">
        <f t="shared" si="5"/>
        <v>0</v>
      </c>
    </row>
    <row r="346" spans="1:5">
      <c r="A346" s="159" t="s">
        <v>288</v>
      </c>
      <c r="B346" s="158">
        <v>0</v>
      </c>
      <c r="C346" s="158" t="s">
        <v>378</v>
      </c>
      <c r="D346" s="161">
        <v>0</v>
      </c>
      <c r="E346" s="160">
        <f t="shared" si="5"/>
        <v>0</v>
      </c>
    </row>
    <row r="347" spans="1:5">
      <c r="A347" s="159" t="s">
        <v>289</v>
      </c>
      <c r="B347" s="158">
        <v>0</v>
      </c>
      <c r="C347" s="158" t="s">
        <v>378</v>
      </c>
      <c r="D347" s="161">
        <v>0</v>
      </c>
      <c r="E347" s="160">
        <f t="shared" si="5"/>
        <v>0</v>
      </c>
    </row>
    <row r="348" spans="1:5">
      <c r="A348" s="159" t="s">
        <v>290</v>
      </c>
      <c r="B348" s="158">
        <v>0</v>
      </c>
      <c r="C348" s="158" t="s">
        <v>378</v>
      </c>
      <c r="D348" s="161">
        <v>0</v>
      </c>
      <c r="E348" s="160">
        <f t="shared" si="5"/>
        <v>0</v>
      </c>
    </row>
    <row r="349" spans="1:5">
      <c r="A349" s="159" t="s">
        <v>296</v>
      </c>
      <c r="B349" s="158">
        <v>0</v>
      </c>
      <c r="C349" s="158" t="s">
        <v>378</v>
      </c>
      <c r="D349" s="161">
        <v>0</v>
      </c>
      <c r="E349" s="160">
        <f t="shared" si="5"/>
        <v>0</v>
      </c>
    </row>
    <row r="350" spans="1:5">
      <c r="A350" s="159" t="s">
        <v>295</v>
      </c>
      <c r="B350" s="158">
        <v>0</v>
      </c>
      <c r="C350" s="158" t="s">
        <v>378</v>
      </c>
      <c r="D350" s="161">
        <v>0</v>
      </c>
      <c r="E350" s="160">
        <f t="shared" si="5"/>
        <v>0</v>
      </c>
    </row>
    <row r="351" spans="1:5">
      <c r="A351" s="159" t="s">
        <v>330</v>
      </c>
      <c r="B351" s="158">
        <v>0</v>
      </c>
      <c r="C351" s="158" t="s">
        <v>378</v>
      </c>
      <c r="D351" s="161">
        <v>0</v>
      </c>
      <c r="E351" s="160">
        <f t="shared" si="5"/>
        <v>0</v>
      </c>
    </row>
    <row r="352" spans="1:5">
      <c r="A352" s="159" t="s">
        <v>329</v>
      </c>
      <c r="B352" s="158">
        <v>0</v>
      </c>
      <c r="C352" s="158" t="s">
        <v>378</v>
      </c>
      <c r="D352" s="161">
        <v>0</v>
      </c>
      <c r="E352" s="160">
        <f t="shared" si="5"/>
        <v>0</v>
      </c>
    </row>
    <row r="353" spans="1:5">
      <c r="A353" s="159" t="s">
        <v>331</v>
      </c>
      <c r="B353" s="158">
        <v>0</v>
      </c>
      <c r="C353" s="158" t="s">
        <v>378</v>
      </c>
      <c r="D353" s="161">
        <v>0</v>
      </c>
      <c r="E353" s="160">
        <f t="shared" si="5"/>
        <v>0</v>
      </c>
    </row>
    <row r="354" spans="1:5">
      <c r="A354" s="159" t="s">
        <v>42</v>
      </c>
      <c r="B354" s="158">
        <v>0</v>
      </c>
      <c r="C354" s="158" t="s">
        <v>378</v>
      </c>
      <c r="D354" s="161">
        <v>0</v>
      </c>
      <c r="E354" s="160">
        <f t="shared" si="5"/>
        <v>0</v>
      </c>
    </row>
    <row r="355" spans="1:5">
      <c r="A355" s="159" t="s">
        <v>41</v>
      </c>
      <c r="B355" s="158">
        <v>0</v>
      </c>
      <c r="C355" s="158" t="s">
        <v>378</v>
      </c>
      <c r="D355" s="161">
        <v>0</v>
      </c>
      <c r="E355" s="160">
        <f t="shared" si="5"/>
        <v>0</v>
      </c>
    </row>
    <row r="356" spans="1:5">
      <c r="A356" s="159" t="s">
        <v>3</v>
      </c>
      <c r="B356" s="158">
        <v>0</v>
      </c>
      <c r="C356" s="158" t="s">
        <v>378</v>
      </c>
      <c r="D356" s="161">
        <v>0</v>
      </c>
      <c r="E356" s="160">
        <f t="shared" si="5"/>
        <v>0</v>
      </c>
    </row>
    <row r="357" spans="1:5">
      <c r="A357" s="159" t="s">
        <v>4</v>
      </c>
      <c r="B357" s="158">
        <v>0</v>
      </c>
      <c r="C357" s="158" t="s">
        <v>378</v>
      </c>
      <c r="D357" s="161">
        <v>0</v>
      </c>
      <c r="E357" s="160">
        <f t="shared" si="5"/>
        <v>0</v>
      </c>
    </row>
    <row r="358" spans="1:5">
      <c r="A358" s="159" t="s">
        <v>67</v>
      </c>
      <c r="B358" s="158">
        <v>0</v>
      </c>
      <c r="C358" s="158" t="s">
        <v>378</v>
      </c>
      <c r="D358" s="161">
        <v>0</v>
      </c>
      <c r="E358" s="160">
        <f t="shared" si="5"/>
        <v>0</v>
      </c>
    </row>
    <row r="359" spans="1:5">
      <c r="A359" s="159" t="s">
        <v>68</v>
      </c>
      <c r="B359" s="158">
        <v>0</v>
      </c>
      <c r="C359" s="158" t="s">
        <v>378</v>
      </c>
      <c r="D359" s="161">
        <v>0</v>
      </c>
      <c r="E359" s="160">
        <f t="shared" si="5"/>
        <v>0</v>
      </c>
    </row>
    <row r="360" spans="1:5">
      <c r="A360" s="159" t="s">
        <v>70</v>
      </c>
      <c r="B360" s="158">
        <v>0</v>
      </c>
      <c r="C360" s="158" t="s">
        <v>378</v>
      </c>
      <c r="D360" s="161">
        <v>0</v>
      </c>
      <c r="E360" s="160">
        <f t="shared" si="5"/>
        <v>0</v>
      </c>
    </row>
    <row r="361" spans="1:5">
      <c r="A361" s="159" t="s">
        <v>380</v>
      </c>
      <c r="B361" s="158">
        <v>0</v>
      </c>
      <c r="C361" s="158" t="s">
        <v>378</v>
      </c>
      <c r="D361" s="161">
        <v>0</v>
      </c>
      <c r="E361" s="160">
        <f t="shared" si="5"/>
        <v>0</v>
      </c>
    </row>
    <row r="362" spans="1:5">
      <c r="A362" s="159" t="s">
        <v>16</v>
      </c>
      <c r="B362" s="158">
        <v>0</v>
      </c>
      <c r="C362" s="158" t="s">
        <v>378</v>
      </c>
      <c r="D362" s="161">
        <v>0</v>
      </c>
      <c r="E362" s="160">
        <f t="shared" si="5"/>
        <v>0</v>
      </c>
    </row>
    <row r="363" spans="1:5">
      <c r="A363" s="159" t="s">
        <v>17</v>
      </c>
      <c r="B363" s="158">
        <v>0</v>
      </c>
      <c r="C363" s="158" t="s">
        <v>378</v>
      </c>
      <c r="D363" s="161">
        <v>0</v>
      </c>
      <c r="E363" s="160">
        <f t="shared" si="5"/>
        <v>0</v>
      </c>
    </row>
    <row r="364" spans="1:5">
      <c r="A364" s="159" t="s">
        <v>333</v>
      </c>
      <c r="B364" s="158">
        <v>0</v>
      </c>
      <c r="C364" s="158" t="s">
        <v>378</v>
      </c>
      <c r="D364" s="161">
        <v>0</v>
      </c>
      <c r="E364" s="160">
        <f t="shared" si="5"/>
        <v>0</v>
      </c>
    </row>
    <row r="365" spans="1:5">
      <c r="A365" s="159" t="s">
        <v>291</v>
      </c>
      <c r="B365" s="158">
        <v>0</v>
      </c>
      <c r="C365" s="158" t="s">
        <v>378</v>
      </c>
      <c r="D365" s="161">
        <v>0</v>
      </c>
      <c r="E365" s="160">
        <f t="shared" si="5"/>
        <v>0</v>
      </c>
    </row>
    <row r="366" spans="1:5">
      <c r="A366" s="159" t="s">
        <v>292</v>
      </c>
      <c r="B366" s="158">
        <v>0</v>
      </c>
      <c r="C366" s="158" t="s">
        <v>378</v>
      </c>
      <c r="D366" s="161">
        <v>0</v>
      </c>
      <c r="E366" s="160">
        <f t="shared" si="5"/>
        <v>0</v>
      </c>
    </row>
    <row r="367" spans="1:5">
      <c r="A367" s="159" t="s">
        <v>293</v>
      </c>
      <c r="B367" s="158">
        <v>0</v>
      </c>
      <c r="C367" s="158" t="s">
        <v>378</v>
      </c>
      <c r="D367" s="161">
        <v>0</v>
      </c>
      <c r="E367" s="160">
        <f t="shared" si="5"/>
        <v>0</v>
      </c>
    </row>
    <row r="368" spans="1:5">
      <c r="A368" s="159" t="s">
        <v>193</v>
      </c>
      <c r="B368" s="158">
        <v>0</v>
      </c>
      <c r="C368" s="158" t="s">
        <v>378</v>
      </c>
      <c r="D368" s="161">
        <v>0</v>
      </c>
      <c r="E368" s="160">
        <f t="shared" si="5"/>
        <v>0</v>
      </c>
    </row>
    <row r="369" spans="1:5">
      <c r="A369" s="159" t="s">
        <v>294</v>
      </c>
      <c r="B369" s="158">
        <v>0</v>
      </c>
      <c r="C369" s="158" t="s">
        <v>378</v>
      </c>
      <c r="D369" s="161">
        <v>0</v>
      </c>
      <c r="E369" s="160">
        <f t="shared" si="5"/>
        <v>0</v>
      </c>
    </row>
    <row r="370" spans="1:5">
      <c r="A370" s="159" t="s">
        <v>2</v>
      </c>
      <c r="B370" s="158">
        <v>0</v>
      </c>
      <c r="C370" s="158" t="s">
        <v>378</v>
      </c>
      <c r="D370" s="161">
        <v>0</v>
      </c>
      <c r="E370" s="160">
        <f t="shared" si="5"/>
        <v>0</v>
      </c>
    </row>
    <row r="371" spans="1:5">
      <c r="A371" s="159" t="s">
        <v>22</v>
      </c>
      <c r="B371" s="158">
        <v>0</v>
      </c>
      <c r="C371" s="158" t="s">
        <v>378</v>
      </c>
      <c r="D371" s="161">
        <v>0</v>
      </c>
      <c r="E371" s="160">
        <f t="shared" si="5"/>
        <v>0</v>
      </c>
    </row>
    <row r="372" spans="1:5">
      <c r="A372" s="159" t="s">
        <v>21</v>
      </c>
      <c r="B372" s="158">
        <v>0</v>
      </c>
      <c r="C372" s="158" t="s">
        <v>378</v>
      </c>
      <c r="D372" s="161">
        <v>0</v>
      </c>
      <c r="E372" s="160">
        <f t="shared" si="5"/>
        <v>0</v>
      </c>
    </row>
    <row r="373" spans="1:5">
      <c r="A373" s="159" t="s">
        <v>8</v>
      </c>
      <c r="B373" s="158">
        <v>0</v>
      </c>
      <c r="C373" s="158" t="s">
        <v>378</v>
      </c>
      <c r="D373" s="161">
        <v>0</v>
      </c>
      <c r="E373" s="160">
        <f t="shared" si="5"/>
        <v>0</v>
      </c>
    </row>
    <row r="374" spans="1:5">
      <c r="A374" s="159" t="s">
        <v>9</v>
      </c>
      <c r="B374" s="158">
        <v>0</v>
      </c>
      <c r="C374" s="158" t="s">
        <v>378</v>
      </c>
      <c r="D374" s="161">
        <v>0</v>
      </c>
      <c r="E374" s="160">
        <f t="shared" si="5"/>
        <v>0</v>
      </c>
    </row>
    <row r="375" spans="1:5">
      <c r="A375" s="159" t="s">
        <v>335</v>
      </c>
      <c r="B375" s="158">
        <v>0</v>
      </c>
      <c r="C375" s="158" t="s">
        <v>378</v>
      </c>
      <c r="D375" s="161">
        <v>0</v>
      </c>
      <c r="E375" s="160">
        <f t="shared" si="5"/>
        <v>0</v>
      </c>
    </row>
    <row r="376" spans="1:5">
      <c r="A376" s="159" t="s">
        <v>336</v>
      </c>
      <c r="B376" s="158">
        <v>0</v>
      </c>
      <c r="C376" s="158" t="s">
        <v>378</v>
      </c>
      <c r="D376" s="161">
        <v>0</v>
      </c>
      <c r="E376" s="160">
        <f t="shared" si="5"/>
        <v>0</v>
      </c>
    </row>
    <row r="377" spans="1:5">
      <c r="A377" s="159" t="s">
        <v>13</v>
      </c>
      <c r="B377" s="158">
        <v>0</v>
      </c>
      <c r="C377" s="158" t="s">
        <v>217</v>
      </c>
      <c r="D377" s="161">
        <v>0</v>
      </c>
      <c r="E377" s="160">
        <f t="shared" si="5"/>
        <v>0</v>
      </c>
    </row>
    <row r="378" spans="1:5">
      <c r="A378" s="159" t="s">
        <v>261</v>
      </c>
      <c r="B378" s="158">
        <v>0</v>
      </c>
      <c r="C378" s="158" t="s">
        <v>217</v>
      </c>
      <c r="D378" s="161">
        <v>0</v>
      </c>
      <c r="E378" s="160">
        <f t="shared" si="5"/>
        <v>0</v>
      </c>
    </row>
    <row r="379" spans="1:5">
      <c r="A379" s="159" t="s">
        <v>14</v>
      </c>
      <c r="B379" s="158">
        <v>0</v>
      </c>
      <c r="C379" s="158" t="s">
        <v>217</v>
      </c>
      <c r="D379" s="161">
        <v>0</v>
      </c>
      <c r="E379" s="160">
        <f t="shared" si="5"/>
        <v>0</v>
      </c>
    </row>
    <row r="380" spans="1:5">
      <c r="A380" s="159" t="s">
        <v>23</v>
      </c>
      <c r="B380" s="158">
        <v>0</v>
      </c>
      <c r="C380" s="158" t="s">
        <v>217</v>
      </c>
      <c r="D380" s="161">
        <v>0</v>
      </c>
      <c r="E380" s="160">
        <f t="shared" si="5"/>
        <v>0</v>
      </c>
    </row>
    <row r="381" spans="1:5">
      <c r="A381" s="159" t="s">
        <v>18</v>
      </c>
      <c r="B381" s="158">
        <v>0</v>
      </c>
      <c r="C381" s="158" t="s">
        <v>217</v>
      </c>
      <c r="D381" s="161">
        <v>0</v>
      </c>
      <c r="E381" s="160">
        <f t="shared" si="5"/>
        <v>0</v>
      </c>
    </row>
    <row r="382" spans="1:5">
      <c r="A382" s="159" t="s">
        <v>19</v>
      </c>
      <c r="B382" s="158">
        <v>0</v>
      </c>
      <c r="C382" s="158" t="s">
        <v>217</v>
      </c>
      <c r="D382" s="161">
        <v>0</v>
      </c>
      <c r="E382" s="160">
        <f t="shared" si="5"/>
        <v>0</v>
      </c>
    </row>
    <row r="383" spans="1:5">
      <c r="A383" s="159" t="s">
        <v>259</v>
      </c>
      <c r="B383" s="158">
        <v>0</v>
      </c>
      <c r="C383" s="158" t="s">
        <v>217</v>
      </c>
      <c r="D383" s="161">
        <v>0</v>
      </c>
      <c r="E383" s="160">
        <f t="shared" si="5"/>
        <v>0</v>
      </c>
    </row>
    <row r="384" spans="1:5">
      <c r="A384" s="159" t="s">
        <v>260</v>
      </c>
      <c r="B384" s="158">
        <v>0</v>
      </c>
      <c r="C384" s="158" t="s">
        <v>217</v>
      </c>
      <c r="D384" s="161">
        <v>0</v>
      </c>
      <c r="E384" s="160">
        <f t="shared" si="5"/>
        <v>0</v>
      </c>
    </row>
    <row r="385" spans="1:5">
      <c r="A385" s="159" t="s">
        <v>299</v>
      </c>
      <c r="B385" s="158">
        <v>0</v>
      </c>
      <c r="C385" s="158" t="s">
        <v>217</v>
      </c>
      <c r="D385" s="161">
        <v>0</v>
      </c>
      <c r="E385" s="160">
        <f t="shared" si="5"/>
        <v>0</v>
      </c>
    </row>
    <row r="386" spans="1:5">
      <c r="A386" s="159" t="s">
        <v>300</v>
      </c>
      <c r="B386" s="158">
        <v>0</v>
      </c>
      <c r="C386" s="158" t="s">
        <v>217</v>
      </c>
      <c r="D386" s="161">
        <v>0</v>
      </c>
      <c r="E386" s="160">
        <f t="shared" ref="E386:E449" si="6">B386*D386</f>
        <v>0</v>
      </c>
    </row>
    <row r="387" spans="1:5">
      <c r="A387" s="159" t="s">
        <v>220</v>
      </c>
      <c r="B387" s="158">
        <v>0</v>
      </c>
      <c r="C387" s="158" t="s">
        <v>217</v>
      </c>
      <c r="D387" s="161">
        <v>0</v>
      </c>
      <c r="E387" s="160">
        <f t="shared" si="6"/>
        <v>0</v>
      </c>
    </row>
    <row r="388" spans="1:5">
      <c r="A388" s="159" t="s">
        <v>268</v>
      </c>
      <c r="B388" s="158">
        <v>0</v>
      </c>
      <c r="C388" s="158" t="s">
        <v>217</v>
      </c>
      <c r="D388" s="161">
        <v>0</v>
      </c>
      <c r="E388" s="160">
        <f t="shared" si="6"/>
        <v>0</v>
      </c>
    </row>
    <row r="389" spans="1:5">
      <c r="A389" s="159" t="s">
        <v>221</v>
      </c>
      <c r="B389" s="158">
        <v>0</v>
      </c>
      <c r="C389" s="158" t="s">
        <v>217</v>
      </c>
      <c r="D389" s="161">
        <v>0</v>
      </c>
      <c r="E389" s="160">
        <f t="shared" si="6"/>
        <v>0</v>
      </c>
    </row>
    <row r="390" spans="1:5">
      <c r="A390" s="159" t="s">
        <v>222</v>
      </c>
      <c r="B390" s="158">
        <v>0</v>
      </c>
      <c r="C390" s="158" t="s">
        <v>217</v>
      </c>
      <c r="D390" s="161">
        <v>0</v>
      </c>
      <c r="E390" s="160">
        <f t="shared" si="6"/>
        <v>0</v>
      </c>
    </row>
    <row r="391" spans="1:5">
      <c r="A391" s="159" t="s">
        <v>337</v>
      </c>
      <c r="B391" s="158">
        <v>0</v>
      </c>
      <c r="C391" s="158" t="s">
        <v>217</v>
      </c>
      <c r="D391" s="161">
        <v>0</v>
      </c>
      <c r="E391" s="160">
        <f t="shared" si="6"/>
        <v>0</v>
      </c>
    </row>
    <row r="392" spans="1:5">
      <c r="A392" s="159" t="s">
        <v>269</v>
      </c>
      <c r="B392" s="158">
        <v>0</v>
      </c>
      <c r="C392" s="158" t="s">
        <v>217</v>
      </c>
      <c r="D392" s="161">
        <v>0</v>
      </c>
      <c r="E392" s="160">
        <f t="shared" si="6"/>
        <v>0</v>
      </c>
    </row>
    <row r="393" spans="1:5">
      <c r="A393" s="159" t="s">
        <v>270</v>
      </c>
      <c r="B393" s="158">
        <v>0</v>
      </c>
      <c r="C393" s="158" t="s">
        <v>217</v>
      </c>
      <c r="D393" s="161">
        <v>0</v>
      </c>
      <c r="E393" s="160">
        <f t="shared" si="6"/>
        <v>0</v>
      </c>
    </row>
    <row r="394" spans="1:5">
      <c r="A394" s="159" t="s">
        <v>385</v>
      </c>
      <c r="B394" s="158">
        <v>0</v>
      </c>
      <c r="C394" s="158" t="s">
        <v>217</v>
      </c>
      <c r="D394" s="161">
        <v>0</v>
      </c>
      <c r="E394" s="160">
        <f t="shared" si="6"/>
        <v>0</v>
      </c>
    </row>
    <row r="395" spans="1:5">
      <c r="A395" s="159" t="s">
        <v>272</v>
      </c>
      <c r="B395" s="158">
        <v>0</v>
      </c>
      <c r="C395" s="158" t="s">
        <v>217</v>
      </c>
      <c r="D395" s="161">
        <v>0</v>
      </c>
      <c r="E395" s="160">
        <f t="shared" si="6"/>
        <v>0</v>
      </c>
    </row>
    <row r="396" spans="1:5">
      <c r="A396" s="159" t="s">
        <v>273</v>
      </c>
      <c r="B396" s="158">
        <v>0</v>
      </c>
      <c r="C396" s="158" t="s">
        <v>217</v>
      </c>
      <c r="D396" s="161">
        <v>0</v>
      </c>
      <c r="E396" s="160">
        <f t="shared" si="6"/>
        <v>0</v>
      </c>
    </row>
    <row r="397" spans="1:5">
      <c r="A397" s="159" t="s">
        <v>224</v>
      </c>
      <c r="B397" s="158">
        <v>0</v>
      </c>
      <c r="C397" s="158" t="s">
        <v>217</v>
      </c>
      <c r="D397" s="161">
        <v>0</v>
      </c>
      <c r="E397" s="160">
        <f t="shared" si="6"/>
        <v>0</v>
      </c>
    </row>
    <row r="398" spans="1:5">
      <c r="A398" s="159" t="s">
        <v>274</v>
      </c>
      <c r="B398" s="158">
        <v>0</v>
      </c>
      <c r="C398" s="158" t="s">
        <v>217</v>
      </c>
      <c r="D398" s="161">
        <v>0</v>
      </c>
      <c r="E398" s="160">
        <f t="shared" si="6"/>
        <v>0</v>
      </c>
    </row>
    <row r="399" spans="1:5">
      <c r="A399" s="159" t="s">
        <v>226</v>
      </c>
      <c r="B399" s="158">
        <v>0</v>
      </c>
      <c r="C399" s="158" t="s">
        <v>217</v>
      </c>
      <c r="D399" s="161">
        <v>0</v>
      </c>
      <c r="E399" s="160">
        <f t="shared" si="6"/>
        <v>0</v>
      </c>
    </row>
    <row r="400" spans="1:5">
      <c r="A400" s="159" t="s">
        <v>227</v>
      </c>
      <c r="B400" s="158">
        <v>0</v>
      </c>
      <c r="C400" s="158" t="s">
        <v>217</v>
      </c>
      <c r="D400" s="161">
        <v>0</v>
      </c>
      <c r="E400" s="160">
        <f t="shared" si="6"/>
        <v>0</v>
      </c>
    </row>
    <row r="401" spans="1:5">
      <c r="A401" s="159" t="s">
        <v>225</v>
      </c>
      <c r="B401" s="158">
        <v>0</v>
      </c>
      <c r="C401" s="158" t="s">
        <v>217</v>
      </c>
      <c r="D401" s="161">
        <v>0</v>
      </c>
      <c r="E401" s="160">
        <f t="shared" si="6"/>
        <v>0</v>
      </c>
    </row>
    <row r="402" spans="1:5">
      <c r="A402" s="159" t="s">
        <v>31</v>
      </c>
      <c r="B402" s="158">
        <v>0</v>
      </c>
      <c r="C402" s="158" t="s">
        <v>217</v>
      </c>
      <c r="D402" s="161">
        <v>0</v>
      </c>
      <c r="E402" s="160">
        <f t="shared" si="6"/>
        <v>0</v>
      </c>
    </row>
    <row r="403" spans="1:5">
      <c r="A403" s="159" t="s">
        <v>11</v>
      </c>
      <c r="B403" s="158">
        <v>0</v>
      </c>
      <c r="C403" s="158" t="s">
        <v>217</v>
      </c>
      <c r="D403" s="161">
        <v>0</v>
      </c>
      <c r="E403" s="160">
        <f t="shared" si="6"/>
        <v>0</v>
      </c>
    </row>
    <row r="404" spans="1:5">
      <c r="A404" s="159" t="s">
        <v>32</v>
      </c>
      <c r="B404" s="158">
        <v>0</v>
      </c>
      <c r="C404" s="158" t="s">
        <v>217</v>
      </c>
      <c r="D404" s="161">
        <v>0</v>
      </c>
      <c r="E404" s="160">
        <f t="shared" si="6"/>
        <v>0</v>
      </c>
    </row>
    <row r="405" spans="1:5">
      <c r="A405" s="159" t="s">
        <v>327</v>
      </c>
      <c r="B405" s="158">
        <v>0</v>
      </c>
      <c r="C405" s="158" t="s">
        <v>217</v>
      </c>
      <c r="D405" s="161">
        <v>0</v>
      </c>
      <c r="E405" s="160">
        <f t="shared" si="6"/>
        <v>0</v>
      </c>
    </row>
    <row r="406" spans="1:5">
      <c r="A406" s="159" t="s">
        <v>100</v>
      </c>
      <c r="B406" s="158">
        <v>0</v>
      </c>
      <c r="C406" s="158" t="s">
        <v>217</v>
      </c>
      <c r="D406" s="161">
        <v>0</v>
      </c>
      <c r="E406" s="160">
        <f t="shared" si="6"/>
        <v>0</v>
      </c>
    </row>
    <row r="407" spans="1:5">
      <c r="A407" s="159" t="s">
        <v>328</v>
      </c>
      <c r="B407" s="158">
        <v>0</v>
      </c>
      <c r="C407" s="158" t="s">
        <v>217</v>
      </c>
      <c r="D407" s="161">
        <v>0</v>
      </c>
      <c r="E407" s="160">
        <f t="shared" si="6"/>
        <v>0</v>
      </c>
    </row>
    <row r="408" spans="1:5">
      <c r="A408" s="159" t="s">
        <v>325</v>
      </c>
      <c r="B408" s="158">
        <v>0</v>
      </c>
      <c r="C408" s="158" t="s">
        <v>217</v>
      </c>
      <c r="D408" s="161">
        <v>0</v>
      </c>
      <c r="E408" s="160">
        <f t="shared" si="6"/>
        <v>0</v>
      </c>
    </row>
    <row r="409" spans="1:5">
      <c r="A409" s="159" t="s">
        <v>326</v>
      </c>
      <c r="B409" s="158">
        <v>0</v>
      </c>
      <c r="C409" s="158" t="s">
        <v>217</v>
      </c>
      <c r="D409" s="161">
        <v>0</v>
      </c>
      <c r="E409" s="160">
        <f t="shared" si="6"/>
        <v>0</v>
      </c>
    </row>
    <row r="410" spans="1:5">
      <c r="A410" s="159" t="s">
        <v>276</v>
      </c>
      <c r="B410" s="158">
        <v>0</v>
      </c>
      <c r="C410" s="158" t="s">
        <v>217</v>
      </c>
      <c r="D410" s="161">
        <v>0</v>
      </c>
      <c r="E410" s="160">
        <f t="shared" si="6"/>
        <v>0</v>
      </c>
    </row>
    <row r="411" spans="1:5">
      <c r="A411" s="159" t="s">
        <v>277</v>
      </c>
      <c r="B411" s="158">
        <v>0</v>
      </c>
      <c r="C411" s="158" t="s">
        <v>217</v>
      </c>
      <c r="D411" s="161">
        <v>0</v>
      </c>
      <c r="E411" s="160">
        <f t="shared" si="6"/>
        <v>0</v>
      </c>
    </row>
    <row r="412" spans="1:5">
      <c r="A412" s="159" t="s">
        <v>6</v>
      </c>
      <c r="B412" s="158">
        <v>0</v>
      </c>
      <c r="C412" s="158" t="s">
        <v>217</v>
      </c>
      <c r="D412" s="161">
        <v>0</v>
      </c>
      <c r="E412" s="160">
        <f t="shared" si="6"/>
        <v>0</v>
      </c>
    </row>
    <row r="413" spans="1:5">
      <c r="A413" s="159" t="s">
        <v>12</v>
      </c>
      <c r="B413" s="158">
        <v>0</v>
      </c>
      <c r="C413" s="158" t="s">
        <v>217</v>
      </c>
      <c r="D413" s="161">
        <v>0</v>
      </c>
      <c r="E413" s="160">
        <f t="shared" si="6"/>
        <v>0</v>
      </c>
    </row>
    <row r="414" spans="1:5">
      <c r="A414" s="159" t="s">
        <v>278</v>
      </c>
      <c r="B414" s="158">
        <v>0</v>
      </c>
      <c r="C414" s="158" t="s">
        <v>217</v>
      </c>
      <c r="D414" s="161">
        <v>0</v>
      </c>
      <c r="E414" s="160">
        <f t="shared" si="6"/>
        <v>0</v>
      </c>
    </row>
    <row r="415" spans="1:5">
      <c r="A415" s="159" t="s">
        <v>279</v>
      </c>
      <c r="B415" s="158">
        <v>0</v>
      </c>
      <c r="C415" s="158" t="s">
        <v>217</v>
      </c>
      <c r="D415" s="161">
        <v>0</v>
      </c>
      <c r="E415" s="160">
        <f t="shared" si="6"/>
        <v>0</v>
      </c>
    </row>
    <row r="416" spans="1:5">
      <c r="A416" s="159" t="s">
        <v>280</v>
      </c>
      <c r="B416" s="158">
        <v>0</v>
      </c>
      <c r="C416" s="158" t="s">
        <v>217</v>
      </c>
      <c r="D416" s="161">
        <v>0</v>
      </c>
      <c r="E416" s="160">
        <f t="shared" si="6"/>
        <v>0</v>
      </c>
    </row>
    <row r="417" spans="1:5">
      <c r="A417" s="159" t="s">
        <v>437</v>
      </c>
      <c r="B417" s="158">
        <v>0</v>
      </c>
      <c r="C417" s="158" t="s">
        <v>217</v>
      </c>
      <c r="D417" s="161">
        <v>0</v>
      </c>
      <c r="E417" s="160">
        <f t="shared" si="6"/>
        <v>0</v>
      </c>
    </row>
    <row r="418" spans="1:5">
      <c r="A418" s="159" t="s">
        <v>281</v>
      </c>
      <c r="B418" s="158">
        <v>0</v>
      </c>
      <c r="C418" s="158" t="s">
        <v>217</v>
      </c>
      <c r="D418" s="161">
        <v>0</v>
      </c>
      <c r="E418" s="160">
        <f t="shared" si="6"/>
        <v>0</v>
      </c>
    </row>
    <row r="419" spans="1:5">
      <c r="A419" s="159" t="s">
        <v>284</v>
      </c>
      <c r="B419" s="158">
        <v>0</v>
      </c>
      <c r="C419" s="158" t="s">
        <v>217</v>
      </c>
      <c r="D419" s="161">
        <v>0</v>
      </c>
      <c r="E419" s="160">
        <f t="shared" si="6"/>
        <v>0</v>
      </c>
    </row>
    <row r="420" spans="1:5">
      <c r="A420" s="159" t="s">
        <v>285</v>
      </c>
      <c r="B420" s="158">
        <v>0</v>
      </c>
      <c r="C420" s="158" t="s">
        <v>217</v>
      </c>
      <c r="D420" s="161">
        <v>0</v>
      </c>
      <c r="E420" s="160">
        <f t="shared" si="6"/>
        <v>0</v>
      </c>
    </row>
    <row r="421" spans="1:5">
      <c r="A421" s="159" t="s">
        <v>288</v>
      </c>
      <c r="B421" s="158">
        <v>0</v>
      </c>
      <c r="C421" s="158" t="s">
        <v>217</v>
      </c>
      <c r="D421" s="161">
        <v>0</v>
      </c>
      <c r="E421" s="160">
        <f t="shared" si="6"/>
        <v>0</v>
      </c>
    </row>
    <row r="422" spans="1:5">
      <c r="A422" s="159" t="s">
        <v>289</v>
      </c>
      <c r="B422" s="158">
        <v>0</v>
      </c>
      <c r="C422" s="158" t="s">
        <v>217</v>
      </c>
      <c r="D422" s="161">
        <v>0</v>
      </c>
      <c r="E422" s="160">
        <f t="shared" si="6"/>
        <v>0</v>
      </c>
    </row>
    <row r="423" spans="1:5">
      <c r="A423" s="159" t="s">
        <v>290</v>
      </c>
      <c r="B423" s="158">
        <v>0</v>
      </c>
      <c r="C423" s="158" t="s">
        <v>217</v>
      </c>
      <c r="D423" s="161">
        <v>0</v>
      </c>
      <c r="E423" s="160">
        <f t="shared" si="6"/>
        <v>0</v>
      </c>
    </row>
    <row r="424" spans="1:5">
      <c r="A424" s="159" t="s">
        <v>296</v>
      </c>
      <c r="B424" s="158">
        <v>0</v>
      </c>
      <c r="C424" s="158" t="s">
        <v>217</v>
      </c>
      <c r="D424" s="161">
        <v>0</v>
      </c>
      <c r="E424" s="160">
        <f t="shared" si="6"/>
        <v>0</v>
      </c>
    </row>
    <row r="425" spans="1:5">
      <c r="A425" s="159" t="s">
        <v>295</v>
      </c>
      <c r="B425" s="158">
        <v>0</v>
      </c>
      <c r="C425" s="158" t="s">
        <v>217</v>
      </c>
      <c r="D425" s="161">
        <v>0</v>
      </c>
      <c r="E425" s="160">
        <f t="shared" si="6"/>
        <v>0</v>
      </c>
    </row>
    <row r="426" spans="1:5">
      <c r="A426" s="159" t="s">
        <v>330</v>
      </c>
      <c r="B426" s="158">
        <v>0</v>
      </c>
      <c r="C426" s="158" t="s">
        <v>217</v>
      </c>
      <c r="D426" s="161">
        <v>0</v>
      </c>
      <c r="E426" s="160">
        <f t="shared" si="6"/>
        <v>0</v>
      </c>
    </row>
    <row r="427" spans="1:5">
      <c r="A427" s="159" t="s">
        <v>329</v>
      </c>
      <c r="B427" s="158">
        <v>0</v>
      </c>
      <c r="C427" s="158" t="s">
        <v>217</v>
      </c>
      <c r="D427" s="161">
        <v>0</v>
      </c>
      <c r="E427" s="160">
        <f t="shared" si="6"/>
        <v>0</v>
      </c>
    </row>
    <row r="428" spans="1:5">
      <c r="A428" s="159" t="s">
        <v>331</v>
      </c>
      <c r="B428" s="158">
        <v>0</v>
      </c>
      <c r="C428" s="158" t="s">
        <v>217</v>
      </c>
      <c r="D428" s="161">
        <v>0</v>
      </c>
      <c r="E428" s="160">
        <f t="shared" si="6"/>
        <v>0</v>
      </c>
    </row>
    <row r="429" spans="1:5">
      <c r="A429" s="159" t="s">
        <v>42</v>
      </c>
      <c r="B429" s="158">
        <v>0</v>
      </c>
      <c r="C429" s="158" t="s">
        <v>217</v>
      </c>
      <c r="D429" s="161">
        <v>0</v>
      </c>
      <c r="E429" s="160">
        <f t="shared" si="6"/>
        <v>0</v>
      </c>
    </row>
    <row r="430" spans="1:5">
      <c r="A430" s="159" t="s">
        <v>41</v>
      </c>
      <c r="B430" s="158">
        <v>0</v>
      </c>
      <c r="C430" s="158" t="s">
        <v>217</v>
      </c>
      <c r="D430" s="161">
        <v>0</v>
      </c>
      <c r="E430" s="160">
        <f t="shared" si="6"/>
        <v>0</v>
      </c>
    </row>
    <row r="431" spans="1:5">
      <c r="A431" s="159" t="s">
        <v>3</v>
      </c>
      <c r="B431" s="158">
        <v>0</v>
      </c>
      <c r="C431" s="158" t="s">
        <v>217</v>
      </c>
      <c r="D431" s="161">
        <v>0</v>
      </c>
      <c r="E431" s="160">
        <f t="shared" si="6"/>
        <v>0</v>
      </c>
    </row>
    <row r="432" spans="1:5">
      <c r="A432" s="159" t="s">
        <v>4</v>
      </c>
      <c r="B432" s="158">
        <v>0</v>
      </c>
      <c r="C432" s="158" t="s">
        <v>217</v>
      </c>
      <c r="D432" s="161">
        <v>0</v>
      </c>
      <c r="E432" s="160">
        <f t="shared" si="6"/>
        <v>0</v>
      </c>
    </row>
    <row r="433" spans="1:5">
      <c r="A433" s="159" t="s">
        <v>67</v>
      </c>
      <c r="B433" s="158">
        <v>0</v>
      </c>
      <c r="C433" s="158" t="s">
        <v>217</v>
      </c>
      <c r="D433" s="161">
        <v>0</v>
      </c>
      <c r="E433" s="160">
        <f t="shared" si="6"/>
        <v>0</v>
      </c>
    </row>
    <row r="434" spans="1:5">
      <c r="A434" s="159" t="s">
        <v>68</v>
      </c>
      <c r="B434" s="158">
        <v>0</v>
      </c>
      <c r="C434" s="158" t="s">
        <v>217</v>
      </c>
      <c r="D434" s="161">
        <v>0</v>
      </c>
      <c r="E434" s="160">
        <f t="shared" si="6"/>
        <v>0</v>
      </c>
    </row>
    <row r="435" spans="1:5">
      <c r="A435" s="159" t="s">
        <v>70</v>
      </c>
      <c r="B435" s="158">
        <v>0</v>
      </c>
      <c r="C435" s="158" t="s">
        <v>217</v>
      </c>
      <c r="D435" s="161">
        <v>0</v>
      </c>
      <c r="E435" s="160">
        <f t="shared" si="6"/>
        <v>0</v>
      </c>
    </row>
    <row r="436" spans="1:5">
      <c r="A436" s="159" t="s">
        <v>380</v>
      </c>
      <c r="B436" s="158">
        <v>0</v>
      </c>
      <c r="C436" s="158" t="s">
        <v>217</v>
      </c>
      <c r="D436" s="161">
        <v>0</v>
      </c>
      <c r="E436" s="160">
        <f t="shared" si="6"/>
        <v>0</v>
      </c>
    </row>
    <row r="437" spans="1:5">
      <c r="A437" s="159" t="s">
        <v>16</v>
      </c>
      <c r="B437" s="158">
        <v>0</v>
      </c>
      <c r="C437" s="158" t="s">
        <v>217</v>
      </c>
      <c r="D437" s="161">
        <v>0</v>
      </c>
      <c r="E437" s="160">
        <f t="shared" si="6"/>
        <v>0</v>
      </c>
    </row>
    <row r="438" spans="1:5">
      <c r="A438" s="159" t="s">
        <v>17</v>
      </c>
      <c r="B438" s="158">
        <v>0</v>
      </c>
      <c r="C438" s="158" t="s">
        <v>217</v>
      </c>
      <c r="D438" s="161">
        <v>0</v>
      </c>
      <c r="E438" s="160">
        <f t="shared" si="6"/>
        <v>0</v>
      </c>
    </row>
    <row r="439" spans="1:5">
      <c r="A439" s="159" t="s">
        <v>333</v>
      </c>
      <c r="B439" s="158">
        <v>0</v>
      </c>
      <c r="C439" s="158" t="s">
        <v>217</v>
      </c>
      <c r="D439" s="161">
        <v>0</v>
      </c>
      <c r="E439" s="160">
        <f t="shared" si="6"/>
        <v>0</v>
      </c>
    </row>
    <row r="440" spans="1:5">
      <c r="A440" s="159" t="s">
        <v>291</v>
      </c>
      <c r="B440" s="158">
        <v>0</v>
      </c>
      <c r="C440" s="158" t="s">
        <v>217</v>
      </c>
      <c r="D440" s="161">
        <v>0</v>
      </c>
      <c r="E440" s="160">
        <f t="shared" si="6"/>
        <v>0</v>
      </c>
    </row>
    <row r="441" spans="1:5">
      <c r="A441" s="159" t="s">
        <v>292</v>
      </c>
      <c r="B441" s="158">
        <v>0</v>
      </c>
      <c r="C441" s="158" t="s">
        <v>217</v>
      </c>
      <c r="D441" s="161">
        <v>0</v>
      </c>
      <c r="E441" s="160">
        <f t="shared" si="6"/>
        <v>0</v>
      </c>
    </row>
    <row r="442" spans="1:5">
      <c r="A442" s="159" t="s">
        <v>293</v>
      </c>
      <c r="B442" s="158">
        <v>0</v>
      </c>
      <c r="C442" s="158" t="s">
        <v>217</v>
      </c>
      <c r="D442" s="161">
        <v>0</v>
      </c>
      <c r="E442" s="160">
        <f t="shared" si="6"/>
        <v>0</v>
      </c>
    </row>
    <row r="443" spans="1:5">
      <c r="A443" s="159" t="s">
        <v>193</v>
      </c>
      <c r="B443" s="158">
        <v>0</v>
      </c>
      <c r="C443" s="158" t="s">
        <v>217</v>
      </c>
      <c r="D443" s="161">
        <v>0</v>
      </c>
      <c r="E443" s="160">
        <f t="shared" si="6"/>
        <v>0</v>
      </c>
    </row>
    <row r="444" spans="1:5">
      <c r="A444" s="159" t="s">
        <v>294</v>
      </c>
      <c r="B444" s="158">
        <v>0</v>
      </c>
      <c r="C444" s="158" t="s">
        <v>217</v>
      </c>
      <c r="D444" s="161">
        <v>0</v>
      </c>
      <c r="E444" s="160">
        <f t="shared" si="6"/>
        <v>0</v>
      </c>
    </row>
    <row r="445" spans="1:5">
      <c r="A445" s="159" t="s">
        <v>2</v>
      </c>
      <c r="B445" s="158">
        <v>0</v>
      </c>
      <c r="C445" s="158" t="s">
        <v>217</v>
      </c>
      <c r="D445" s="161">
        <v>0</v>
      </c>
      <c r="E445" s="160">
        <f t="shared" si="6"/>
        <v>0</v>
      </c>
    </row>
    <row r="446" spans="1:5">
      <c r="A446" s="159" t="s">
        <v>22</v>
      </c>
      <c r="B446" s="158">
        <v>0</v>
      </c>
      <c r="C446" s="158" t="s">
        <v>217</v>
      </c>
      <c r="D446" s="161">
        <v>0</v>
      </c>
      <c r="E446" s="160">
        <f t="shared" si="6"/>
        <v>0</v>
      </c>
    </row>
    <row r="447" spans="1:5">
      <c r="A447" s="159" t="s">
        <v>21</v>
      </c>
      <c r="B447" s="158">
        <v>0</v>
      </c>
      <c r="C447" s="158" t="s">
        <v>217</v>
      </c>
      <c r="D447" s="161">
        <v>0</v>
      </c>
      <c r="E447" s="160">
        <f t="shared" si="6"/>
        <v>0</v>
      </c>
    </row>
    <row r="448" spans="1:5">
      <c r="A448" s="159" t="s">
        <v>8</v>
      </c>
      <c r="B448" s="158">
        <v>0</v>
      </c>
      <c r="C448" s="158" t="s">
        <v>217</v>
      </c>
      <c r="D448" s="161">
        <v>0</v>
      </c>
      <c r="E448" s="160">
        <f t="shared" si="6"/>
        <v>0</v>
      </c>
    </row>
    <row r="449" spans="1:5">
      <c r="A449" s="159" t="s">
        <v>9</v>
      </c>
      <c r="B449" s="158">
        <v>0</v>
      </c>
      <c r="C449" s="158" t="s">
        <v>217</v>
      </c>
      <c r="D449" s="161">
        <v>0</v>
      </c>
      <c r="E449" s="160">
        <f t="shared" si="6"/>
        <v>0</v>
      </c>
    </row>
    <row r="450" spans="1:5">
      <c r="A450" s="159" t="s">
        <v>335</v>
      </c>
      <c r="B450" s="158">
        <v>0</v>
      </c>
      <c r="C450" s="158" t="s">
        <v>217</v>
      </c>
      <c r="D450" s="161">
        <v>0</v>
      </c>
      <c r="E450" s="160">
        <f t="shared" ref="E450:E513" si="7">B450*D450</f>
        <v>0</v>
      </c>
    </row>
    <row r="451" spans="1:5">
      <c r="A451" s="159" t="s">
        <v>336</v>
      </c>
      <c r="B451" s="158">
        <v>0</v>
      </c>
      <c r="C451" s="158" t="s">
        <v>217</v>
      </c>
      <c r="D451" s="161">
        <v>0</v>
      </c>
      <c r="E451" s="160">
        <f t="shared" si="7"/>
        <v>0</v>
      </c>
    </row>
    <row r="452" spans="1:5">
      <c r="A452" s="159" t="s">
        <v>13</v>
      </c>
      <c r="B452" s="158">
        <v>0</v>
      </c>
      <c r="C452" s="158" t="s">
        <v>411</v>
      </c>
      <c r="D452" s="161">
        <v>0</v>
      </c>
      <c r="E452" s="160">
        <f t="shared" si="7"/>
        <v>0</v>
      </c>
    </row>
    <row r="453" spans="1:5">
      <c r="A453" s="159" t="s">
        <v>261</v>
      </c>
      <c r="B453" s="158">
        <v>0</v>
      </c>
      <c r="C453" s="158" t="s">
        <v>411</v>
      </c>
      <c r="D453" s="161">
        <v>0</v>
      </c>
      <c r="E453" s="160">
        <f t="shared" si="7"/>
        <v>0</v>
      </c>
    </row>
    <row r="454" spans="1:5">
      <c r="A454" s="159" t="s">
        <v>14</v>
      </c>
      <c r="B454" s="158">
        <v>0</v>
      </c>
      <c r="C454" s="158" t="s">
        <v>411</v>
      </c>
      <c r="D454" s="161">
        <v>0</v>
      </c>
      <c r="E454" s="160">
        <f t="shared" si="7"/>
        <v>0</v>
      </c>
    </row>
    <row r="455" spans="1:5">
      <c r="A455" s="159" t="s">
        <v>23</v>
      </c>
      <c r="B455" s="158">
        <v>0</v>
      </c>
      <c r="C455" s="158" t="s">
        <v>411</v>
      </c>
      <c r="D455" s="161">
        <v>0</v>
      </c>
      <c r="E455" s="160">
        <f t="shared" si="7"/>
        <v>0</v>
      </c>
    </row>
    <row r="456" spans="1:5">
      <c r="A456" s="159" t="s">
        <v>18</v>
      </c>
      <c r="B456" s="158">
        <v>0</v>
      </c>
      <c r="C456" s="158" t="s">
        <v>411</v>
      </c>
      <c r="D456" s="161">
        <v>0</v>
      </c>
      <c r="E456" s="160">
        <f t="shared" si="7"/>
        <v>0</v>
      </c>
    </row>
    <row r="457" spans="1:5">
      <c r="A457" s="159" t="s">
        <v>19</v>
      </c>
      <c r="B457" s="158">
        <v>0</v>
      </c>
      <c r="C457" s="158" t="s">
        <v>411</v>
      </c>
      <c r="D457" s="161">
        <v>0</v>
      </c>
      <c r="E457" s="160">
        <f t="shared" si="7"/>
        <v>0</v>
      </c>
    </row>
    <row r="458" spans="1:5">
      <c r="A458" s="159" t="s">
        <v>259</v>
      </c>
      <c r="B458" s="158">
        <v>0</v>
      </c>
      <c r="C458" s="158" t="s">
        <v>411</v>
      </c>
      <c r="D458" s="161">
        <v>0</v>
      </c>
      <c r="E458" s="160">
        <f t="shared" si="7"/>
        <v>0</v>
      </c>
    </row>
    <row r="459" spans="1:5">
      <c r="A459" s="159" t="s">
        <v>260</v>
      </c>
      <c r="B459" s="158">
        <v>0</v>
      </c>
      <c r="C459" s="158" t="s">
        <v>411</v>
      </c>
      <c r="D459" s="161">
        <v>0</v>
      </c>
      <c r="E459" s="160">
        <f t="shared" si="7"/>
        <v>0</v>
      </c>
    </row>
    <row r="460" spans="1:5">
      <c r="A460" s="159" t="s">
        <v>299</v>
      </c>
      <c r="B460" s="158">
        <v>0</v>
      </c>
      <c r="C460" s="158" t="s">
        <v>411</v>
      </c>
      <c r="D460" s="161">
        <v>0</v>
      </c>
      <c r="E460" s="160">
        <f t="shared" si="7"/>
        <v>0</v>
      </c>
    </row>
    <row r="461" spans="1:5">
      <c r="A461" s="159" t="s">
        <v>300</v>
      </c>
      <c r="B461" s="158">
        <v>0</v>
      </c>
      <c r="C461" s="158" t="s">
        <v>411</v>
      </c>
      <c r="D461" s="161">
        <v>0</v>
      </c>
      <c r="E461" s="160">
        <f t="shared" si="7"/>
        <v>0</v>
      </c>
    </row>
    <row r="462" spans="1:5">
      <c r="A462" s="159" t="s">
        <v>220</v>
      </c>
      <c r="B462" s="158">
        <v>0</v>
      </c>
      <c r="C462" s="158" t="s">
        <v>411</v>
      </c>
      <c r="D462" s="161">
        <v>0</v>
      </c>
      <c r="E462" s="160">
        <f t="shared" si="7"/>
        <v>0</v>
      </c>
    </row>
    <row r="463" spans="1:5">
      <c r="A463" s="159" t="s">
        <v>268</v>
      </c>
      <c r="B463" s="158">
        <v>0</v>
      </c>
      <c r="C463" s="158" t="s">
        <v>411</v>
      </c>
      <c r="D463" s="161">
        <v>0</v>
      </c>
      <c r="E463" s="160">
        <f t="shared" si="7"/>
        <v>0</v>
      </c>
    </row>
    <row r="464" spans="1:5">
      <c r="A464" s="159" t="s">
        <v>221</v>
      </c>
      <c r="B464" s="158">
        <v>0</v>
      </c>
      <c r="C464" s="158" t="s">
        <v>411</v>
      </c>
      <c r="D464" s="161">
        <v>0</v>
      </c>
      <c r="E464" s="160">
        <f t="shared" si="7"/>
        <v>0</v>
      </c>
    </row>
    <row r="465" spans="1:5">
      <c r="A465" s="159" t="s">
        <v>222</v>
      </c>
      <c r="B465" s="158">
        <v>0</v>
      </c>
      <c r="C465" s="158" t="s">
        <v>411</v>
      </c>
      <c r="D465" s="161">
        <v>0</v>
      </c>
      <c r="E465" s="160">
        <f t="shared" si="7"/>
        <v>0</v>
      </c>
    </row>
    <row r="466" spans="1:5">
      <c r="A466" s="159" t="s">
        <v>337</v>
      </c>
      <c r="B466" s="158">
        <v>0</v>
      </c>
      <c r="C466" s="158" t="s">
        <v>411</v>
      </c>
      <c r="D466" s="161">
        <v>0</v>
      </c>
      <c r="E466" s="160">
        <f t="shared" si="7"/>
        <v>0</v>
      </c>
    </row>
    <row r="467" spans="1:5">
      <c r="A467" s="159" t="s">
        <v>269</v>
      </c>
      <c r="B467" s="158">
        <v>0</v>
      </c>
      <c r="C467" s="158" t="s">
        <v>411</v>
      </c>
      <c r="D467" s="161">
        <v>0</v>
      </c>
      <c r="E467" s="160">
        <f t="shared" si="7"/>
        <v>0</v>
      </c>
    </row>
    <row r="468" spans="1:5">
      <c r="A468" s="159" t="s">
        <v>270</v>
      </c>
      <c r="B468" s="158">
        <v>0</v>
      </c>
      <c r="C468" s="158" t="s">
        <v>411</v>
      </c>
      <c r="D468" s="161">
        <v>0</v>
      </c>
      <c r="E468" s="160">
        <f t="shared" si="7"/>
        <v>0</v>
      </c>
    </row>
    <row r="469" spans="1:5">
      <c r="A469" s="159" t="s">
        <v>385</v>
      </c>
      <c r="B469" s="158">
        <v>0</v>
      </c>
      <c r="C469" s="158" t="s">
        <v>411</v>
      </c>
      <c r="D469" s="161">
        <v>0</v>
      </c>
      <c r="E469" s="160">
        <f t="shared" si="7"/>
        <v>0</v>
      </c>
    </row>
    <row r="470" spans="1:5">
      <c r="A470" s="159" t="s">
        <v>272</v>
      </c>
      <c r="B470" s="158">
        <v>0</v>
      </c>
      <c r="C470" s="158" t="s">
        <v>411</v>
      </c>
      <c r="D470" s="161">
        <v>0</v>
      </c>
      <c r="E470" s="160">
        <f t="shared" si="7"/>
        <v>0</v>
      </c>
    </row>
    <row r="471" spans="1:5">
      <c r="A471" s="159" t="s">
        <v>273</v>
      </c>
      <c r="B471" s="158">
        <v>0</v>
      </c>
      <c r="C471" s="158" t="s">
        <v>411</v>
      </c>
      <c r="D471" s="161">
        <v>0</v>
      </c>
      <c r="E471" s="160">
        <f t="shared" si="7"/>
        <v>0</v>
      </c>
    </row>
    <row r="472" spans="1:5">
      <c r="A472" s="159" t="s">
        <v>224</v>
      </c>
      <c r="B472" s="158">
        <v>0</v>
      </c>
      <c r="C472" s="158" t="s">
        <v>411</v>
      </c>
      <c r="D472" s="161">
        <v>0</v>
      </c>
      <c r="E472" s="160">
        <f t="shared" si="7"/>
        <v>0</v>
      </c>
    </row>
    <row r="473" spans="1:5">
      <c r="A473" s="159" t="s">
        <v>274</v>
      </c>
      <c r="B473" s="158">
        <v>0</v>
      </c>
      <c r="C473" s="158" t="s">
        <v>411</v>
      </c>
      <c r="D473" s="161">
        <v>0</v>
      </c>
      <c r="E473" s="160">
        <f t="shared" si="7"/>
        <v>0</v>
      </c>
    </row>
    <row r="474" spans="1:5">
      <c r="A474" s="159" t="s">
        <v>226</v>
      </c>
      <c r="B474" s="158">
        <v>0</v>
      </c>
      <c r="C474" s="158" t="s">
        <v>411</v>
      </c>
      <c r="D474" s="161">
        <v>0</v>
      </c>
      <c r="E474" s="160">
        <f t="shared" si="7"/>
        <v>0</v>
      </c>
    </row>
    <row r="475" spans="1:5">
      <c r="A475" s="159" t="s">
        <v>227</v>
      </c>
      <c r="B475" s="158">
        <v>0</v>
      </c>
      <c r="C475" s="158" t="s">
        <v>411</v>
      </c>
      <c r="D475" s="161">
        <v>0</v>
      </c>
      <c r="E475" s="160">
        <f t="shared" si="7"/>
        <v>0</v>
      </c>
    </row>
    <row r="476" spans="1:5">
      <c r="A476" s="159" t="s">
        <v>225</v>
      </c>
      <c r="B476" s="158">
        <v>0</v>
      </c>
      <c r="C476" s="158" t="s">
        <v>411</v>
      </c>
      <c r="D476" s="161">
        <v>0</v>
      </c>
      <c r="E476" s="160">
        <f t="shared" si="7"/>
        <v>0</v>
      </c>
    </row>
    <row r="477" spans="1:5">
      <c r="A477" s="159" t="s">
        <v>31</v>
      </c>
      <c r="B477" s="158">
        <v>0</v>
      </c>
      <c r="C477" s="158" t="s">
        <v>411</v>
      </c>
      <c r="D477" s="161">
        <v>0</v>
      </c>
      <c r="E477" s="160">
        <f t="shared" si="7"/>
        <v>0</v>
      </c>
    </row>
    <row r="478" spans="1:5">
      <c r="A478" s="159" t="s">
        <v>11</v>
      </c>
      <c r="B478" s="158">
        <v>0</v>
      </c>
      <c r="C478" s="158" t="s">
        <v>411</v>
      </c>
      <c r="D478" s="161">
        <v>0</v>
      </c>
      <c r="E478" s="160">
        <f t="shared" si="7"/>
        <v>0</v>
      </c>
    </row>
    <row r="479" spans="1:5">
      <c r="A479" s="159" t="s">
        <v>32</v>
      </c>
      <c r="B479" s="158">
        <v>0</v>
      </c>
      <c r="C479" s="158" t="s">
        <v>411</v>
      </c>
      <c r="D479" s="161">
        <v>0</v>
      </c>
      <c r="E479" s="160">
        <f t="shared" si="7"/>
        <v>0</v>
      </c>
    </row>
    <row r="480" spans="1:5">
      <c r="A480" s="159" t="s">
        <v>327</v>
      </c>
      <c r="B480" s="158">
        <v>0</v>
      </c>
      <c r="C480" s="158" t="s">
        <v>411</v>
      </c>
      <c r="D480" s="161">
        <v>0</v>
      </c>
      <c r="E480" s="160">
        <f t="shared" si="7"/>
        <v>0</v>
      </c>
    </row>
    <row r="481" spans="1:5">
      <c r="A481" s="159" t="s">
        <v>100</v>
      </c>
      <c r="B481" s="158">
        <v>0</v>
      </c>
      <c r="C481" s="158" t="s">
        <v>411</v>
      </c>
      <c r="D481" s="161">
        <v>0</v>
      </c>
      <c r="E481" s="160">
        <f t="shared" si="7"/>
        <v>0</v>
      </c>
    </row>
    <row r="482" spans="1:5">
      <c r="A482" s="159" t="s">
        <v>328</v>
      </c>
      <c r="B482" s="158">
        <v>0</v>
      </c>
      <c r="C482" s="158" t="s">
        <v>411</v>
      </c>
      <c r="D482" s="161">
        <v>0</v>
      </c>
      <c r="E482" s="160">
        <f t="shared" si="7"/>
        <v>0</v>
      </c>
    </row>
    <row r="483" spans="1:5">
      <c r="A483" s="159" t="s">
        <v>325</v>
      </c>
      <c r="B483" s="158">
        <v>0</v>
      </c>
      <c r="C483" s="158" t="s">
        <v>411</v>
      </c>
      <c r="D483" s="161">
        <v>0</v>
      </c>
      <c r="E483" s="160">
        <f t="shared" si="7"/>
        <v>0</v>
      </c>
    </row>
    <row r="484" spans="1:5">
      <c r="A484" s="159" t="s">
        <v>326</v>
      </c>
      <c r="B484" s="158">
        <v>0</v>
      </c>
      <c r="C484" s="158" t="s">
        <v>411</v>
      </c>
      <c r="D484" s="161">
        <v>0</v>
      </c>
      <c r="E484" s="160">
        <f t="shared" si="7"/>
        <v>0</v>
      </c>
    </row>
    <row r="485" spans="1:5">
      <c r="A485" s="159" t="s">
        <v>276</v>
      </c>
      <c r="B485" s="158">
        <v>0</v>
      </c>
      <c r="C485" s="158" t="s">
        <v>411</v>
      </c>
      <c r="D485" s="161">
        <v>0</v>
      </c>
      <c r="E485" s="160">
        <f t="shared" si="7"/>
        <v>0</v>
      </c>
    </row>
    <row r="486" spans="1:5">
      <c r="A486" s="159" t="s">
        <v>277</v>
      </c>
      <c r="B486" s="158">
        <v>0</v>
      </c>
      <c r="C486" s="158" t="s">
        <v>411</v>
      </c>
      <c r="D486" s="161">
        <v>0</v>
      </c>
      <c r="E486" s="160">
        <f t="shared" si="7"/>
        <v>0</v>
      </c>
    </row>
    <row r="487" spans="1:5">
      <c r="A487" s="159" t="s">
        <v>6</v>
      </c>
      <c r="B487" s="158">
        <v>0</v>
      </c>
      <c r="C487" s="158" t="s">
        <v>411</v>
      </c>
      <c r="D487" s="161">
        <v>0</v>
      </c>
      <c r="E487" s="160">
        <f t="shared" si="7"/>
        <v>0</v>
      </c>
    </row>
    <row r="488" spans="1:5">
      <c r="A488" s="159" t="s">
        <v>12</v>
      </c>
      <c r="B488" s="158">
        <v>0</v>
      </c>
      <c r="C488" s="158" t="s">
        <v>411</v>
      </c>
      <c r="D488" s="161">
        <v>0</v>
      </c>
      <c r="E488" s="160">
        <f t="shared" si="7"/>
        <v>0</v>
      </c>
    </row>
    <row r="489" spans="1:5">
      <c r="A489" s="159" t="s">
        <v>278</v>
      </c>
      <c r="B489" s="158">
        <v>0</v>
      </c>
      <c r="C489" s="158" t="s">
        <v>411</v>
      </c>
      <c r="D489" s="161">
        <v>0</v>
      </c>
      <c r="E489" s="160">
        <f t="shared" si="7"/>
        <v>0</v>
      </c>
    </row>
    <row r="490" spans="1:5">
      <c r="A490" s="159" t="s">
        <v>279</v>
      </c>
      <c r="B490" s="158">
        <v>0</v>
      </c>
      <c r="C490" s="158" t="s">
        <v>411</v>
      </c>
      <c r="D490" s="161">
        <v>0</v>
      </c>
      <c r="E490" s="160">
        <f t="shared" si="7"/>
        <v>0</v>
      </c>
    </row>
    <row r="491" spans="1:5">
      <c r="A491" s="159" t="s">
        <v>280</v>
      </c>
      <c r="B491" s="158">
        <v>0</v>
      </c>
      <c r="C491" s="158" t="s">
        <v>411</v>
      </c>
      <c r="D491" s="161">
        <v>0</v>
      </c>
      <c r="E491" s="160">
        <f t="shared" si="7"/>
        <v>0</v>
      </c>
    </row>
    <row r="492" spans="1:5">
      <c r="A492" s="159" t="s">
        <v>437</v>
      </c>
      <c r="B492" s="158">
        <v>0</v>
      </c>
      <c r="C492" s="158" t="s">
        <v>411</v>
      </c>
      <c r="D492" s="161">
        <v>0</v>
      </c>
      <c r="E492" s="160">
        <f t="shared" si="7"/>
        <v>0</v>
      </c>
    </row>
    <row r="493" spans="1:5">
      <c r="A493" s="159" t="s">
        <v>281</v>
      </c>
      <c r="B493" s="158">
        <v>0</v>
      </c>
      <c r="C493" s="158" t="s">
        <v>411</v>
      </c>
      <c r="D493" s="161">
        <v>0</v>
      </c>
      <c r="E493" s="160">
        <f t="shared" si="7"/>
        <v>0</v>
      </c>
    </row>
    <row r="494" spans="1:5">
      <c r="A494" s="159" t="s">
        <v>284</v>
      </c>
      <c r="B494" s="158">
        <v>0</v>
      </c>
      <c r="C494" s="158" t="s">
        <v>411</v>
      </c>
      <c r="D494" s="161">
        <v>0</v>
      </c>
      <c r="E494" s="160">
        <f t="shared" si="7"/>
        <v>0</v>
      </c>
    </row>
    <row r="495" spans="1:5">
      <c r="A495" s="159" t="s">
        <v>285</v>
      </c>
      <c r="B495" s="158">
        <v>0</v>
      </c>
      <c r="C495" s="158" t="s">
        <v>411</v>
      </c>
      <c r="D495" s="161">
        <v>0</v>
      </c>
      <c r="E495" s="160">
        <f t="shared" si="7"/>
        <v>0</v>
      </c>
    </row>
    <row r="496" spans="1:5">
      <c r="A496" s="159" t="s">
        <v>288</v>
      </c>
      <c r="B496" s="158">
        <v>0</v>
      </c>
      <c r="C496" s="158" t="s">
        <v>411</v>
      </c>
      <c r="D496" s="161">
        <v>0</v>
      </c>
      <c r="E496" s="160">
        <f t="shared" si="7"/>
        <v>0</v>
      </c>
    </row>
    <row r="497" spans="1:5">
      <c r="A497" s="159" t="s">
        <v>289</v>
      </c>
      <c r="B497" s="158">
        <v>0</v>
      </c>
      <c r="C497" s="158" t="s">
        <v>411</v>
      </c>
      <c r="D497" s="161">
        <v>0</v>
      </c>
      <c r="E497" s="160">
        <f t="shared" si="7"/>
        <v>0</v>
      </c>
    </row>
    <row r="498" spans="1:5">
      <c r="A498" s="159" t="s">
        <v>290</v>
      </c>
      <c r="B498" s="158">
        <v>0</v>
      </c>
      <c r="C498" s="158" t="s">
        <v>411</v>
      </c>
      <c r="D498" s="161">
        <v>0</v>
      </c>
      <c r="E498" s="160">
        <f t="shared" si="7"/>
        <v>0</v>
      </c>
    </row>
    <row r="499" spans="1:5">
      <c r="A499" s="159" t="s">
        <v>296</v>
      </c>
      <c r="B499" s="158">
        <v>0</v>
      </c>
      <c r="C499" s="158" t="s">
        <v>411</v>
      </c>
      <c r="D499" s="161">
        <v>0</v>
      </c>
      <c r="E499" s="160">
        <f t="shared" si="7"/>
        <v>0</v>
      </c>
    </row>
    <row r="500" spans="1:5">
      <c r="A500" s="159" t="s">
        <v>295</v>
      </c>
      <c r="B500" s="158">
        <v>0</v>
      </c>
      <c r="C500" s="158" t="s">
        <v>411</v>
      </c>
      <c r="D500" s="161">
        <v>0</v>
      </c>
      <c r="E500" s="160">
        <f t="shared" si="7"/>
        <v>0</v>
      </c>
    </row>
    <row r="501" spans="1:5">
      <c r="A501" s="159" t="s">
        <v>330</v>
      </c>
      <c r="B501" s="158">
        <v>0</v>
      </c>
      <c r="C501" s="158" t="s">
        <v>411</v>
      </c>
      <c r="D501" s="161">
        <v>0</v>
      </c>
      <c r="E501" s="160">
        <f t="shared" si="7"/>
        <v>0</v>
      </c>
    </row>
    <row r="502" spans="1:5">
      <c r="A502" s="159" t="s">
        <v>329</v>
      </c>
      <c r="B502" s="158">
        <v>0</v>
      </c>
      <c r="C502" s="158" t="s">
        <v>411</v>
      </c>
      <c r="D502" s="161">
        <v>0</v>
      </c>
      <c r="E502" s="160">
        <f t="shared" si="7"/>
        <v>0</v>
      </c>
    </row>
    <row r="503" spans="1:5">
      <c r="A503" s="159" t="s">
        <v>331</v>
      </c>
      <c r="B503" s="158">
        <v>0</v>
      </c>
      <c r="C503" s="158" t="s">
        <v>411</v>
      </c>
      <c r="D503" s="161">
        <v>0</v>
      </c>
      <c r="E503" s="160">
        <f t="shared" si="7"/>
        <v>0</v>
      </c>
    </row>
    <row r="504" spans="1:5">
      <c r="A504" s="159" t="s">
        <v>42</v>
      </c>
      <c r="B504" s="158">
        <v>0</v>
      </c>
      <c r="C504" s="158" t="s">
        <v>411</v>
      </c>
      <c r="D504" s="161">
        <v>0</v>
      </c>
      <c r="E504" s="160">
        <f t="shared" si="7"/>
        <v>0</v>
      </c>
    </row>
    <row r="505" spans="1:5">
      <c r="A505" s="159" t="s">
        <v>41</v>
      </c>
      <c r="B505" s="158">
        <v>0</v>
      </c>
      <c r="C505" s="158" t="s">
        <v>411</v>
      </c>
      <c r="D505" s="161">
        <v>0</v>
      </c>
      <c r="E505" s="160">
        <f t="shared" si="7"/>
        <v>0</v>
      </c>
    </row>
    <row r="506" spans="1:5">
      <c r="A506" s="159" t="s">
        <v>3</v>
      </c>
      <c r="B506" s="158">
        <v>0</v>
      </c>
      <c r="C506" s="158" t="s">
        <v>411</v>
      </c>
      <c r="D506" s="161">
        <v>0</v>
      </c>
      <c r="E506" s="160">
        <f t="shared" si="7"/>
        <v>0</v>
      </c>
    </row>
    <row r="507" spans="1:5">
      <c r="A507" s="159" t="s">
        <v>4</v>
      </c>
      <c r="B507" s="158">
        <v>0</v>
      </c>
      <c r="C507" s="158" t="s">
        <v>411</v>
      </c>
      <c r="D507" s="161">
        <v>0</v>
      </c>
      <c r="E507" s="160">
        <f t="shared" si="7"/>
        <v>0</v>
      </c>
    </row>
    <row r="508" spans="1:5">
      <c r="A508" s="159" t="s">
        <v>67</v>
      </c>
      <c r="B508" s="158">
        <v>0</v>
      </c>
      <c r="C508" s="158" t="s">
        <v>411</v>
      </c>
      <c r="D508" s="161">
        <v>0</v>
      </c>
      <c r="E508" s="160">
        <f t="shared" si="7"/>
        <v>0</v>
      </c>
    </row>
    <row r="509" spans="1:5">
      <c r="A509" s="159" t="s">
        <v>68</v>
      </c>
      <c r="B509" s="158">
        <v>0</v>
      </c>
      <c r="C509" s="158" t="s">
        <v>411</v>
      </c>
      <c r="D509" s="161">
        <v>0</v>
      </c>
      <c r="E509" s="160">
        <f t="shared" si="7"/>
        <v>0</v>
      </c>
    </row>
    <row r="510" spans="1:5">
      <c r="A510" s="159" t="s">
        <v>70</v>
      </c>
      <c r="B510" s="158">
        <v>0</v>
      </c>
      <c r="C510" s="158" t="s">
        <v>411</v>
      </c>
      <c r="D510" s="161">
        <v>0</v>
      </c>
      <c r="E510" s="160">
        <f t="shared" si="7"/>
        <v>0</v>
      </c>
    </row>
    <row r="511" spans="1:5">
      <c r="A511" s="159" t="s">
        <v>380</v>
      </c>
      <c r="B511" s="158">
        <v>0</v>
      </c>
      <c r="C511" s="158" t="s">
        <v>411</v>
      </c>
      <c r="D511" s="161">
        <v>0</v>
      </c>
      <c r="E511" s="160">
        <f t="shared" si="7"/>
        <v>0</v>
      </c>
    </row>
    <row r="512" spans="1:5">
      <c r="A512" s="159" t="s">
        <v>16</v>
      </c>
      <c r="B512" s="158">
        <v>0</v>
      </c>
      <c r="C512" s="158" t="s">
        <v>411</v>
      </c>
      <c r="D512" s="161">
        <v>0</v>
      </c>
      <c r="E512" s="160">
        <f t="shared" si="7"/>
        <v>0</v>
      </c>
    </row>
    <row r="513" spans="1:5">
      <c r="A513" s="159" t="s">
        <v>17</v>
      </c>
      <c r="B513" s="158">
        <v>0</v>
      </c>
      <c r="C513" s="158" t="s">
        <v>411</v>
      </c>
      <c r="D513" s="161">
        <v>0</v>
      </c>
      <c r="E513" s="160">
        <f t="shared" si="7"/>
        <v>0</v>
      </c>
    </row>
    <row r="514" spans="1:5">
      <c r="A514" s="159" t="s">
        <v>333</v>
      </c>
      <c r="B514" s="158">
        <v>0</v>
      </c>
      <c r="C514" s="158" t="s">
        <v>411</v>
      </c>
      <c r="D514" s="161">
        <v>0</v>
      </c>
      <c r="E514" s="160">
        <f t="shared" ref="E514:E577" si="8">B514*D514</f>
        <v>0</v>
      </c>
    </row>
    <row r="515" spans="1:5">
      <c r="A515" s="159" t="s">
        <v>291</v>
      </c>
      <c r="B515" s="158">
        <v>0</v>
      </c>
      <c r="C515" s="158" t="s">
        <v>411</v>
      </c>
      <c r="D515" s="161">
        <v>0</v>
      </c>
      <c r="E515" s="160">
        <f t="shared" si="8"/>
        <v>0</v>
      </c>
    </row>
    <row r="516" spans="1:5">
      <c r="A516" s="159" t="s">
        <v>292</v>
      </c>
      <c r="B516" s="158">
        <v>0</v>
      </c>
      <c r="C516" s="158" t="s">
        <v>411</v>
      </c>
      <c r="D516" s="161">
        <v>0</v>
      </c>
      <c r="E516" s="160">
        <f t="shared" si="8"/>
        <v>0</v>
      </c>
    </row>
    <row r="517" spans="1:5">
      <c r="A517" s="159" t="s">
        <v>293</v>
      </c>
      <c r="B517" s="158">
        <v>0</v>
      </c>
      <c r="C517" s="158" t="s">
        <v>411</v>
      </c>
      <c r="D517" s="161">
        <v>0</v>
      </c>
      <c r="E517" s="160">
        <f t="shared" si="8"/>
        <v>0</v>
      </c>
    </row>
    <row r="518" spans="1:5">
      <c r="A518" s="159" t="s">
        <v>193</v>
      </c>
      <c r="B518" s="158">
        <v>0</v>
      </c>
      <c r="C518" s="158" t="s">
        <v>411</v>
      </c>
      <c r="D518" s="161">
        <v>0</v>
      </c>
      <c r="E518" s="160">
        <f t="shared" si="8"/>
        <v>0</v>
      </c>
    </row>
    <row r="519" spans="1:5">
      <c r="A519" s="159" t="s">
        <v>294</v>
      </c>
      <c r="B519" s="158">
        <v>0</v>
      </c>
      <c r="C519" s="158" t="s">
        <v>411</v>
      </c>
      <c r="D519" s="161">
        <v>0</v>
      </c>
      <c r="E519" s="160">
        <f t="shared" si="8"/>
        <v>0</v>
      </c>
    </row>
    <row r="520" spans="1:5">
      <c r="A520" s="159" t="s">
        <v>2</v>
      </c>
      <c r="B520" s="158">
        <v>0</v>
      </c>
      <c r="C520" s="158" t="s">
        <v>411</v>
      </c>
      <c r="D520" s="161">
        <v>0</v>
      </c>
      <c r="E520" s="160">
        <f t="shared" si="8"/>
        <v>0</v>
      </c>
    </row>
    <row r="521" spans="1:5">
      <c r="A521" s="159" t="s">
        <v>22</v>
      </c>
      <c r="B521" s="158">
        <v>0</v>
      </c>
      <c r="C521" s="158" t="s">
        <v>411</v>
      </c>
      <c r="D521" s="161">
        <v>0</v>
      </c>
      <c r="E521" s="160">
        <f t="shared" si="8"/>
        <v>0</v>
      </c>
    </row>
    <row r="522" spans="1:5">
      <c r="A522" s="159" t="s">
        <v>21</v>
      </c>
      <c r="B522" s="158">
        <v>0</v>
      </c>
      <c r="C522" s="158" t="s">
        <v>411</v>
      </c>
      <c r="D522" s="161">
        <v>0</v>
      </c>
      <c r="E522" s="160">
        <f t="shared" si="8"/>
        <v>0</v>
      </c>
    </row>
    <row r="523" spans="1:5">
      <c r="A523" s="159" t="s">
        <v>8</v>
      </c>
      <c r="B523" s="158">
        <v>0</v>
      </c>
      <c r="C523" s="158" t="s">
        <v>411</v>
      </c>
      <c r="D523" s="161">
        <v>0</v>
      </c>
      <c r="E523" s="160">
        <f t="shared" si="8"/>
        <v>0</v>
      </c>
    </row>
    <row r="524" spans="1:5">
      <c r="A524" s="159" t="s">
        <v>9</v>
      </c>
      <c r="B524" s="158">
        <v>0</v>
      </c>
      <c r="C524" s="158" t="s">
        <v>411</v>
      </c>
      <c r="D524" s="161">
        <v>0</v>
      </c>
      <c r="E524" s="160">
        <f t="shared" si="8"/>
        <v>0</v>
      </c>
    </row>
    <row r="525" spans="1:5">
      <c r="A525" s="159" t="s">
        <v>335</v>
      </c>
      <c r="B525" s="158">
        <v>0</v>
      </c>
      <c r="C525" s="158" t="s">
        <v>411</v>
      </c>
      <c r="D525" s="161">
        <v>0</v>
      </c>
      <c r="E525" s="160">
        <f t="shared" si="8"/>
        <v>0</v>
      </c>
    </row>
    <row r="526" spans="1:5">
      <c r="A526" s="159" t="s">
        <v>336</v>
      </c>
      <c r="B526" s="158">
        <v>0</v>
      </c>
      <c r="C526" s="158" t="s">
        <v>411</v>
      </c>
      <c r="D526" s="161">
        <v>0</v>
      </c>
      <c r="E526" s="160">
        <f t="shared" si="8"/>
        <v>0</v>
      </c>
    </row>
    <row r="527" spans="1:5">
      <c r="A527" s="159" t="s">
        <v>13</v>
      </c>
      <c r="B527" s="158">
        <v>0</v>
      </c>
      <c r="C527" s="158" t="s">
        <v>440</v>
      </c>
      <c r="D527" s="161">
        <v>0</v>
      </c>
      <c r="E527" s="160">
        <f t="shared" si="8"/>
        <v>0</v>
      </c>
    </row>
    <row r="528" spans="1:5">
      <c r="A528" s="159" t="s">
        <v>261</v>
      </c>
      <c r="B528" s="158">
        <v>0</v>
      </c>
      <c r="C528" s="158" t="s">
        <v>440</v>
      </c>
      <c r="D528" s="161">
        <v>0</v>
      </c>
      <c r="E528" s="160">
        <f t="shared" si="8"/>
        <v>0</v>
      </c>
    </row>
    <row r="529" spans="1:5">
      <c r="A529" s="159" t="s">
        <v>14</v>
      </c>
      <c r="B529" s="158">
        <v>0</v>
      </c>
      <c r="C529" s="158" t="s">
        <v>440</v>
      </c>
      <c r="D529" s="161">
        <v>0</v>
      </c>
      <c r="E529" s="160">
        <f t="shared" si="8"/>
        <v>0</v>
      </c>
    </row>
    <row r="530" spans="1:5">
      <c r="A530" s="159" t="s">
        <v>23</v>
      </c>
      <c r="B530" s="158">
        <v>0</v>
      </c>
      <c r="C530" s="158" t="s">
        <v>440</v>
      </c>
      <c r="D530" s="161">
        <v>0</v>
      </c>
      <c r="E530" s="160">
        <f t="shared" si="8"/>
        <v>0</v>
      </c>
    </row>
    <row r="531" spans="1:5">
      <c r="A531" s="159" t="s">
        <v>18</v>
      </c>
      <c r="B531" s="158">
        <v>0</v>
      </c>
      <c r="C531" s="158" t="s">
        <v>440</v>
      </c>
      <c r="D531" s="161">
        <v>0</v>
      </c>
      <c r="E531" s="160">
        <f t="shared" si="8"/>
        <v>0</v>
      </c>
    </row>
    <row r="532" spans="1:5">
      <c r="A532" s="159" t="s">
        <v>19</v>
      </c>
      <c r="B532" s="158">
        <v>0</v>
      </c>
      <c r="C532" s="158" t="s">
        <v>440</v>
      </c>
      <c r="D532" s="161">
        <v>0</v>
      </c>
      <c r="E532" s="160">
        <f t="shared" si="8"/>
        <v>0</v>
      </c>
    </row>
    <row r="533" spans="1:5">
      <c r="A533" s="159" t="s">
        <v>259</v>
      </c>
      <c r="B533" s="158">
        <v>0</v>
      </c>
      <c r="C533" s="158" t="s">
        <v>440</v>
      </c>
      <c r="D533" s="161">
        <v>0</v>
      </c>
      <c r="E533" s="160">
        <f t="shared" si="8"/>
        <v>0</v>
      </c>
    </row>
    <row r="534" spans="1:5">
      <c r="A534" s="159" t="s">
        <v>260</v>
      </c>
      <c r="B534" s="158">
        <v>0</v>
      </c>
      <c r="C534" s="158" t="s">
        <v>440</v>
      </c>
      <c r="D534" s="161">
        <v>0</v>
      </c>
      <c r="E534" s="160">
        <f t="shared" si="8"/>
        <v>0</v>
      </c>
    </row>
    <row r="535" spans="1:5">
      <c r="A535" s="159" t="s">
        <v>299</v>
      </c>
      <c r="B535" s="158">
        <v>0</v>
      </c>
      <c r="C535" s="158" t="s">
        <v>440</v>
      </c>
      <c r="D535" s="161">
        <v>0</v>
      </c>
      <c r="E535" s="160">
        <f t="shared" si="8"/>
        <v>0</v>
      </c>
    </row>
    <row r="536" spans="1:5">
      <c r="A536" s="159" t="s">
        <v>300</v>
      </c>
      <c r="B536" s="158">
        <v>0</v>
      </c>
      <c r="C536" s="158" t="s">
        <v>440</v>
      </c>
      <c r="D536" s="161">
        <v>0</v>
      </c>
      <c r="E536" s="160">
        <f t="shared" si="8"/>
        <v>0</v>
      </c>
    </row>
    <row r="537" spans="1:5">
      <c r="A537" s="159" t="s">
        <v>220</v>
      </c>
      <c r="B537" s="158">
        <v>0</v>
      </c>
      <c r="C537" s="158" t="s">
        <v>440</v>
      </c>
      <c r="D537" s="161">
        <v>0</v>
      </c>
      <c r="E537" s="160">
        <f t="shared" si="8"/>
        <v>0</v>
      </c>
    </row>
    <row r="538" spans="1:5">
      <c r="A538" s="159" t="s">
        <v>268</v>
      </c>
      <c r="B538" s="158">
        <v>0</v>
      </c>
      <c r="C538" s="158" t="s">
        <v>440</v>
      </c>
      <c r="D538" s="161">
        <v>0</v>
      </c>
      <c r="E538" s="160">
        <f t="shared" si="8"/>
        <v>0</v>
      </c>
    </row>
    <row r="539" spans="1:5">
      <c r="A539" s="159" t="s">
        <v>221</v>
      </c>
      <c r="B539" s="158">
        <v>0</v>
      </c>
      <c r="C539" s="158" t="s">
        <v>440</v>
      </c>
      <c r="D539" s="161">
        <v>0</v>
      </c>
      <c r="E539" s="160">
        <f t="shared" si="8"/>
        <v>0</v>
      </c>
    </row>
    <row r="540" spans="1:5">
      <c r="A540" s="159" t="s">
        <v>222</v>
      </c>
      <c r="B540" s="158">
        <v>0</v>
      </c>
      <c r="C540" s="158" t="s">
        <v>440</v>
      </c>
      <c r="D540" s="161">
        <v>0</v>
      </c>
      <c r="E540" s="160">
        <f t="shared" si="8"/>
        <v>0</v>
      </c>
    </row>
    <row r="541" spans="1:5">
      <c r="A541" s="159" t="s">
        <v>337</v>
      </c>
      <c r="B541" s="158">
        <v>0</v>
      </c>
      <c r="C541" s="158" t="s">
        <v>440</v>
      </c>
      <c r="D541" s="161">
        <v>0</v>
      </c>
      <c r="E541" s="160">
        <f t="shared" si="8"/>
        <v>0</v>
      </c>
    </row>
    <row r="542" spans="1:5">
      <c r="A542" s="159" t="s">
        <v>269</v>
      </c>
      <c r="B542" s="158">
        <v>0</v>
      </c>
      <c r="C542" s="158" t="s">
        <v>440</v>
      </c>
      <c r="D542" s="161">
        <v>0</v>
      </c>
      <c r="E542" s="160">
        <f t="shared" si="8"/>
        <v>0</v>
      </c>
    </row>
    <row r="543" spans="1:5">
      <c r="A543" s="159" t="s">
        <v>270</v>
      </c>
      <c r="B543" s="158">
        <v>0</v>
      </c>
      <c r="C543" s="158" t="s">
        <v>440</v>
      </c>
      <c r="D543" s="161">
        <v>0</v>
      </c>
      <c r="E543" s="160">
        <f t="shared" si="8"/>
        <v>0</v>
      </c>
    </row>
    <row r="544" spans="1:5">
      <c r="A544" s="159" t="s">
        <v>385</v>
      </c>
      <c r="B544" s="158">
        <v>0</v>
      </c>
      <c r="C544" s="158" t="s">
        <v>440</v>
      </c>
      <c r="D544" s="161">
        <v>0</v>
      </c>
      <c r="E544" s="160">
        <f t="shared" si="8"/>
        <v>0</v>
      </c>
    </row>
    <row r="545" spans="1:5">
      <c r="A545" s="159" t="s">
        <v>272</v>
      </c>
      <c r="B545" s="158">
        <v>0</v>
      </c>
      <c r="C545" s="158" t="s">
        <v>440</v>
      </c>
      <c r="D545" s="161">
        <v>0</v>
      </c>
      <c r="E545" s="160">
        <f t="shared" si="8"/>
        <v>0</v>
      </c>
    </row>
    <row r="546" spans="1:5">
      <c r="A546" s="159" t="s">
        <v>273</v>
      </c>
      <c r="B546" s="158">
        <v>0</v>
      </c>
      <c r="C546" s="158" t="s">
        <v>440</v>
      </c>
      <c r="D546" s="161">
        <v>0</v>
      </c>
      <c r="E546" s="160">
        <f t="shared" si="8"/>
        <v>0</v>
      </c>
    </row>
    <row r="547" spans="1:5">
      <c r="A547" s="159" t="s">
        <v>224</v>
      </c>
      <c r="B547" s="158">
        <v>0</v>
      </c>
      <c r="C547" s="158" t="s">
        <v>440</v>
      </c>
      <c r="D547" s="161">
        <v>0</v>
      </c>
      <c r="E547" s="160">
        <f t="shared" si="8"/>
        <v>0</v>
      </c>
    </row>
    <row r="548" spans="1:5">
      <c r="A548" s="159" t="s">
        <v>274</v>
      </c>
      <c r="B548" s="158">
        <v>0</v>
      </c>
      <c r="C548" s="158" t="s">
        <v>440</v>
      </c>
      <c r="D548" s="161">
        <v>0</v>
      </c>
      <c r="E548" s="160">
        <f t="shared" si="8"/>
        <v>0</v>
      </c>
    </row>
    <row r="549" spans="1:5">
      <c r="A549" s="159" t="s">
        <v>226</v>
      </c>
      <c r="B549" s="158">
        <v>0</v>
      </c>
      <c r="C549" s="158" t="s">
        <v>440</v>
      </c>
      <c r="D549" s="161">
        <v>0</v>
      </c>
      <c r="E549" s="160">
        <f t="shared" si="8"/>
        <v>0</v>
      </c>
    </row>
    <row r="550" spans="1:5">
      <c r="A550" s="159" t="s">
        <v>227</v>
      </c>
      <c r="B550" s="158">
        <v>0</v>
      </c>
      <c r="C550" s="158" t="s">
        <v>440</v>
      </c>
      <c r="D550" s="161">
        <v>0</v>
      </c>
      <c r="E550" s="160">
        <f t="shared" si="8"/>
        <v>0</v>
      </c>
    </row>
    <row r="551" spans="1:5">
      <c r="A551" s="159" t="s">
        <v>225</v>
      </c>
      <c r="B551" s="158">
        <v>0</v>
      </c>
      <c r="C551" s="158" t="s">
        <v>440</v>
      </c>
      <c r="D551" s="161">
        <v>0</v>
      </c>
      <c r="E551" s="160">
        <f t="shared" si="8"/>
        <v>0</v>
      </c>
    </row>
    <row r="552" spans="1:5">
      <c r="A552" s="159" t="s">
        <v>31</v>
      </c>
      <c r="B552" s="158">
        <v>0</v>
      </c>
      <c r="C552" s="158" t="s">
        <v>440</v>
      </c>
      <c r="D552" s="161">
        <v>0</v>
      </c>
      <c r="E552" s="160">
        <f t="shared" si="8"/>
        <v>0</v>
      </c>
    </row>
    <row r="553" spans="1:5">
      <c r="A553" s="159" t="s">
        <v>11</v>
      </c>
      <c r="B553" s="158">
        <v>0</v>
      </c>
      <c r="C553" s="158" t="s">
        <v>440</v>
      </c>
      <c r="D553" s="161">
        <v>0</v>
      </c>
      <c r="E553" s="160">
        <f t="shared" si="8"/>
        <v>0</v>
      </c>
    </row>
    <row r="554" spans="1:5">
      <c r="A554" s="159" t="s">
        <v>32</v>
      </c>
      <c r="B554" s="158">
        <v>0</v>
      </c>
      <c r="C554" s="158" t="s">
        <v>440</v>
      </c>
      <c r="D554" s="161">
        <v>0</v>
      </c>
      <c r="E554" s="160">
        <f t="shared" si="8"/>
        <v>0</v>
      </c>
    </row>
    <row r="555" spans="1:5">
      <c r="A555" s="159" t="s">
        <v>327</v>
      </c>
      <c r="B555" s="158">
        <v>0</v>
      </c>
      <c r="C555" s="158" t="s">
        <v>440</v>
      </c>
      <c r="D555" s="161">
        <v>0</v>
      </c>
      <c r="E555" s="160">
        <f t="shared" si="8"/>
        <v>0</v>
      </c>
    </row>
    <row r="556" spans="1:5">
      <c r="A556" s="159" t="s">
        <v>100</v>
      </c>
      <c r="B556" s="158">
        <v>0</v>
      </c>
      <c r="C556" s="158" t="s">
        <v>440</v>
      </c>
      <c r="D556" s="161">
        <v>0</v>
      </c>
      <c r="E556" s="160">
        <f t="shared" si="8"/>
        <v>0</v>
      </c>
    </row>
    <row r="557" spans="1:5">
      <c r="A557" s="159" t="s">
        <v>328</v>
      </c>
      <c r="B557" s="158">
        <v>0</v>
      </c>
      <c r="C557" s="158" t="s">
        <v>440</v>
      </c>
      <c r="D557" s="161">
        <v>0</v>
      </c>
      <c r="E557" s="160">
        <f t="shared" si="8"/>
        <v>0</v>
      </c>
    </row>
    <row r="558" spans="1:5">
      <c r="A558" s="159" t="s">
        <v>325</v>
      </c>
      <c r="B558" s="158">
        <v>0</v>
      </c>
      <c r="C558" s="158" t="s">
        <v>440</v>
      </c>
      <c r="D558" s="161">
        <v>0</v>
      </c>
      <c r="E558" s="160">
        <f t="shared" si="8"/>
        <v>0</v>
      </c>
    </row>
    <row r="559" spans="1:5">
      <c r="A559" s="159" t="s">
        <v>326</v>
      </c>
      <c r="B559" s="158">
        <v>0</v>
      </c>
      <c r="C559" s="158" t="s">
        <v>440</v>
      </c>
      <c r="D559" s="161">
        <v>0</v>
      </c>
      <c r="E559" s="160">
        <f t="shared" si="8"/>
        <v>0</v>
      </c>
    </row>
    <row r="560" spans="1:5">
      <c r="A560" s="159" t="s">
        <v>276</v>
      </c>
      <c r="B560" s="158">
        <v>0</v>
      </c>
      <c r="C560" s="158" t="s">
        <v>440</v>
      </c>
      <c r="D560" s="161">
        <v>0</v>
      </c>
      <c r="E560" s="160">
        <f t="shared" si="8"/>
        <v>0</v>
      </c>
    </row>
    <row r="561" spans="1:5">
      <c r="A561" s="159" t="s">
        <v>277</v>
      </c>
      <c r="B561" s="158">
        <v>0</v>
      </c>
      <c r="C561" s="158" t="s">
        <v>440</v>
      </c>
      <c r="D561" s="161">
        <v>0</v>
      </c>
      <c r="E561" s="160">
        <f t="shared" si="8"/>
        <v>0</v>
      </c>
    </row>
    <row r="562" spans="1:5">
      <c r="A562" s="159" t="s">
        <v>6</v>
      </c>
      <c r="B562" s="158">
        <v>0</v>
      </c>
      <c r="C562" s="158" t="s">
        <v>440</v>
      </c>
      <c r="D562" s="161">
        <v>0</v>
      </c>
      <c r="E562" s="160">
        <f t="shared" si="8"/>
        <v>0</v>
      </c>
    </row>
    <row r="563" spans="1:5">
      <c r="A563" s="159" t="s">
        <v>12</v>
      </c>
      <c r="B563" s="158">
        <v>0</v>
      </c>
      <c r="C563" s="158" t="s">
        <v>440</v>
      </c>
      <c r="D563" s="161">
        <v>0</v>
      </c>
      <c r="E563" s="160">
        <f t="shared" si="8"/>
        <v>0</v>
      </c>
    </row>
    <row r="564" spans="1:5">
      <c r="A564" s="159" t="s">
        <v>278</v>
      </c>
      <c r="B564" s="158">
        <v>0</v>
      </c>
      <c r="C564" s="158" t="s">
        <v>440</v>
      </c>
      <c r="D564" s="161">
        <v>0</v>
      </c>
      <c r="E564" s="160">
        <f t="shared" si="8"/>
        <v>0</v>
      </c>
    </row>
    <row r="565" spans="1:5">
      <c r="A565" s="159" t="s">
        <v>279</v>
      </c>
      <c r="B565" s="158">
        <v>0</v>
      </c>
      <c r="C565" s="158" t="s">
        <v>440</v>
      </c>
      <c r="D565" s="161">
        <v>0</v>
      </c>
      <c r="E565" s="160">
        <f t="shared" si="8"/>
        <v>0</v>
      </c>
    </row>
    <row r="566" spans="1:5">
      <c r="A566" s="159" t="s">
        <v>280</v>
      </c>
      <c r="B566" s="158">
        <v>0</v>
      </c>
      <c r="C566" s="158" t="s">
        <v>440</v>
      </c>
      <c r="D566" s="161">
        <v>0</v>
      </c>
      <c r="E566" s="160">
        <f t="shared" si="8"/>
        <v>0</v>
      </c>
    </row>
    <row r="567" spans="1:5">
      <c r="A567" s="159" t="s">
        <v>437</v>
      </c>
      <c r="B567" s="158">
        <v>0</v>
      </c>
      <c r="C567" s="158" t="s">
        <v>440</v>
      </c>
      <c r="D567" s="161">
        <v>0</v>
      </c>
      <c r="E567" s="160">
        <f t="shared" si="8"/>
        <v>0</v>
      </c>
    </row>
    <row r="568" spans="1:5">
      <c r="A568" s="159" t="s">
        <v>281</v>
      </c>
      <c r="B568" s="158">
        <v>0</v>
      </c>
      <c r="C568" s="158" t="s">
        <v>440</v>
      </c>
      <c r="D568" s="161">
        <v>0</v>
      </c>
      <c r="E568" s="160">
        <f t="shared" si="8"/>
        <v>0</v>
      </c>
    </row>
    <row r="569" spans="1:5">
      <c r="A569" s="159" t="s">
        <v>284</v>
      </c>
      <c r="B569" s="158">
        <v>0</v>
      </c>
      <c r="C569" s="158" t="s">
        <v>440</v>
      </c>
      <c r="D569" s="161">
        <v>0</v>
      </c>
      <c r="E569" s="160">
        <f t="shared" si="8"/>
        <v>0</v>
      </c>
    </row>
    <row r="570" spans="1:5">
      <c r="A570" s="159" t="s">
        <v>285</v>
      </c>
      <c r="B570" s="158">
        <v>0</v>
      </c>
      <c r="C570" s="158" t="s">
        <v>440</v>
      </c>
      <c r="D570" s="161">
        <v>0</v>
      </c>
      <c r="E570" s="160">
        <f t="shared" si="8"/>
        <v>0</v>
      </c>
    </row>
    <row r="571" spans="1:5">
      <c r="A571" s="159" t="s">
        <v>288</v>
      </c>
      <c r="B571" s="158">
        <v>0</v>
      </c>
      <c r="C571" s="158" t="s">
        <v>440</v>
      </c>
      <c r="D571" s="161">
        <v>0</v>
      </c>
      <c r="E571" s="160">
        <f t="shared" si="8"/>
        <v>0</v>
      </c>
    </row>
    <row r="572" spans="1:5">
      <c r="A572" s="159" t="s">
        <v>289</v>
      </c>
      <c r="B572" s="158">
        <v>0</v>
      </c>
      <c r="C572" s="158" t="s">
        <v>440</v>
      </c>
      <c r="D572" s="161">
        <v>0</v>
      </c>
      <c r="E572" s="160">
        <f t="shared" si="8"/>
        <v>0</v>
      </c>
    </row>
    <row r="573" spans="1:5">
      <c r="A573" s="159" t="s">
        <v>290</v>
      </c>
      <c r="B573" s="158">
        <v>0</v>
      </c>
      <c r="C573" s="158" t="s">
        <v>440</v>
      </c>
      <c r="D573" s="161">
        <v>0</v>
      </c>
      <c r="E573" s="160">
        <f t="shared" si="8"/>
        <v>0</v>
      </c>
    </row>
    <row r="574" spans="1:5">
      <c r="A574" s="159" t="s">
        <v>296</v>
      </c>
      <c r="B574" s="158">
        <v>0</v>
      </c>
      <c r="C574" s="158" t="s">
        <v>440</v>
      </c>
      <c r="D574" s="161">
        <v>0</v>
      </c>
      <c r="E574" s="160">
        <f t="shared" si="8"/>
        <v>0</v>
      </c>
    </row>
    <row r="575" spans="1:5">
      <c r="A575" s="159" t="s">
        <v>295</v>
      </c>
      <c r="B575" s="158">
        <v>0</v>
      </c>
      <c r="C575" s="158" t="s">
        <v>440</v>
      </c>
      <c r="D575" s="161">
        <v>0</v>
      </c>
      <c r="E575" s="160">
        <f t="shared" si="8"/>
        <v>0</v>
      </c>
    </row>
    <row r="576" spans="1:5">
      <c r="A576" s="159" t="s">
        <v>330</v>
      </c>
      <c r="B576" s="158">
        <v>0</v>
      </c>
      <c r="C576" s="158" t="s">
        <v>440</v>
      </c>
      <c r="D576" s="161">
        <v>0</v>
      </c>
      <c r="E576" s="160">
        <f t="shared" si="8"/>
        <v>0</v>
      </c>
    </row>
    <row r="577" spans="1:5">
      <c r="A577" s="159" t="s">
        <v>329</v>
      </c>
      <c r="B577" s="158">
        <v>0</v>
      </c>
      <c r="C577" s="158" t="s">
        <v>440</v>
      </c>
      <c r="D577" s="161">
        <v>0</v>
      </c>
      <c r="E577" s="160">
        <f t="shared" si="8"/>
        <v>0</v>
      </c>
    </row>
    <row r="578" spans="1:5">
      <c r="A578" s="159" t="s">
        <v>331</v>
      </c>
      <c r="B578" s="158">
        <v>0</v>
      </c>
      <c r="C578" s="158" t="s">
        <v>440</v>
      </c>
      <c r="D578" s="161">
        <v>0</v>
      </c>
      <c r="E578" s="160">
        <f t="shared" ref="E578:E641" si="9">B578*D578</f>
        <v>0</v>
      </c>
    </row>
    <row r="579" spans="1:5">
      <c r="A579" s="159" t="s">
        <v>42</v>
      </c>
      <c r="B579" s="158">
        <v>0</v>
      </c>
      <c r="C579" s="158" t="s">
        <v>440</v>
      </c>
      <c r="D579" s="161">
        <v>0</v>
      </c>
      <c r="E579" s="160">
        <f t="shared" si="9"/>
        <v>0</v>
      </c>
    </row>
    <row r="580" spans="1:5">
      <c r="A580" s="159" t="s">
        <v>41</v>
      </c>
      <c r="B580" s="158">
        <v>0</v>
      </c>
      <c r="C580" s="158" t="s">
        <v>440</v>
      </c>
      <c r="D580" s="161">
        <v>0</v>
      </c>
      <c r="E580" s="160">
        <f t="shared" si="9"/>
        <v>0</v>
      </c>
    </row>
    <row r="581" spans="1:5">
      <c r="A581" s="159" t="s">
        <v>3</v>
      </c>
      <c r="B581" s="158">
        <v>0</v>
      </c>
      <c r="C581" s="158" t="s">
        <v>440</v>
      </c>
      <c r="D581" s="161">
        <v>0</v>
      </c>
      <c r="E581" s="160">
        <f t="shared" si="9"/>
        <v>0</v>
      </c>
    </row>
    <row r="582" spans="1:5">
      <c r="A582" s="159" t="s">
        <v>4</v>
      </c>
      <c r="B582" s="158">
        <v>0</v>
      </c>
      <c r="C582" s="158" t="s">
        <v>440</v>
      </c>
      <c r="D582" s="161">
        <v>0</v>
      </c>
      <c r="E582" s="160">
        <f t="shared" si="9"/>
        <v>0</v>
      </c>
    </row>
    <row r="583" spans="1:5">
      <c r="A583" s="159" t="s">
        <v>67</v>
      </c>
      <c r="B583" s="158">
        <v>0</v>
      </c>
      <c r="C583" s="158" t="s">
        <v>440</v>
      </c>
      <c r="D583" s="161">
        <v>0</v>
      </c>
      <c r="E583" s="160">
        <f t="shared" si="9"/>
        <v>0</v>
      </c>
    </row>
    <row r="584" spans="1:5">
      <c r="A584" s="159" t="s">
        <v>68</v>
      </c>
      <c r="B584" s="158">
        <v>0</v>
      </c>
      <c r="C584" s="158" t="s">
        <v>440</v>
      </c>
      <c r="D584" s="161">
        <v>0</v>
      </c>
      <c r="E584" s="160">
        <f t="shared" si="9"/>
        <v>0</v>
      </c>
    </row>
    <row r="585" spans="1:5">
      <c r="A585" s="159" t="s">
        <v>70</v>
      </c>
      <c r="B585" s="158">
        <v>0</v>
      </c>
      <c r="C585" s="158" t="s">
        <v>440</v>
      </c>
      <c r="D585" s="161">
        <v>0</v>
      </c>
      <c r="E585" s="160">
        <f t="shared" si="9"/>
        <v>0</v>
      </c>
    </row>
    <row r="586" spans="1:5">
      <c r="A586" s="159" t="s">
        <v>380</v>
      </c>
      <c r="B586" s="158">
        <v>0</v>
      </c>
      <c r="C586" s="158" t="s">
        <v>440</v>
      </c>
      <c r="D586" s="161">
        <v>0</v>
      </c>
      <c r="E586" s="160">
        <f t="shared" si="9"/>
        <v>0</v>
      </c>
    </row>
    <row r="587" spans="1:5">
      <c r="A587" s="159" t="s">
        <v>16</v>
      </c>
      <c r="B587" s="158">
        <v>0</v>
      </c>
      <c r="C587" s="158" t="s">
        <v>440</v>
      </c>
      <c r="D587" s="161">
        <v>0</v>
      </c>
      <c r="E587" s="160">
        <f t="shared" si="9"/>
        <v>0</v>
      </c>
    </row>
    <row r="588" spans="1:5">
      <c r="A588" s="159" t="s">
        <v>17</v>
      </c>
      <c r="B588" s="158">
        <v>0</v>
      </c>
      <c r="C588" s="158" t="s">
        <v>440</v>
      </c>
      <c r="D588" s="161">
        <v>0</v>
      </c>
      <c r="E588" s="160">
        <f t="shared" si="9"/>
        <v>0</v>
      </c>
    </row>
    <row r="589" spans="1:5">
      <c r="A589" s="159" t="s">
        <v>333</v>
      </c>
      <c r="B589" s="158">
        <v>0</v>
      </c>
      <c r="C589" s="158" t="s">
        <v>440</v>
      </c>
      <c r="D589" s="161">
        <v>0</v>
      </c>
      <c r="E589" s="160">
        <f t="shared" si="9"/>
        <v>0</v>
      </c>
    </row>
    <row r="590" spans="1:5">
      <c r="A590" s="159" t="s">
        <v>291</v>
      </c>
      <c r="B590" s="158">
        <v>0</v>
      </c>
      <c r="C590" s="158" t="s">
        <v>440</v>
      </c>
      <c r="D590" s="161">
        <v>0</v>
      </c>
      <c r="E590" s="160">
        <f t="shared" si="9"/>
        <v>0</v>
      </c>
    </row>
    <row r="591" spans="1:5">
      <c r="A591" s="159" t="s">
        <v>292</v>
      </c>
      <c r="B591" s="158">
        <v>0</v>
      </c>
      <c r="C591" s="158" t="s">
        <v>440</v>
      </c>
      <c r="D591" s="161">
        <v>0</v>
      </c>
      <c r="E591" s="160">
        <f t="shared" si="9"/>
        <v>0</v>
      </c>
    </row>
    <row r="592" spans="1:5">
      <c r="A592" s="159" t="s">
        <v>293</v>
      </c>
      <c r="B592" s="158">
        <v>0</v>
      </c>
      <c r="C592" s="158" t="s">
        <v>440</v>
      </c>
      <c r="D592" s="161">
        <v>0</v>
      </c>
      <c r="E592" s="160">
        <f t="shared" si="9"/>
        <v>0</v>
      </c>
    </row>
    <row r="593" spans="1:5">
      <c r="A593" s="159" t="s">
        <v>193</v>
      </c>
      <c r="B593" s="158">
        <v>0</v>
      </c>
      <c r="C593" s="158" t="s">
        <v>440</v>
      </c>
      <c r="D593" s="161">
        <v>0</v>
      </c>
      <c r="E593" s="160">
        <f t="shared" si="9"/>
        <v>0</v>
      </c>
    </row>
    <row r="594" spans="1:5">
      <c r="A594" s="159" t="s">
        <v>294</v>
      </c>
      <c r="B594" s="158">
        <v>0</v>
      </c>
      <c r="C594" s="158" t="s">
        <v>440</v>
      </c>
      <c r="D594" s="161">
        <v>0</v>
      </c>
      <c r="E594" s="160">
        <f t="shared" si="9"/>
        <v>0</v>
      </c>
    </row>
    <row r="595" spans="1:5">
      <c r="A595" s="159" t="s">
        <v>2</v>
      </c>
      <c r="B595" s="158">
        <v>0</v>
      </c>
      <c r="C595" s="158" t="s">
        <v>440</v>
      </c>
      <c r="D595" s="161">
        <v>0</v>
      </c>
      <c r="E595" s="160">
        <f t="shared" si="9"/>
        <v>0</v>
      </c>
    </row>
    <row r="596" spans="1:5">
      <c r="A596" s="159" t="s">
        <v>22</v>
      </c>
      <c r="B596" s="158">
        <v>0</v>
      </c>
      <c r="C596" s="158" t="s">
        <v>440</v>
      </c>
      <c r="D596" s="161">
        <v>0</v>
      </c>
      <c r="E596" s="160">
        <f t="shared" si="9"/>
        <v>0</v>
      </c>
    </row>
    <row r="597" spans="1:5">
      <c r="A597" s="159" t="s">
        <v>21</v>
      </c>
      <c r="B597" s="158">
        <v>0</v>
      </c>
      <c r="C597" s="158" t="s">
        <v>440</v>
      </c>
      <c r="D597" s="161">
        <v>0</v>
      </c>
      <c r="E597" s="160">
        <f t="shared" si="9"/>
        <v>0</v>
      </c>
    </row>
    <row r="598" spans="1:5">
      <c r="A598" s="159" t="s">
        <v>8</v>
      </c>
      <c r="B598" s="158">
        <v>0</v>
      </c>
      <c r="C598" s="158" t="s">
        <v>440</v>
      </c>
      <c r="D598" s="161">
        <v>0</v>
      </c>
      <c r="E598" s="160">
        <f t="shared" si="9"/>
        <v>0</v>
      </c>
    </row>
    <row r="599" spans="1:5">
      <c r="A599" s="159" t="s">
        <v>9</v>
      </c>
      <c r="B599" s="158">
        <v>0</v>
      </c>
      <c r="C599" s="158" t="s">
        <v>440</v>
      </c>
      <c r="D599" s="161">
        <v>0</v>
      </c>
      <c r="E599" s="160">
        <f t="shared" si="9"/>
        <v>0</v>
      </c>
    </row>
    <row r="600" spans="1:5">
      <c r="A600" s="159" t="s">
        <v>335</v>
      </c>
      <c r="B600" s="158">
        <v>0</v>
      </c>
      <c r="C600" s="158" t="s">
        <v>440</v>
      </c>
      <c r="D600" s="161">
        <v>0</v>
      </c>
      <c r="E600" s="160">
        <f t="shared" si="9"/>
        <v>0</v>
      </c>
    </row>
    <row r="601" spans="1:5">
      <c r="A601" s="159" t="s">
        <v>336</v>
      </c>
      <c r="B601" s="158">
        <v>0</v>
      </c>
      <c r="C601" s="158" t="s">
        <v>440</v>
      </c>
      <c r="D601" s="161">
        <v>0</v>
      </c>
      <c r="E601" s="160">
        <f t="shared" si="9"/>
        <v>0</v>
      </c>
    </row>
    <row r="602" spans="1:5">
      <c r="A602" t="s">
        <v>13</v>
      </c>
      <c r="B602" s="163">
        <v>10</v>
      </c>
      <c r="C602" t="s">
        <v>382</v>
      </c>
      <c r="D602" s="164">
        <v>160000</v>
      </c>
      <c r="E602" s="165">
        <f t="shared" si="9"/>
        <v>1600000</v>
      </c>
    </row>
    <row r="603" spans="1:5">
      <c r="A603" t="s">
        <v>261</v>
      </c>
      <c r="B603" s="163">
        <v>0</v>
      </c>
      <c r="C603" t="s">
        <v>382</v>
      </c>
      <c r="D603" s="164">
        <v>165000</v>
      </c>
      <c r="E603" s="165">
        <f t="shared" ref="E603:E666" si="10">B603*D603</f>
        <v>0</v>
      </c>
    </row>
    <row r="604" spans="1:5">
      <c r="A604" t="s">
        <v>14</v>
      </c>
      <c r="B604" s="163">
        <v>6</v>
      </c>
      <c r="C604" t="s">
        <v>382</v>
      </c>
      <c r="D604" s="164">
        <v>140000</v>
      </c>
      <c r="E604" s="165">
        <f t="shared" si="10"/>
        <v>840000</v>
      </c>
    </row>
    <row r="605" spans="1:5">
      <c r="A605" t="s">
        <v>23</v>
      </c>
      <c r="B605" s="163">
        <v>4</v>
      </c>
      <c r="C605" t="s">
        <v>382</v>
      </c>
      <c r="D605" s="164">
        <v>150000</v>
      </c>
      <c r="E605" s="165">
        <f t="shared" si="10"/>
        <v>600000</v>
      </c>
    </row>
    <row r="606" spans="1:5">
      <c r="A606" t="s">
        <v>18</v>
      </c>
      <c r="B606" s="163">
        <v>25</v>
      </c>
      <c r="C606" t="s">
        <v>382</v>
      </c>
      <c r="D606" s="164">
        <v>12800</v>
      </c>
      <c r="E606" s="165">
        <f t="shared" si="10"/>
        <v>320000</v>
      </c>
    </row>
    <row r="607" spans="1:5">
      <c r="A607" t="s">
        <v>19</v>
      </c>
      <c r="B607" s="163">
        <v>35</v>
      </c>
      <c r="C607" t="s">
        <v>382</v>
      </c>
      <c r="D607" s="164">
        <v>11100</v>
      </c>
      <c r="E607" s="165">
        <f t="shared" si="10"/>
        <v>388500</v>
      </c>
    </row>
    <row r="608" spans="1:5">
      <c r="A608" t="s">
        <v>259</v>
      </c>
      <c r="B608" s="163">
        <v>500</v>
      </c>
      <c r="C608" t="s">
        <v>382</v>
      </c>
      <c r="D608" s="164">
        <v>58</v>
      </c>
      <c r="E608" s="165">
        <f t="shared" si="10"/>
        <v>29000</v>
      </c>
    </row>
    <row r="609" spans="1:5">
      <c r="A609" t="s">
        <v>260</v>
      </c>
      <c r="B609" s="163">
        <v>2000</v>
      </c>
      <c r="C609" t="s">
        <v>382</v>
      </c>
      <c r="D609" s="164">
        <v>35</v>
      </c>
      <c r="E609" s="165">
        <f t="shared" si="10"/>
        <v>70000</v>
      </c>
    </row>
    <row r="610" spans="1:5">
      <c r="A610" t="s">
        <v>299</v>
      </c>
      <c r="B610" s="163">
        <v>0</v>
      </c>
      <c r="C610" t="s">
        <v>382</v>
      </c>
      <c r="D610" s="164">
        <v>1250</v>
      </c>
      <c r="E610" s="165">
        <f t="shared" si="10"/>
        <v>0</v>
      </c>
    </row>
    <row r="611" spans="1:5">
      <c r="A611" t="s">
        <v>300</v>
      </c>
      <c r="B611" s="163">
        <v>20</v>
      </c>
      <c r="C611" t="s">
        <v>382</v>
      </c>
      <c r="D611" s="164">
        <v>1250</v>
      </c>
      <c r="E611" s="165">
        <f t="shared" si="10"/>
        <v>25000</v>
      </c>
    </row>
    <row r="612" spans="1:5">
      <c r="A612" t="s">
        <v>220</v>
      </c>
      <c r="B612" s="163">
        <v>50</v>
      </c>
      <c r="C612" t="s">
        <v>382</v>
      </c>
      <c r="D612" s="164">
        <v>750</v>
      </c>
      <c r="E612" s="165">
        <f t="shared" si="10"/>
        <v>37500</v>
      </c>
    </row>
    <row r="613" spans="1:5">
      <c r="A613" t="s">
        <v>268</v>
      </c>
      <c r="B613" s="163">
        <v>100</v>
      </c>
      <c r="C613" t="s">
        <v>382</v>
      </c>
      <c r="D613" s="164">
        <v>175</v>
      </c>
      <c r="E613" s="165">
        <f t="shared" si="10"/>
        <v>17500</v>
      </c>
    </row>
    <row r="614" spans="1:5">
      <c r="A614" t="s">
        <v>221</v>
      </c>
      <c r="B614" s="163">
        <v>200</v>
      </c>
      <c r="C614" t="s">
        <v>382</v>
      </c>
      <c r="D614" s="164">
        <v>175</v>
      </c>
      <c r="E614" s="165">
        <f t="shared" si="10"/>
        <v>35000</v>
      </c>
    </row>
    <row r="615" spans="1:5">
      <c r="A615" t="s">
        <v>222</v>
      </c>
      <c r="B615" s="163">
        <v>1</v>
      </c>
      <c r="C615" t="s">
        <v>382</v>
      </c>
      <c r="D615" s="164">
        <v>1</v>
      </c>
      <c r="E615" s="165">
        <f t="shared" si="10"/>
        <v>1</v>
      </c>
    </row>
    <row r="616" spans="1:5">
      <c r="A616" t="s">
        <v>337</v>
      </c>
      <c r="B616" s="163">
        <v>15</v>
      </c>
      <c r="C616" t="s">
        <v>382</v>
      </c>
      <c r="D616" s="164">
        <v>21000</v>
      </c>
      <c r="E616" s="165">
        <f t="shared" si="10"/>
        <v>315000</v>
      </c>
    </row>
    <row r="617" spans="1:5">
      <c r="A617" t="s">
        <v>269</v>
      </c>
      <c r="B617" s="163">
        <v>2</v>
      </c>
      <c r="C617" t="s">
        <v>382</v>
      </c>
      <c r="D617" s="164">
        <v>40000</v>
      </c>
      <c r="E617" s="165">
        <f t="shared" si="10"/>
        <v>80000</v>
      </c>
    </row>
    <row r="618" spans="1:5">
      <c r="A618" t="s">
        <v>270</v>
      </c>
      <c r="B618" s="163">
        <v>2</v>
      </c>
      <c r="C618" t="s">
        <v>382</v>
      </c>
      <c r="D618" s="164">
        <v>13000</v>
      </c>
      <c r="E618" s="165">
        <f t="shared" si="10"/>
        <v>26000</v>
      </c>
    </row>
    <row r="619" spans="1:5">
      <c r="A619" t="s">
        <v>385</v>
      </c>
      <c r="B619" s="163">
        <v>0</v>
      </c>
      <c r="C619" t="s">
        <v>382</v>
      </c>
      <c r="D619" s="164">
        <v>0</v>
      </c>
      <c r="E619" s="165">
        <f t="shared" si="10"/>
        <v>0</v>
      </c>
    </row>
    <row r="620" spans="1:5">
      <c r="A620" t="s">
        <v>272</v>
      </c>
      <c r="B620" s="163">
        <v>0</v>
      </c>
      <c r="C620" t="s">
        <v>382</v>
      </c>
      <c r="D620" s="164">
        <v>220000</v>
      </c>
      <c r="E620" s="165">
        <f t="shared" si="10"/>
        <v>0</v>
      </c>
    </row>
    <row r="621" spans="1:5">
      <c r="A621" t="s">
        <v>273</v>
      </c>
      <c r="B621" s="163">
        <v>0</v>
      </c>
      <c r="C621" t="s">
        <v>382</v>
      </c>
      <c r="D621" s="164">
        <v>90000</v>
      </c>
      <c r="E621" s="165">
        <f t="shared" si="10"/>
        <v>0</v>
      </c>
    </row>
    <row r="622" spans="1:5">
      <c r="A622" t="s">
        <v>224</v>
      </c>
      <c r="B622" s="163">
        <v>0</v>
      </c>
      <c r="C622" t="s">
        <v>382</v>
      </c>
      <c r="D622" s="164">
        <v>60000</v>
      </c>
      <c r="E622" s="165">
        <f t="shared" si="10"/>
        <v>0</v>
      </c>
    </row>
    <row r="623" spans="1:5">
      <c r="A623" t="s">
        <v>274</v>
      </c>
      <c r="B623" s="163">
        <v>0</v>
      </c>
      <c r="C623" t="s">
        <v>382</v>
      </c>
      <c r="D623" s="164">
        <v>90000</v>
      </c>
      <c r="E623" s="165">
        <f t="shared" si="10"/>
        <v>0</v>
      </c>
    </row>
    <row r="624" spans="1:5">
      <c r="A624" t="s">
        <v>226</v>
      </c>
      <c r="B624" s="163">
        <v>0</v>
      </c>
      <c r="C624" t="s">
        <v>382</v>
      </c>
      <c r="D624" s="164">
        <v>0</v>
      </c>
      <c r="E624" s="165">
        <f t="shared" si="10"/>
        <v>0</v>
      </c>
    </row>
    <row r="625" spans="1:5">
      <c r="A625" t="s">
        <v>227</v>
      </c>
      <c r="B625" s="163">
        <v>0</v>
      </c>
      <c r="C625" t="s">
        <v>382</v>
      </c>
      <c r="D625" s="164">
        <v>0</v>
      </c>
      <c r="E625" s="165">
        <f t="shared" si="10"/>
        <v>0</v>
      </c>
    </row>
    <row r="626" spans="1:5">
      <c r="A626" t="s">
        <v>225</v>
      </c>
      <c r="B626" s="163">
        <v>0</v>
      </c>
      <c r="C626" t="s">
        <v>382</v>
      </c>
      <c r="D626" s="164">
        <v>0</v>
      </c>
      <c r="E626" s="165">
        <f t="shared" si="10"/>
        <v>0</v>
      </c>
    </row>
    <row r="627" spans="1:5">
      <c r="A627" t="s">
        <v>31</v>
      </c>
      <c r="B627" s="163">
        <v>0</v>
      </c>
      <c r="C627" t="s">
        <v>382</v>
      </c>
      <c r="D627" s="164">
        <v>300000</v>
      </c>
      <c r="E627" s="165">
        <f t="shared" si="10"/>
        <v>0</v>
      </c>
    </row>
    <row r="628" spans="1:5">
      <c r="A628" t="s">
        <v>11</v>
      </c>
      <c r="B628" s="163">
        <v>0.5</v>
      </c>
      <c r="C628" t="s">
        <v>382</v>
      </c>
      <c r="D628" s="164">
        <v>65000</v>
      </c>
      <c r="E628" s="165">
        <f t="shared" si="10"/>
        <v>32500</v>
      </c>
    </row>
    <row r="629" spans="1:5">
      <c r="A629" t="s">
        <v>32</v>
      </c>
      <c r="B629" s="163">
        <v>0.5</v>
      </c>
      <c r="C629" t="s">
        <v>382</v>
      </c>
      <c r="D629" s="164">
        <v>250000</v>
      </c>
      <c r="E629" s="165">
        <f t="shared" si="10"/>
        <v>125000</v>
      </c>
    </row>
    <row r="630" spans="1:5">
      <c r="A630" t="s">
        <v>327</v>
      </c>
      <c r="B630" s="163">
        <v>48</v>
      </c>
      <c r="C630" t="s">
        <v>382</v>
      </c>
      <c r="D630" s="164">
        <v>30000</v>
      </c>
      <c r="E630" s="165">
        <f t="shared" si="10"/>
        <v>1440000</v>
      </c>
    </row>
    <row r="631" spans="1:5">
      <c r="A631" t="s">
        <v>100</v>
      </c>
      <c r="B631" s="163">
        <v>0</v>
      </c>
      <c r="C631" t="s">
        <v>382</v>
      </c>
      <c r="D631" s="164">
        <v>30000</v>
      </c>
      <c r="E631" s="165">
        <f t="shared" si="10"/>
        <v>0</v>
      </c>
    </row>
    <row r="632" spans="1:5">
      <c r="A632" t="s">
        <v>328</v>
      </c>
      <c r="B632" s="163">
        <v>0</v>
      </c>
      <c r="C632" t="s">
        <v>382</v>
      </c>
      <c r="D632" s="164">
        <v>50000</v>
      </c>
      <c r="E632" s="165">
        <f t="shared" si="10"/>
        <v>0</v>
      </c>
    </row>
    <row r="633" spans="1:5">
      <c r="A633" t="s">
        <v>325</v>
      </c>
      <c r="B633" s="163">
        <v>0</v>
      </c>
      <c r="C633" t="s">
        <v>382</v>
      </c>
      <c r="D633" s="164">
        <v>15000</v>
      </c>
      <c r="E633" s="165">
        <f t="shared" si="10"/>
        <v>0</v>
      </c>
    </row>
    <row r="634" spans="1:5">
      <c r="A634" t="s">
        <v>326</v>
      </c>
      <c r="B634" s="163">
        <v>12</v>
      </c>
      <c r="C634" t="s">
        <v>382</v>
      </c>
      <c r="D634" s="164">
        <v>15000</v>
      </c>
      <c r="E634" s="165">
        <f t="shared" si="10"/>
        <v>180000</v>
      </c>
    </row>
    <row r="635" spans="1:5">
      <c r="A635" t="s">
        <v>276</v>
      </c>
      <c r="B635" s="163">
        <v>4</v>
      </c>
      <c r="C635" t="s">
        <v>382</v>
      </c>
      <c r="D635" s="164">
        <v>75000</v>
      </c>
      <c r="E635" s="165">
        <f t="shared" si="10"/>
        <v>300000</v>
      </c>
    </row>
    <row r="636" spans="1:5">
      <c r="A636" t="s">
        <v>277</v>
      </c>
      <c r="B636" s="163">
        <v>1</v>
      </c>
      <c r="C636" t="s">
        <v>382</v>
      </c>
      <c r="D636" s="164">
        <v>75000</v>
      </c>
      <c r="E636" s="165">
        <f t="shared" si="10"/>
        <v>75000</v>
      </c>
    </row>
    <row r="637" spans="1:5">
      <c r="A637" t="s">
        <v>6</v>
      </c>
      <c r="B637" s="163">
        <v>3</v>
      </c>
      <c r="C637" t="s">
        <v>382</v>
      </c>
      <c r="D637" s="164">
        <v>30000</v>
      </c>
      <c r="E637" s="165">
        <f t="shared" si="10"/>
        <v>90000</v>
      </c>
    </row>
    <row r="638" spans="1:5">
      <c r="A638" t="s">
        <v>12</v>
      </c>
      <c r="B638" s="163">
        <v>0</v>
      </c>
      <c r="C638" t="s">
        <v>382</v>
      </c>
      <c r="D638" s="164">
        <v>12000</v>
      </c>
      <c r="E638" s="165">
        <f t="shared" si="10"/>
        <v>0</v>
      </c>
    </row>
    <row r="639" spans="1:5">
      <c r="A639" t="s">
        <v>278</v>
      </c>
      <c r="B639" s="163">
        <v>0</v>
      </c>
      <c r="C639" t="s">
        <v>382</v>
      </c>
      <c r="D639" s="164">
        <v>1500000</v>
      </c>
      <c r="E639" s="165">
        <f t="shared" si="10"/>
        <v>0</v>
      </c>
    </row>
    <row r="640" spans="1:5">
      <c r="A640" t="s">
        <v>279</v>
      </c>
      <c r="B640" s="163">
        <v>0</v>
      </c>
      <c r="C640" t="s">
        <v>382</v>
      </c>
      <c r="D640" s="164">
        <v>0</v>
      </c>
      <c r="E640" s="165">
        <f t="shared" si="10"/>
        <v>0</v>
      </c>
    </row>
    <row r="641" spans="1:5">
      <c r="A641" t="s">
        <v>280</v>
      </c>
      <c r="B641" s="163">
        <v>0</v>
      </c>
      <c r="C641" t="s">
        <v>382</v>
      </c>
      <c r="D641" s="164">
        <v>1000000</v>
      </c>
      <c r="E641" s="165">
        <f t="shared" si="10"/>
        <v>0</v>
      </c>
    </row>
    <row r="642" spans="1:5">
      <c r="A642" t="s">
        <v>437</v>
      </c>
      <c r="B642" s="163">
        <v>1</v>
      </c>
      <c r="C642" t="s">
        <v>382</v>
      </c>
      <c r="D642" s="164">
        <v>450000</v>
      </c>
      <c r="E642" s="165">
        <f t="shared" si="10"/>
        <v>450000</v>
      </c>
    </row>
    <row r="643" spans="1:5">
      <c r="A643" t="s">
        <v>281</v>
      </c>
      <c r="B643" s="163">
        <v>0</v>
      </c>
      <c r="C643" t="s">
        <v>382</v>
      </c>
      <c r="D643" s="164">
        <v>0</v>
      </c>
      <c r="E643" s="165">
        <f t="shared" si="10"/>
        <v>0</v>
      </c>
    </row>
    <row r="644" spans="1:5">
      <c r="A644" t="s">
        <v>284</v>
      </c>
      <c r="B644" s="163">
        <v>0</v>
      </c>
      <c r="C644" t="s">
        <v>382</v>
      </c>
      <c r="D644" s="164">
        <v>600000</v>
      </c>
      <c r="E644" s="165">
        <f t="shared" si="10"/>
        <v>0</v>
      </c>
    </row>
    <row r="645" spans="1:5">
      <c r="A645" t="s">
        <v>285</v>
      </c>
      <c r="B645" s="163">
        <v>0</v>
      </c>
      <c r="C645" t="s">
        <v>382</v>
      </c>
      <c r="D645" s="164">
        <v>0</v>
      </c>
      <c r="E645" s="165">
        <f t="shared" si="10"/>
        <v>0</v>
      </c>
    </row>
    <row r="646" spans="1:5">
      <c r="A646" t="s">
        <v>288</v>
      </c>
      <c r="B646" s="163">
        <v>0</v>
      </c>
      <c r="C646" t="s">
        <v>382</v>
      </c>
      <c r="D646" s="164">
        <v>0</v>
      </c>
      <c r="E646" s="165">
        <f t="shared" si="10"/>
        <v>0</v>
      </c>
    </row>
    <row r="647" spans="1:5">
      <c r="A647" t="s">
        <v>289</v>
      </c>
      <c r="B647" s="163">
        <v>2</v>
      </c>
      <c r="C647" t="s">
        <v>382</v>
      </c>
      <c r="D647" s="164">
        <v>320000</v>
      </c>
      <c r="E647" s="165">
        <f t="shared" si="10"/>
        <v>640000</v>
      </c>
    </row>
    <row r="648" spans="1:5">
      <c r="A648" t="s">
        <v>290</v>
      </c>
      <c r="B648" s="163">
        <v>1</v>
      </c>
      <c r="C648" t="s">
        <v>382</v>
      </c>
      <c r="D648" s="164">
        <v>200000</v>
      </c>
      <c r="E648" s="165">
        <f t="shared" si="10"/>
        <v>200000</v>
      </c>
    </row>
    <row r="649" spans="1:5">
      <c r="A649" t="s">
        <v>296</v>
      </c>
      <c r="B649" s="163">
        <v>1</v>
      </c>
      <c r="C649" t="s">
        <v>382</v>
      </c>
      <c r="D649" s="164">
        <v>50000</v>
      </c>
      <c r="E649" s="165">
        <f t="shared" si="10"/>
        <v>50000</v>
      </c>
    </row>
    <row r="650" spans="1:5">
      <c r="A650" t="s">
        <v>295</v>
      </c>
      <c r="B650" s="163">
        <v>1</v>
      </c>
      <c r="C650" t="s">
        <v>382</v>
      </c>
      <c r="D650" s="164">
        <v>15000</v>
      </c>
      <c r="E650" s="165">
        <f t="shared" si="10"/>
        <v>15000</v>
      </c>
    </row>
    <row r="651" spans="1:5">
      <c r="A651" t="s">
        <v>330</v>
      </c>
      <c r="B651" s="163">
        <v>1</v>
      </c>
      <c r="C651" t="s">
        <v>382</v>
      </c>
      <c r="D651" s="164">
        <v>15000</v>
      </c>
      <c r="E651" s="165">
        <f t="shared" si="10"/>
        <v>15000</v>
      </c>
    </row>
    <row r="652" spans="1:5">
      <c r="A652" t="s">
        <v>329</v>
      </c>
      <c r="B652" s="163">
        <v>2</v>
      </c>
      <c r="C652" t="s">
        <v>382</v>
      </c>
      <c r="D652" s="164">
        <v>12000</v>
      </c>
      <c r="E652" s="165">
        <f t="shared" si="10"/>
        <v>24000</v>
      </c>
    </row>
    <row r="653" spans="1:5">
      <c r="A653" t="s">
        <v>331</v>
      </c>
      <c r="B653" s="163">
        <v>0</v>
      </c>
      <c r="C653" t="s">
        <v>382</v>
      </c>
      <c r="D653" s="164">
        <v>28000</v>
      </c>
      <c r="E653" s="165">
        <f t="shared" si="10"/>
        <v>0</v>
      </c>
    </row>
    <row r="654" spans="1:5">
      <c r="A654" t="s">
        <v>42</v>
      </c>
      <c r="B654" s="163">
        <v>0</v>
      </c>
      <c r="C654" t="s">
        <v>382</v>
      </c>
      <c r="D654" s="164">
        <v>200000</v>
      </c>
      <c r="E654" s="165">
        <f t="shared" si="10"/>
        <v>0</v>
      </c>
    </row>
    <row r="655" spans="1:5">
      <c r="A655" t="s">
        <v>41</v>
      </c>
      <c r="B655" s="163">
        <v>0.5</v>
      </c>
      <c r="C655" t="s">
        <v>382</v>
      </c>
      <c r="D655" s="164">
        <v>150000</v>
      </c>
      <c r="E655" s="165">
        <f t="shared" si="10"/>
        <v>75000</v>
      </c>
    </row>
    <row r="656" spans="1:5">
      <c r="A656" t="s">
        <v>3</v>
      </c>
      <c r="B656" s="163">
        <v>1</v>
      </c>
      <c r="C656" t="s">
        <v>382</v>
      </c>
      <c r="D656" s="164">
        <v>100000</v>
      </c>
      <c r="E656" s="165">
        <f t="shared" si="10"/>
        <v>100000</v>
      </c>
    </row>
    <row r="657" spans="1:5">
      <c r="A657" t="s">
        <v>4</v>
      </c>
      <c r="B657" s="163">
        <v>0.5</v>
      </c>
      <c r="C657" t="s">
        <v>382</v>
      </c>
      <c r="D657" s="164">
        <v>75000</v>
      </c>
      <c r="E657" s="165">
        <f t="shared" si="10"/>
        <v>37500</v>
      </c>
    </row>
    <row r="658" spans="1:5">
      <c r="A658" t="s">
        <v>67</v>
      </c>
      <c r="B658" s="163">
        <v>4</v>
      </c>
      <c r="C658" t="s">
        <v>382</v>
      </c>
      <c r="D658" s="164">
        <v>500</v>
      </c>
      <c r="E658" s="165">
        <f t="shared" si="10"/>
        <v>2000</v>
      </c>
    </row>
    <row r="659" spans="1:5">
      <c r="A659" t="s">
        <v>68</v>
      </c>
      <c r="B659" s="163">
        <v>2</v>
      </c>
      <c r="C659" t="s">
        <v>382</v>
      </c>
      <c r="D659" s="164">
        <v>500</v>
      </c>
      <c r="E659" s="165">
        <f t="shared" si="10"/>
        <v>1000</v>
      </c>
    </row>
    <row r="660" spans="1:5">
      <c r="A660" t="s">
        <v>70</v>
      </c>
      <c r="B660" s="163">
        <v>6</v>
      </c>
      <c r="C660" t="s">
        <v>382</v>
      </c>
      <c r="D660" s="164">
        <v>6000</v>
      </c>
      <c r="E660" s="165">
        <f t="shared" si="10"/>
        <v>36000</v>
      </c>
    </row>
    <row r="661" spans="1:5">
      <c r="A661" t="s">
        <v>380</v>
      </c>
      <c r="B661" s="163">
        <v>2</v>
      </c>
      <c r="C661" t="s">
        <v>382</v>
      </c>
      <c r="D661" s="164">
        <v>15000</v>
      </c>
      <c r="E661" s="165">
        <f t="shared" si="10"/>
        <v>30000</v>
      </c>
    </row>
    <row r="662" spans="1:5">
      <c r="A662" t="s">
        <v>16</v>
      </c>
      <c r="B662" s="163">
        <v>0.5</v>
      </c>
      <c r="C662" t="s">
        <v>382</v>
      </c>
      <c r="D662" s="164">
        <v>150000</v>
      </c>
      <c r="E662" s="165">
        <f t="shared" si="10"/>
        <v>75000</v>
      </c>
    </row>
    <row r="663" spans="1:5">
      <c r="A663" t="s">
        <v>17</v>
      </c>
      <c r="B663" s="163">
        <v>0.5</v>
      </c>
      <c r="C663" t="s">
        <v>382</v>
      </c>
      <c r="D663" s="164">
        <v>150000</v>
      </c>
      <c r="E663" s="165">
        <f t="shared" si="10"/>
        <v>75000</v>
      </c>
    </row>
    <row r="664" spans="1:5">
      <c r="A664" t="s">
        <v>333</v>
      </c>
      <c r="B664" s="163">
        <v>1</v>
      </c>
      <c r="C664" t="s">
        <v>382</v>
      </c>
      <c r="D664" s="164">
        <v>500000</v>
      </c>
      <c r="E664" s="165">
        <f t="shared" si="10"/>
        <v>500000</v>
      </c>
    </row>
    <row r="665" spans="1:5">
      <c r="A665" t="s">
        <v>291</v>
      </c>
      <c r="B665" s="163">
        <v>1</v>
      </c>
      <c r="C665" t="s">
        <v>382</v>
      </c>
      <c r="D665" s="164">
        <v>300000</v>
      </c>
      <c r="E665" s="165">
        <f t="shared" si="10"/>
        <v>300000</v>
      </c>
    </row>
    <row r="666" spans="1:5">
      <c r="A666" t="s">
        <v>292</v>
      </c>
      <c r="B666" s="163">
        <v>1</v>
      </c>
      <c r="C666" t="s">
        <v>382</v>
      </c>
      <c r="D666" s="164">
        <v>50000</v>
      </c>
      <c r="E666" s="165">
        <f t="shared" si="10"/>
        <v>50000</v>
      </c>
    </row>
    <row r="667" spans="1:5">
      <c r="A667" t="s">
        <v>293</v>
      </c>
      <c r="B667" s="163">
        <v>1</v>
      </c>
      <c r="C667" t="s">
        <v>382</v>
      </c>
      <c r="D667" s="164">
        <v>180000</v>
      </c>
      <c r="E667" s="165">
        <f t="shared" ref="E667:E730" si="11">B667*D667</f>
        <v>180000</v>
      </c>
    </row>
    <row r="668" spans="1:5">
      <c r="A668" t="s">
        <v>193</v>
      </c>
      <c r="B668" s="163">
        <v>1</v>
      </c>
      <c r="C668" t="s">
        <v>382</v>
      </c>
      <c r="D668" s="164">
        <v>350000</v>
      </c>
      <c r="E668" s="165">
        <f t="shared" si="11"/>
        <v>350000</v>
      </c>
    </row>
    <row r="669" spans="1:5">
      <c r="A669" t="s">
        <v>294</v>
      </c>
      <c r="B669" s="163">
        <v>1</v>
      </c>
      <c r="C669" t="s">
        <v>382</v>
      </c>
      <c r="D669" s="164">
        <v>100000</v>
      </c>
      <c r="E669" s="165">
        <f t="shared" si="11"/>
        <v>100000</v>
      </c>
    </row>
    <row r="670" spans="1:5">
      <c r="A670" t="s">
        <v>2</v>
      </c>
      <c r="B670" s="163">
        <v>0</v>
      </c>
      <c r="C670" t="s">
        <v>382</v>
      </c>
      <c r="D670" s="164">
        <v>950000</v>
      </c>
      <c r="E670" s="165">
        <f t="shared" si="11"/>
        <v>0</v>
      </c>
    </row>
    <row r="671" spans="1:5">
      <c r="A671" t="s">
        <v>22</v>
      </c>
      <c r="B671" s="163">
        <v>0</v>
      </c>
      <c r="C671" t="s">
        <v>382</v>
      </c>
      <c r="D671" s="164">
        <v>500000</v>
      </c>
      <c r="E671" s="165">
        <f t="shared" si="11"/>
        <v>0</v>
      </c>
    </row>
    <row r="672" spans="1:5">
      <c r="A672" t="s">
        <v>21</v>
      </c>
      <c r="B672" s="163">
        <v>1</v>
      </c>
      <c r="C672" t="s">
        <v>382</v>
      </c>
      <c r="D672" s="164">
        <v>250000</v>
      </c>
      <c r="E672" s="165">
        <f t="shared" si="11"/>
        <v>250000</v>
      </c>
    </row>
    <row r="673" spans="1:5">
      <c r="A673" t="s">
        <v>8</v>
      </c>
      <c r="B673" s="163">
        <v>10</v>
      </c>
      <c r="C673" t="s">
        <v>382</v>
      </c>
      <c r="D673" s="164">
        <v>65000</v>
      </c>
      <c r="E673" s="165">
        <f t="shared" si="11"/>
        <v>650000</v>
      </c>
    </row>
    <row r="674" spans="1:5">
      <c r="A674" t="s">
        <v>9</v>
      </c>
      <c r="B674" s="163">
        <v>0</v>
      </c>
      <c r="C674" t="s">
        <v>382</v>
      </c>
      <c r="D674" s="164">
        <v>600000</v>
      </c>
      <c r="E674" s="165">
        <f t="shared" si="11"/>
        <v>0</v>
      </c>
    </row>
    <row r="675" spans="1:5">
      <c r="A675" t="s">
        <v>335</v>
      </c>
      <c r="B675" s="163">
        <v>0</v>
      </c>
      <c r="C675" t="s">
        <v>382</v>
      </c>
      <c r="D675" s="164">
        <v>300000</v>
      </c>
      <c r="E675" s="165">
        <f t="shared" si="11"/>
        <v>0</v>
      </c>
    </row>
    <row r="676" spans="1:5">
      <c r="A676" t="s">
        <v>336</v>
      </c>
      <c r="B676" s="163">
        <v>1</v>
      </c>
      <c r="C676" t="s">
        <v>382</v>
      </c>
      <c r="D676" s="164">
        <v>300000</v>
      </c>
      <c r="E676" s="165">
        <f t="shared" si="11"/>
        <v>300000</v>
      </c>
    </row>
    <row r="677" spans="1:5">
      <c r="A677" t="s">
        <v>13</v>
      </c>
      <c r="B677" s="163">
        <v>12</v>
      </c>
      <c r="C677" t="s">
        <v>78</v>
      </c>
      <c r="D677" s="164">
        <v>160000</v>
      </c>
      <c r="E677" s="165">
        <f t="shared" si="11"/>
        <v>1920000</v>
      </c>
    </row>
    <row r="678" spans="1:5">
      <c r="A678" t="s">
        <v>261</v>
      </c>
      <c r="B678" s="163">
        <v>0</v>
      </c>
      <c r="C678" t="s">
        <v>78</v>
      </c>
      <c r="D678" s="164">
        <v>165000</v>
      </c>
      <c r="E678" s="165">
        <f t="shared" si="11"/>
        <v>0</v>
      </c>
    </row>
    <row r="679" spans="1:5">
      <c r="A679" t="s">
        <v>14</v>
      </c>
      <c r="B679" s="163">
        <v>0</v>
      </c>
      <c r="C679" t="s">
        <v>78</v>
      </c>
      <c r="D679" s="164">
        <v>140000</v>
      </c>
      <c r="E679" s="165">
        <f t="shared" si="11"/>
        <v>0</v>
      </c>
    </row>
    <row r="680" spans="1:5">
      <c r="A680" t="s">
        <v>23</v>
      </c>
      <c r="B680" s="163">
        <v>4</v>
      </c>
      <c r="C680" t="s">
        <v>78</v>
      </c>
      <c r="D680" s="164">
        <v>150000</v>
      </c>
      <c r="E680" s="165">
        <f t="shared" si="11"/>
        <v>600000</v>
      </c>
    </row>
    <row r="681" spans="1:5">
      <c r="A681" t="s">
        <v>18</v>
      </c>
      <c r="B681" s="163">
        <v>25</v>
      </c>
      <c r="C681" t="s">
        <v>78</v>
      </c>
      <c r="D681" s="164">
        <v>12800</v>
      </c>
      <c r="E681" s="165">
        <f t="shared" si="11"/>
        <v>320000</v>
      </c>
    </row>
    <row r="682" spans="1:5">
      <c r="A682" t="s">
        <v>19</v>
      </c>
      <c r="B682" s="163">
        <v>35</v>
      </c>
      <c r="C682" t="s">
        <v>78</v>
      </c>
      <c r="D682" s="164">
        <v>11100</v>
      </c>
      <c r="E682" s="165">
        <f t="shared" si="11"/>
        <v>388500</v>
      </c>
    </row>
    <row r="683" spans="1:5">
      <c r="A683" t="s">
        <v>259</v>
      </c>
      <c r="B683" s="163">
        <v>250</v>
      </c>
      <c r="C683" t="s">
        <v>78</v>
      </c>
      <c r="D683" s="164">
        <v>58</v>
      </c>
      <c r="E683" s="165">
        <f t="shared" si="11"/>
        <v>14500</v>
      </c>
    </row>
    <row r="684" spans="1:5">
      <c r="A684" t="s">
        <v>260</v>
      </c>
      <c r="B684" s="163">
        <v>1500</v>
      </c>
      <c r="C684" t="s">
        <v>78</v>
      </c>
      <c r="D684" s="164">
        <v>35</v>
      </c>
      <c r="E684" s="165">
        <f t="shared" si="11"/>
        <v>52500</v>
      </c>
    </row>
    <row r="685" spans="1:5">
      <c r="A685" t="s">
        <v>299</v>
      </c>
      <c r="B685" s="163">
        <v>0</v>
      </c>
      <c r="C685" t="s">
        <v>78</v>
      </c>
      <c r="D685" s="164">
        <v>1250</v>
      </c>
      <c r="E685" s="165">
        <f t="shared" si="11"/>
        <v>0</v>
      </c>
    </row>
    <row r="686" spans="1:5">
      <c r="A686" t="s">
        <v>300</v>
      </c>
      <c r="B686" s="163">
        <v>20</v>
      </c>
      <c r="C686" t="s">
        <v>78</v>
      </c>
      <c r="D686" s="164">
        <v>1250</v>
      </c>
      <c r="E686" s="165">
        <f t="shared" si="11"/>
        <v>25000</v>
      </c>
    </row>
    <row r="687" spans="1:5">
      <c r="A687" t="s">
        <v>220</v>
      </c>
      <c r="B687" s="163">
        <v>50</v>
      </c>
      <c r="C687" t="s">
        <v>78</v>
      </c>
      <c r="D687" s="164">
        <v>750</v>
      </c>
      <c r="E687" s="165">
        <f t="shared" si="11"/>
        <v>37500</v>
      </c>
    </row>
    <row r="688" spans="1:5">
      <c r="A688" t="s">
        <v>268</v>
      </c>
      <c r="B688" s="163">
        <v>100</v>
      </c>
      <c r="C688" t="s">
        <v>78</v>
      </c>
      <c r="D688" s="164">
        <v>175</v>
      </c>
      <c r="E688" s="165">
        <f t="shared" si="11"/>
        <v>17500</v>
      </c>
    </row>
    <row r="689" spans="1:5">
      <c r="A689" t="s">
        <v>221</v>
      </c>
      <c r="B689" s="163">
        <v>200</v>
      </c>
      <c r="C689" t="s">
        <v>78</v>
      </c>
      <c r="D689" s="164">
        <v>175</v>
      </c>
      <c r="E689" s="165">
        <f t="shared" si="11"/>
        <v>35000</v>
      </c>
    </row>
    <row r="690" spans="1:5">
      <c r="A690" t="s">
        <v>222</v>
      </c>
      <c r="B690" s="163">
        <v>1</v>
      </c>
      <c r="C690" t="s">
        <v>78</v>
      </c>
      <c r="D690" s="164">
        <v>90000</v>
      </c>
      <c r="E690" s="165">
        <f t="shared" si="11"/>
        <v>90000</v>
      </c>
    </row>
    <row r="691" spans="1:5">
      <c r="A691" t="s">
        <v>337</v>
      </c>
      <c r="B691" s="163">
        <v>12</v>
      </c>
      <c r="C691" t="s">
        <v>78</v>
      </c>
      <c r="D691" s="164">
        <v>21000</v>
      </c>
      <c r="E691" s="165">
        <f t="shared" si="11"/>
        <v>252000</v>
      </c>
    </row>
    <row r="692" spans="1:5">
      <c r="A692" t="s">
        <v>269</v>
      </c>
      <c r="B692" s="163">
        <v>2</v>
      </c>
      <c r="C692" t="s">
        <v>78</v>
      </c>
      <c r="D692" s="164">
        <v>40000</v>
      </c>
      <c r="E692" s="165">
        <f t="shared" si="11"/>
        <v>80000</v>
      </c>
    </row>
    <row r="693" spans="1:5">
      <c r="A693" t="s">
        <v>270</v>
      </c>
      <c r="B693" s="163">
        <v>2</v>
      </c>
      <c r="C693" t="s">
        <v>78</v>
      </c>
      <c r="D693" s="164">
        <v>13000</v>
      </c>
      <c r="E693" s="165">
        <f t="shared" si="11"/>
        <v>26000</v>
      </c>
    </row>
    <row r="694" spans="1:5">
      <c r="A694" t="s">
        <v>385</v>
      </c>
      <c r="B694" s="163">
        <v>0</v>
      </c>
      <c r="C694" t="s">
        <v>78</v>
      </c>
      <c r="D694" s="164">
        <v>0</v>
      </c>
      <c r="E694" s="165">
        <f t="shared" si="11"/>
        <v>0</v>
      </c>
    </row>
    <row r="695" spans="1:5">
      <c r="A695" t="s">
        <v>272</v>
      </c>
      <c r="B695" s="163">
        <v>0</v>
      </c>
      <c r="C695" t="s">
        <v>78</v>
      </c>
      <c r="D695" s="164">
        <v>220000</v>
      </c>
      <c r="E695" s="165">
        <f t="shared" si="11"/>
        <v>0</v>
      </c>
    </row>
    <row r="696" spans="1:5">
      <c r="A696" t="s">
        <v>273</v>
      </c>
      <c r="B696" s="163">
        <v>0</v>
      </c>
      <c r="C696" t="s">
        <v>78</v>
      </c>
      <c r="D696" s="164">
        <v>90000</v>
      </c>
      <c r="E696" s="165">
        <f t="shared" si="11"/>
        <v>0</v>
      </c>
    </row>
    <row r="697" spans="1:5">
      <c r="A697" t="s">
        <v>224</v>
      </c>
      <c r="B697" s="163">
        <v>0</v>
      </c>
      <c r="C697" t="s">
        <v>78</v>
      </c>
      <c r="D697" s="164">
        <v>60000</v>
      </c>
      <c r="E697" s="165">
        <f t="shared" si="11"/>
        <v>0</v>
      </c>
    </row>
    <row r="698" spans="1:5">
      <c r="A698" t="s">
        <v>274</v>
      </c>
      <c r="B698" s="163">
        <v>0</v>
      </c>
      <c r="C698" t="s">
        <v>78</v>
      </c>
      <c r="D698" s="164">
        <v>90000</v>
      </c>
      <c r="E698" s="165">
        <f t="shared" si="11"/>
        <v>0</v>
      </c>
    </row>
    <row r="699" spans="1:5">
      <c r="A699" t="s">
        <v>226</v>
      </c>
      <c r="B699" s="163">
        <v>0</v>
      </c>
      <c r="C699" t="s">
        <v>78</v>
      </c>
      <c r="D699" s="164">
        <v>0</v>
      </c>
      <c r="E699" s="165">
        <f t="shared" si="11"/>
        <v>0</v>
      </c>
    </row>
    <row r="700" spans="1:5">
      <c r="A700" t="s">
        <v>227</v>
      </c>
      <c r="B700" s="163">
        <v>0</v>
      </c>
      <c r="C700" t="s">
        <v>78</v>
      </c>
      <c r="D700" s="164">
        <v>0</v>
      </c>
      <c r="E700" s="165">
        <f t="shared" si="11"/>
        <v>0</v>
      </c>
    </row>
    <row r="701" spans="1:5">
      <c r="A701" t="s">
        <v>225</v>
      </c>
      <c r="B701" s="163">
        <v>0</v>
      </c>
      <c r="C701" t="s">
        <v>78</v>
      </c>
      <c r="D701" s="164">
        <v>0</v>
      </c>
      <c r="E701" s="165">
        <f t="shared" si="11"/>
        <v>0</v>
      </c>
    </row>
    <row r="702" spans="1:5">
      <c r="A702" t="s">
        <v>31</v>
      </c>
      <c r="B702" s="163">
        <v>0</v>
      </c>
      <c r="C702" t="s">
        <v>78</v>
      </c>
      <c r="D702" s="164">
        <v>300000</v>
      </c>
      <c r="E702" s="165">
        <f t="shared" si="11"/>
        <v>0</v>
      </c>
    </row>
    <row r="703" spans="1:5">
      <c r="A703" t="s">
        <v>11</v>
      </c>
      <c r="B703" s="163">
        <v>0.5</v>
      </c>
      <c r="C703" t="s">
        <v>78</v>
      </c>
      <c r="D703" s="164">
        <v>65000</v>
      </c>
      <c r="E703" s="165">
        <f t="shared" si="11"/>
        <v>32500</v>
      </c>
    </row>
    <row r="704" spans="1:5">
      <c r="A704" t="s">
        <v>32</v>
      </c>
      <c r="B704" s="163">
        <v>0.5</v>
      </c>
      <c r="C704" t="s">
        <v>78</v>
      </c>
      <c r="D704" s="164">
        <v>250000</v>
      </c>
      <c r="E704" s="165">
        <f t="shared" si="11"/>
        <v>125000</v>
      </c>
    </row>
    <row r="705" spans="1:5">
      <c r="A705" t="s">
        <v>327</v>
      </c>
      <c r="B705" s="163">
        <v>36</v>
      </c>
      <c r="C705" t="s">
        <v>78</v>
      </c>
      <c r="D705" s="164">
        <v>30000</v>
      </c>
      <c r="E705" s="165">
        <f t="shared" si="11"/>
        <v>1080000</v>
      </c>
    </row>
    <row r="706" spans="1:5">
      <c r="A706" t="s">
        <v>100</v>
      </c>
      <c r="B706" s="163">
        <v>0</v>
      </c>
      <c r="C706" t="s">
        <v>78</v>
      </c>
      <c r="D706" s="164">
        <v>30000</v>
      </c>
      <c r="E706" s="165">
        <f t="shared" si="11"/>
        <v>0</v>
      </c>
    </row>
    <row r="707" spans="1:5">
      <c r="A707" t="s">
        <v>328</v>
      </c>
      <c r="B707" s="163">
        <v>0</v>
      </c>
      <c r="C707" t="s">
        <v>78</v>
      </c>
      <c r="D707" s="164">
        <v>50000</v>
      </c>
      <c r="E707" s="165">
        <f t="shared" si="11"/>
        <v>0</v>
      </c>
    </row>
    <row r="708" spans="1:5">
      <c r="A708" t="s">
        <v>325</v>
      </c>
      <c r="B708" s="163">
        <v>0</v>
      </c>
      <c r="C708" t="s">
        <v>78</v>
      </c>
      <c r="D708" s="164">
        <v>15000</v>
      </c>
      <c r="E708" s="165">
        <f t="shared" si="11"/>
        <v>0</v>
      </c>
    </row>
    <row r="709" spans="1:5">
      <c r="A709" t="s">
        <v>326</v>
      </c>
      <c r="B709" s="163">
        <v>12</v>
      </c>
      <c r="C709" t="s">
        <v>78</v>
      </c>
      <c r="D709" s="164">
        <v>15000</v>
      </c>
      <c r="E709" s="165">
        <f t="shared" si="11"/>
        <v>180000</v>
      </c>
    </row>
    <row r="710" spans="1:5">
      <c r="A710" t="s">
        <v>276</v>
      </c>
      <c r="B710" s="163">
        <v>0</v>
      </c>
      <c r="C710" t="s">
        <v>78</v>
      </c>
      <c r="D710" s="164">
        <v>75000</v>
      </c>
      <c r="E710" s="165">
        <f t="shared" si="11"/>
        <v>0</v>
      </c>
    </row>
    <row r="711" spans="1:5">
      <c r="A711" t="s">
        <v>277</v>
      </c>
      <c r="B711" s="163">
        <v>0</v>
      </c>
      <c r="C711" t="s">
        <v>78</v>
      </c>
      <c r="D711" s="164">
        <v>75000</v>
      </c>
      <c r="E711" s="165">
        <f t="shared" si="11"/>
        <v>0</v>
      </c>
    </row>
    <row r="712" spans="1:5">
      <c r="A712" t="s">
        <v>6</v>
      </c>
      <c r="B712" s="163">
        <v>0</v>
      </c>
      <c r="C712" t="s">
        <v>78</v>
      </c>
      <c r="D712" s="164">
        <v>30000</v>
      </c>
      <c r="E712" s="165">
        <f t="shared" si="11"/>
        <v>0</v>
      </c>
    </row>
    <row r="713" spans="1:5">
      <c r="A713" t="s">
        <v>12</v>
      </c>
      <c r="B713" s="163">
        <v>0</v>
      </c>
      <c r="C713" t="s">
        <v>78</v>
      </c>
      <c r="D713" s="164">
        <v>12000</v>
      </c>
      <c r="E713" s="165">
        <f t="shared" si="11"/>
        <v>0</v>
      </c>
    </row>
    <row r="714" spans="1:5">
      <c r="A714" t="s">
        <v>278</v>
      </c>
      <c r="B714" s="163">
        <v>0</v>
      </c>
      <c r="C714" t="s">
        <v>78</v>
      </c>
      <c r="D714" s="164">
        <v>0</v>
      </c>
      <c r="E714" s="165">
        <f t="shared" si="11"/>
        <v>0</v>
      </c>
    </row>
    <row r="715" spans="1:5">
      <c r="A715" t="s">
        <v>279</v>
      </c>
      <c r="B715" s="163">
        <v>0</v>
      </c>
      <c r="C715" t="s">
        <v>78</v>
      </c>
      <c r="D715" s="164">
        <v>0</v>
      </c>
      <c r="E715" s="165">
        <f t="shared" si="11"/>
        <v>0</v>
      </c>
    </row>
    <row r="716" spans="1:5">
      <c r="A716" t="s">
        <v>280</v>
      </c>
      <c r="B716" s="163">
        <v>0</v>
      </c>
      <c r="C716" t="s">
        <v>78</v>
      </c>
      <c r="D716" s="164">
        <v>0</v>
      </c>
      <c r="E716" s="165">
        <f t="shared" si="11"/>
        <v>0</v>
      </c>
    </row>
    <row r="717" spans="1:5">
      <c r="A717" t="s">
        <v>437</v>
      </c>
      <c r="B717" s="163">
        <v>1</v>
      </c>
      <c r="C717" t="s">
        <v>78</v>
      </c>
      <c r="D717" s="164">
        <v>300000</v>
      </c>
      <c r="E717" s="165">
        <f t="shared" si="11"/>
        <v>300000</v>
      </c>
    </row>
    <row r="718" spans="1:5">
      <c r="A718" t="s">
        <v>281</v>
      </c>
      <c r="B718" s="163">
        <v>0</v>
      </c>
      <c r="C718" t="s">
        <v>78</v>
      </c>
      <c r="D718" s="164">
        <v>0</v>
      </c>
      <c r="E718" s="165">
        <f t="shared" si="11"/>
        <v>0</v>
      </c>
    </row>
    <row r="719" spans="1:5">
      <c r="A719" t="s">
        <v>284</v>
      </c>
      <c r="B719" s="163">
        <v>0</v>
      </c>
      <c r="C719" t="s">
        <v>78</v>
      </c>
      <c r="D719" s="164">
        <v>0</v>
      </c>
      <c r="E719" s="165">
        <f t="shared" si="11"/>
        <v>0</v>
      </c>
    </row>
    <row r="720" spans="1:5">
      <c r="A720" t="s">
        <v>285</v>
      </c>
      <c r="B720" s="163">
        <v>0</v>
      </c>
      <c r="C720" t="s">
        <v>78</v>
      </c>
      <c r="D720" s="164">
        <v>0</v>
      </c>
      <c r="E720" s="165">
        <f t="shared" si="11"/>
        <v>0</v>
      </c>
    </row>
    <row r="721" spans="1:5">
      <c r="A721" t="s">
        <v>288</v>
      </c>
      <c r="B721" s="163">
        <v>0</v>
      </c>
      <c r="C721" t="s">
        <v>78</v>
      </c>
      <c r="D721" s="164">
        <v>0</v>
      </c>
      <c r="E721" s="165">
        <f t="shared" si="11"/>
        <v>0</v>
      </c>
    </row>
    <row r="722" spans="1:5">
      <c r="A722" t="s">
        <v>289</v>
      </c>
      <c r="B722" s="163">
        <v>0</v>
      </c>
      <c r="C722" t="s">
        <v>78</v>
      </c>
      <c r="D722" s="164">
        <v>0</v>
      </c>
      <c r="E722" s="165">
        <f t="shared" si="11"/>
        <v>0</v>
      </c>
    </row>
    <row r="723" spans="1:5">
      <c r="A723" t="s">
        <v>290</v>
      </c>
      <c r="B723" s="163">
        <v>0</v>
      </c>
      <c r="C723" t="s">
        <v>78</v>
      </c>
      <c r="D723" s="164">
        <v>0</v>
      </c>
      <c r="E723" s="165">
        <f t="shared" si="11"/>
        <v>0</v>
      </c>
    </row>
    <row r="724" spans="1:5">
      <c r="A724" t="s">
        <v>296</v>
      </c>
      <c r="B724" s="163">
        <v>0</v>
      </c>
      <c r="C724" t="s">
        <v>78</v>
      </c>
      <c r="D724" s="164">
        <v>50000</v>
      </c>
      <c r="E724" s="165">
        <f t="shared" si="11"/>
        <v>0</v>
      </c>
    </row>
    <row r="725" spans="1:5">
      <c r="A725" t="s">
        <v>295</v>
      </c>
      <c r="B725" s="163">
        <v>0</v>
      </c>
      <c r="C725" t="s">
        <v>78</v>
      </c>
      <c r="D725" s="164">
        <v>15000</v>
      </c>
      <c r="E725" s="165">
        <f t="shared" si="11"/>
        <v>0</v>
      </c>
    </row>
    <row r="726" spans="1:5">
      <c r="A726" t="s">
        <v>330</v>
      </c>
      <c r="B726" s="163">
        <v>2</v>
      </c>
      <c r="C726" t="s">
        <v>78</v>
      </c>
      <c r="D726" s="164">
        <v>15000</v>
      </c>
      <c r="E726" s="165">
        <f t="shared" si="11"/>
        <v>30000</v>
      </c>
    </row>
    <row r="727" spans="1:5">
      <c r="A727" t="s">
        <v>329</v>
      </c>
      <c r="B727" s="163">
        <v>0</v>
      </c>
      <c r="C727" t="s">
        <v>78</v>
      </c>
      <c r="D727" s="164">
        <v>12000</v>
      </c>
      <c r="E727" s="165">
        <f t="shared" si="11"/>
        <v>0</v>
      </c>
    </row>
    <row r="728" spans="1:5">
      <c r="A728" t="s">
        <v>331</v>
      </c>
      <c r="B728" s="163">
        <v>0</v>
      </c>
      <c r="C728" t="s">
        <v>78</v>
      </c>
      <c r="D728" s="164">
        <v>28000</v>
      </c>
      <c r="E728" s="165">
        <f t="shared" si="11"/>
        <v>0</v>
      </c>
    </row>
    <row r="729" spans="1:5">
      <c r="A729" t="s">
        <v>42</v>
      </c>
      <c r="B729" s="163">
        <v>0</v>
      </c>
      <c r="C729" t="s">
        <v>78</v>
      </c>
      <c r="D729" s="164">
        <v>200000</v>
      </c>
      <c r="E729" s="165">
        <f t="shared" si="11"/>
        <v>0</v>
      </c>
    </row>
    <row r="730" spans="1:5">
      <c r="A730" t="s">
        <v>41</v>
      </c>
      <c r="B730" s="163">
        <v>0.5</v>
      </c>
      <c r="C730" t="s">
        <v>78</v>
      </c>
      <c r="D730" s="164">
        <v>150000</v>
      </c>
      <c r="E730" s="165">
        <f t="shared" si="11"/>
        <v>75000</v>
      </c>
    </row>
    <row r="731" spans="1:5">
      <c r="A731" t="s">
        <v>3</v>
      </c>
      <c r="B731" s="163">
        <v>1</v>
      </c>
      <c r="C731" t="s">
        <v>78</v>
      </c>
      <c r="D731" s="164">
        <v>100000</v>
      </c>
      <c r="E731" s="165">
        <f t="shared" ref="E731:E794" si="12">B731*D731</f>
        <v>100000</v>
      </c>
    </row>
    <row r="732" spans="1:5">
      <c r="A732" t="s">
        <v>4</v>
      </c>
      <c r="B732" s="163">
        <v>0.5</v>
      </c>
      <c r="C732" t="s">
        <v>78</v>
      </c>
      <c r="D732" s="164">
        <v>75000</v>
      </c>
      <c r="E732" s="165">
        <f t="shared" si="12"/>
        <v>37500</v>
      </c>
    </row>
    <row r="733" spans="1:5">
      <c r="A733" t="s">
        <v>67</v>
      </c>
      <c r="B733" s="163">
        <v>4</v>
      </c>
      <c r="C733" t="s">
        <v>78</v>
      </c>
      <c r="D733" s="164">
        <v>500</v>
      </c>
      <c r="E733" s="165">
        <f t="shared" si="12"/>
        <v>2000</v>
      </c>
    </row>
    <row r="734" spans="1:5">
      <c r="A734" t="s">
        <v>68</v>
      </c>
      <c r="B734" s="163">
        <v>2</v>
      </c>
      <c r="C734" t="s">
        <v>78</v>
      </c>
      <c r="D734" s="164">
        <v>500</v>
      </c>
      <c r="E734" s="165">
        <f t="shared" si="12"/>
        <v>1000</v>
      </c>
    </row>
    <row r="735" spans="1:5">
      <c r="A735" t="s">
        <v>70</v>
      </c>
      <c r="B735" s="163">
        <v>4</v>
      </c>
      <c r="C735" t="s">
        <v>78</v>
      </c>
      <c r="D735" s="164">
        <v>6000</v>
      </c>
      <c r="E735" s="165">
        <f t="shared" si="12"/>
        <v>24000</v>
      </c>
    </row>
    <row r="736" spans="1:5">
      <c r="A736" t="s">
        <v>380</v>
      </c>
      <c r="B736" s="163">
        <v>1</v>
      </c>
      <c r="C736" t="s">
        <v>78</v>
      </c>
      <c r="D736" s="164">
        <v>15000</v>
      </c>
      <c r="E736" s="165">
        <f t="shared" si="12"/>
        <v>15000</v>
      </c>
    </row>
    <row r="737" spans="1:5">
      <c r="A737" t="s">
        <v>16</v>
      </c>
      <c r="B737" s="163">
        <v>0</v>
      </c>
      <c r="C737" t="s">
        <v>78</v>
      </c>
      <c r="D737" s="164">
        <v>150000</v>
      </c>
      <c r="E737" s="165">
        <f t="shared" si="12"/>
        <v>0</v>
      </c>
    </row>
    <row r="738" spans="1:5">
      <c r="A738" t="s">
        <v>17</v>
      </c>
      <c r="B738" s="163">
        <v>0</v>
      </c>
      <c r="C738" t="s">
        <v>78</v>
      </c>
      <c r="D738" s="164">
        <v>150000</v>
      </c>
      <c r="E738" s="165">
        <f t="shared" si="12"/>
        <v>0</v>
      </c>
    </row>
    <row r="739" spans="1:5">
      <c r="A739" t="s">
        <v>333</v>
      </c>
      <c r="B739" s="163">
        <v>0</v>
      </c>
      <c r="C739" t="s">
        <v>78</v>
      </c>
      <c r="D739" s="164">
        <v>500000</v>
      </c>
      <c r="E739" s="165">
        <f t="shared" si="12"/>
        <v>0</v>
      </c>
    </row>
    <row r="740" spans="1:5">
      <c r="A740" t="s">
        <v>291</v>
      </c>
      <c r="B740" s="163">
        <v>0</v>
      </c>
      <c r="C740" t="s">
        <v>78</v>
      </c>
      <c r="D740" s="164">
        <v>300000</v>
      </c>
      <c r="E740" s="165">
        <f t="shared" si="12"/>
        <v>0</v>
      </c>
    </row>
    <row r="741" spans="1:5">
      <c r="A741" t="s">
        <v>292</v>
      </c>
      <c r="B741" s="163">
        <v>0</v>
      </c>
      <c r="C741" t="s">
        <v>78</v>
      </c>
      <c r="D741" s="164">
        <v>50000</v>
      </c>
      <c r="E741" s="165">
        <f t="shared" si="12"/>
        <v>0</v>
      </c>
    </row>
    <row r="742" spans="1:5">
      <c r="A742" t="s">
        <v>293</v>
      </c>
      <c r="B742" s="163">
        <v>0</v>
      </c>
      <c r="C742" t="s">
        <v>78</v>
      </c>
      <c r="D742" s="164">
        <v>180000</v>
      </c>
      <c r="E742" s="165">
        <f t="shared" si="12"/>
        <v>0</v>
      </c>
    </row>
    <row r="743" spans="1:5">
      <c r="A743" t="s">
        <v>193</v>
      </c>
      <c r="B743" s="163">
        <v>0</v>
      </c>
      <c r="C743" t="s">
        <v>78</v>
      </c>
      <c r="D743" s="164">
        <v>350000</v>
      </c>
      <c r="E743" s="165">
        <f t="shared" si="12"/>
        <v>0</v>
      </c>
    </row>
    <row r="744" spans="1:5">
      <c r="A744" t="s">
        <v>294</v>
      </c>
      <c r="B744" s="163">
        <v>0</v>
      </c>
      <c r="C744" t="s">
        <v>78</v>
      </c>
      <c r="D744" s="164">
        <v>100000</v>
      </c>
      <c r="E744" s="165">
        <f t="shared" si="12"/>
        <v>0</v>
      </c>
    </row>
    <row r="745" spans="1:5">
      <c r="A745" t="s">
        <v>2</v>
      </c>
      <c r="B745" s="163">
        <v>0</v>
      </c>
      <c r="C745" t="s">
        <v>78</v>
      </c>
      <c r="D745" s="164">
        <v>950000</v>
      </c>
      <c r="E745" s="165">
        <f t="shared" si="12"/>
        <v>0</v>
      </c>
    </row>
    <row r="746" spans="1:5">
      <c r="A746" t="s">
        <v>22</v>
      </c>
      <c r="B746" s="163">
        <v>0</v>
      </c>
      <c r="C746" t="s">
        <v>78</v>
      </c>
      <c r="D746" s="164">
        <v>500000</v>
      </c>
      <c r="E746" s="165">
        <f t="shared" si="12"/>
        <v>0</v>
      </c>
    </row>
    <row r="747" spans="1:5">
      <c r="A747" t="s">
        <v>21</v>
      </c>
      <c r="B747" s="163">
        <v>0</v>
      </c>
      <c r="C747" t="s">
        <v>78</v>
      </c>
      <c r="D747" s="164">
        <v>250000</v>
      </c>
      <c r="E747" s="165">
        <f t="shared" si="12"/>
        <v>0</v>
      </c>
    </row>
    <row r="748" spans="1:5">
      <c r="A748" t="s">
        <v>8</v>
      </c>
      <c r="B748" s="163">
        <v>10</v>
      </c>
      <c r="C748" t="s">
        <v>78</v>
      </c>
      <c r="D748" s="164">
        <v>65000</v>
      </c>
      <c r="E748" s="165">
        <f t="shared" si="12"/>
        <v>650000</v>
      </c>
    </row>
    <row r="749" spans="1:5">
      <c r="A749" t="s">
        <v>9</v>
      </c>
      <c r="B749" s="163">
        <v>0</v>
      </c>
      <c r="C749" t="s">
        <v>78</v>
      </c>
      <c r="D749" s="164">
        <v>0</v>
      </c>
      <c r="E749" s="165">
        <f t="shared" si="12"/>
        <v>0</v>
      </c>
    </row>
    <row r="750" spans="1:5">
      <c r="A750" t="s">
        <v>335</v>
      </c>
      <c r="B750" s="163">
        <v>0</v>
      </c>
      <c r="C750" t="s">
        <v>78</v>
      </c>
      <c r="D750" s="164">
        <v>0</v>
      </c>
      <c r="E750" s="165">
        <f t="shared" si="12"/>
        <v>0</v>
      </c>
    </row>
    <row r="751" spans="1:5">
      <c r="A751" t="s">
        <v>336</v>
      </c>
      <c r="B751" s="163">
        <v>0</v>
      </c>
      <c r="C751" t="s">
        <v>78</v>
      </c>
      <c r="D751" s="164">
        <v>0</v>
      </c>
      <c r="E751" s="165">
        <f t="shared" si="12"/>
        <v>0</v>
      </c>
    </row>
    <row r="752" spans="1:5">
      <c r="A752" t="s">
        <v>13</v>
      </c>
      <c r="B752" s="163">
        <v>8</v>
      </c>
      <c r="C752" t="s">
        <v>79</v>
      </c>
      <c r="D752" s="164">
        <v>160000</v>
      </c>
      <c r="E752" s="165">
        <f t="shared" si="12"/>
        <v>1280000</v>
      </c>
    </row>
    <row r="753" spans="1:5">
      <c r="A753" t="s">
        <v>261</v>
      </c>
      <c r="B753" s="163">
        <v>0</v>
      </c>
      <c r="C753" t="s">
        <v>79</v>
      </c>
      <c r="D753" s="164">
        <v>0</v>
      </c>
      <c r="E753" s="165">
        <f t="shared" si="12"/>
        <v>0</v>
      </c>
    </row>
    <row r="754" spans="1:5">
      <c r="A754" t="s">
        <v>14</v>
      </c>
      <c r="B754" s="163">
        <v>0</v>
      </c>
      <c r="C754" t="s">
        <v>79</v>
      </c>
      <c r="D754" s="164">
        <v>0</v>
      </c>
      <c r="E754" s="165">
        <f t="shared" si="12"/>
        <v>0</v>
      </c>
    </row>
    <row r="755" spans="1:5">
      <c r="A755" t="s">
        <v>23</v>
      </c>
      <c r="B755" s="163">
        <v>2</v>
      </c>
      <c r="C755" t="s">
        <v>79</v>
      </c>
      <c r="D755" s="164">
        <v>150000</v>
      </c>
      <c r="E755" s="165">
        <f t="shared" si="12"/>
        <v>300000</v>
      </c>
    </row>
    <row r="756" spans="1:5">
      <c r="A756" t="s">
        <v>18</v>
      </c>
      <c r="B756" s="163">
        <v>15</v>
      </c>
      <c r="C756" t="s">
        <v>79</v>
      </c>
      <c r="D756" s="164">
        <v>12800</v>
      </c>
      <c r="E756" s="165">
        <f t="shared" si="12"/>
        <v>192000</v>
      </c>
    </row>
    <row r="757" spans="1:5">
      <c r="A757" t="s">
        <v>19</v>
      </c>
      <c r="B757" s="163">
        <v>20</v>
      </c>
      <c r="C757" t="s">
        <v>79</v>
      </c>
      <c r="D757" s="164">
        <v>11100</v>
      </c>
      <c r="E757" s="165">
        <f t="shared" si="12"/>
        <v>222000</v>
      </c>
    </row>
    <row r="758" spans="1:5">
      <c r="A758" t="s">
        <v>259</v>
      </c>
      <c r="B758" s="163">
        <v>0</v>
      </c>
      <c r="C758" t="s">
        <v>79</v>
      </c>
      <c r="D758" s="164">
        <v>0</v>
      </c>
      <c r="E758" s="165">
        <f t="shared" si="12"/>
        <v>0</v>
      </c>
    </row>
    <row r="759" spans="1:5">
      <c r="A759" t="s">
        <v>260</v>
      </c>
      <c r="B759" s="163">
        <v>0</v>
      </c>
      <c r="C759" t="s">
        <v>79</v>
      </c>
      <c r="D759" s="164">
        <v>0</v>
      </c>
      <c r="E759" s="165">
        <f t="shared" si="12"/>
        <v>0</v>
      </c>
    </row>
    <row r="760" spans="1:5">
      <c r="A760" t="s">
        <v>299</v>
      </c>
      <c r="B760" s="163">
        <v>0</v>
      </c>
      <c r="C760" t="s">
        <v>79</v>
      </c>
      <c r="D760" s="164">
        <v>0</v>
      </c>
      <c r="E760" s="165">
        <f t="shared" si="12"/>
        <v>0</v>
      </c>
    </row>
    <row r="761" spans="1:5">
      <c r="A761" t="s">
        <v>300</v>
      </c>
      <c r="B761" s="163">
        <v>0</v>
      </c>
      <c r="C761" t="s">
        <v>79</v>
      </c>
      <c r="D761" s="164">
        <v>0</v>
      </c>
      <c r="E761" s="165">
        <f t="shared" si="12"/>
        <v>0</v>
      </c>
    </row>
    <row r="762" spans="1:5">
      <c r="A762" t="s">
        <v>220</v>
      </c>
      <c r="B762" s="163">
        <v>0</v>
      </c>
      <c r="C762" t="s">
        <v>79</v>
      </c>
      <c r="D762" s="164">
        <v>0</v>
      </c>
      <c r="E762" s="165">
        <f t="shared" si="12"/>
        <v>0</v>
      </c>
    </row>
    <row r="763" spans="1:5">
      <c r="A763" t="s">
        <v>268</v>
      </c>
      <c r="B763" s="163">
        <v>0</v>
      </c>
      <c r="C763" t="s">
        <v>79</v>
      </c>
      <c r="D763" s="164">
        <v>0</v>
      </c>
      <c r="E763" s="165">
        <f t="shared" si="12"/>
        <v>0</v>
      </c>
    </row>
    <row r="764" spans="1:5">
      <c r="A764" t="s">
        <v>221</v>
      </c>
      <c r="B764" s="163">
        <v>0</v>
      </c>
      <c r="C764" t="s">
        <v>79</v>
      </c>
      <c r="D764" s="164">
        <v>0</v>
      </c>
      <c r="E764" s="165">
        <f t="shared" si="12"/>
        <v>0</v>
      </c>
    </row>
    <row r="765" spans="1:5">
      <c r="A765" t="s">
        <v>222</v>
      </c>
      <c r="B765" s="163">
        <v>0</v>
      </c>
      <c r="C765" t="s">
        <v>79</v>
      </c>
      <c r="D765" s="164">
        <v>0</v>
      </c>
      <c r="E765" s="165">
        <f t="shared" si="12"/>
        <v>0</v>
      </c>
    </row>
    <row r="766" spans="1:5">
      <c r="A766" t="s">
        <v>337</v>
      </c>
      <c r="B766" s="163">
        <v>0</v>
      </c>
      <c r="C766" t="s">
        <v>79</v>
      </c>
      <c r="D766" s="164">
        <v>0</v>
      </c>
      <c r="E766" s="165">
        <f t="shared" si="12"/>
        <v>0</v>
      </c>
    </row>
    <row r="767" spans="1:5">
      <c r="A767" t="s">
        <v>269</v>
      </c>
      <c r="B767" s="163">
        <v>0</v>
      </c>
      <c r="C767" t="s">
        <v>79</v>
      </c>
      <c r="D767" s="164">
        <v>0</v>
      </c>
      <c r="E767" s="165">
        <f t="shared" si="12"/>
        <v>0</v>
      </c>
    </row>
    <row r="768" spans="1:5">
      <c r="A768" t="s">
        <v>270</v>
      </c>
      <c r="B768" s="163">
        <v>0</v>
      </c>
      <c r="C768" t="s">
        <v>79</v>
      </c>
      <c r="D768" s="164">
        <v>0</v>
      </c>
      <c r="E768" s="165">
        <f t="shared" si="12"/>
        <v>0</v>
      </c>
    </row>
    <row r="769" spans="1:5">
      <c r="A769" t="s">
        <v>385</v>
      </c>
      <c r="B769" s="163">
        <v>0</v>
      </c>
      <c r="C769" t="s">
        <v>79</v>
      </c>
      <c r="D769" s="164">
        <v>0</v>
      </c>
      <c r="E769" s="165">
        <f t="shared" si="12"/>
        <v>0</v>
      </c>
    </row>
    <row r="770" spans="1:5">
      <c r="A770" t="s">
        <v>272</v>
      </c>
      <c r="B770" s="163">
        <v>0</v>
      </c>
      <c r="C770" t="s">
        <v>79</v>
      </c>
      <c r="D770" s="164">
        <v>0</v>
      </c>
      <c r="E770" s="165">
        <f t="shared" si="12"/>
        <v>0</v>
      </c>
    </row>
    <row r="771" spans="1:5">
      <c r="A771" t="s">
        <v>273</v>
      </c>
      <c r="B771" s="163">
        <v>0</v>
      </c>
      <c r="C771" t="s">
        <v>79</v>
      </c>
      <c r="D771" s="164">
        <v>0</v>
      </c>
      <c r="E771" s="165">
        <f t="shared" si="12"/>
        <v>0</v>
      </c>
    </row>
    <row r="772" spans="1:5">
      <c r="A772" t="s">
        <v>224</v>
      </c>
      <c r="B772" s="163">
        <v>0</v>
      </c>
      <c r="C772" t="s">
        <v>79</v>
      </c>
      <c r="D772" s="164">
        <v>0</v>
      </c>
      <c r="E772" s="165">
        <f t="shared" si="12"/>
        <v>0</v>
      </c>
    </row>
    <row r="773" spans="1:5">
      <c r="A773" t="s">
        <v>274</v>
      </c>
      <c r="B773" s="163">
        <v>0</v>
      </c>
      <c r="C773" t="s">
        <v>79</v>
      </c>
      <c r="D773" s="164">
        <v>0</v>
      </c>
      <c r="E773" s="165">
        <f t="shared" si="12"/>
        <v>0</v>
      </c>
    </row>
    <row r="774" spans="1:5">
      <c r="A774" t="s">
        <v>226</v>
      </c>
      <c r="B774" s="163">
        <v>0</v>
      </c>
      <c r="C774" t="s">
        <v>79</v>
      </c>
      <c r="D774" s="164">
        <v>0</v>
      </c>
      <c r="E774" s="165">
        <f t="shared" si="12"/>
        <v>0</v>
      </c>
    </row>
    <row r="775" spans="1:5">
      <c r="A775" t="s">
        <v>227</v>
      </c>
      <c r="B775" s="163">
        <v>0</v>
      </c>
      <c r="C775" t="s">
        <v>79</v>
      </c>
      <c r="D775" s="164">
        <v>0</v>
      </c>
      <c r="E775" s="165">
        <f t="shared" si="12"/>
        <v>0</v>
      </c>
    </row>
    <row r="776" spans="1:5">
      <c r="A776" t="s">
        <v>225</v>
      </c>
      <c r="B776" s="163">
        <v>0</v>
      </c>
      <c r="C776" t="s">
        <v>79</v>
      </c>
      <c r="D776" s="164">
        <v>0</v>
      </c>
      <c r="E776" s="165">
        <f t="shared" si="12"/>
        <v>0</v>
      </c>
    </row>
    <row r="777" spans="1:5">
      <c r="A777" t="s">
        <v>31</v>
      </c>
      <c r="B777" s="163">
        <v>0</v>
      </c>
      <c r="C777" t="s">
        <v>79</v>
      </c>
      <c r="D777" s="164">
        <v>0</v>
      </c>
      <c r="E777" s="165">
        <f t="shared" si="12"/>
        <v>0</v>
      </c>
    </row>
    <row r="778" spans="1:5">
      <c r="A778" t="s">
        <v>11</v>
      </c>
      <c r="B778" s="163">
        <v>0</v>
      </c>
      <c r="C778" t="s">
        <v>79</v>
      </c>
      <c r="D778" s="164">
        <v>0</v>
      </c>
      <c r="E778" s="165">
        <f t="shared" si="12"/>
        <v>0</v>
      </c>
    </row>
    <row r="779" spans="1:5">
      <c r="A779" t="s">
        <v>32</v>
      </c>
      <c r="B779" s="163">
        <v>0</v>
      </c>
      <c r="C779" t="s">
        <v>79</v>
      </c>
      <c r="D779" s="164">
        <v>0</v>
      </c>
      <c r="E779" s="165">
        <f t="shared" si="12"/>
        <v>0</v>
      </c>
    </row>
    <row r="780" spans="1:5">
      <c r="A780" t="s">
        <v>327</v>
      </c>
      <c r="B780" s="163">
        <v>0</v>
      </c>
      <c r="C780" t="s">
        <v>79</v>
      </c>
      <c r="D780" s="164">
        <v>0</v>
      </c>
      <c r="E780" s="165">
        <f t="shared" si="12"/>
        <v>0</v>
      </c>
    </row>
    <row r="781" spans="1:5">
      <c r="A781" t="s">
        <v>100</v>
      </c>
      <c r="B781" s="163">
        <v>0</v>
      </c>
      <c r="C781" t="s">
        <v>79</v>
      </c>
      <c r="D781" s="164">
        <v>0</v>
      </c>
      <c r="E781" s="165">
        <f t="shared" si="12"/>
        <v>0</v>
      </c>
    </row>
    <row r="782" spans="1:5">
      <c r="A782" t="s">
        <v>328</v>
      </c>
      <c r="B782" s="163">
        <v>0</v>
      </c>
      <c r="C782" t="s">
        <v>79</v>
      </c>
      <c r="D782" s="164">
        <v>0</v>
      </c>
      <c r="E782" s="165">
        <f t="shared" si="12"/>
        <v>0</v>
      </c>
    </row>
    <row r="783" spans="1:5">
      <c r="A783" t="s">
        <v>325</v>
      </c>
      <c r="B783" s="163">
        <v>0</v>
      </c>
      <c r="C783" t="s">
        <v>79</v>
      </c>
      <c r="D783" s="164">
        <v>0</v>
      </c>
      <c r="E783" s="165">
        <f t="shared" si="12"/>
        <v>0</v>
      </c>
    </row>
    <row r="784" spans="1:5">
      <c r="A784" t="s">
        <v>326</v>
      </c>
      <c r="B784" s="163">
        <v>0</v>
      </c>
      <c r="C784" t="s">
        <v>79</v>
      </c>
      <c r="D784" s="164">
        <v>0</v>
      </c>
      <c r="E784" s="165">
        <f t="shared" si="12"/>
        <v>0</v>
      </c>
    </row>
    <row r="785" spans="1:5">
      <c r="A785" t="s">
        <v>276</v>
      </c>
      <c r="B785" s="163">
        <v>0</v>
      </c>
      <c r="C785" t="s">
        <v>79</v>
      </c>
      <c r="D785" s="164">
        <v>0</v>
      </c>
      <c r="E785" s="165">
        <f t="shared" si="12"/>
        <v>0</v>
      </c>
    </row>
    <row r="786" spans="1:5">
      <c r="A786" t="s">
        <v>277</v>
      </c>
      <c r="B786" s="163">
        <v>0</v>
      </c>
      <c r="C786" t="s">
        <v>79</v>
      </c>
      <c r="D786" s="164">
        <v>0</v>
      </c>
      <c r="E786" s="165">
        <f t="shared" si="12"/>
        <v>0</v>
      </c>
    </row>
    <row r="787" spans="1:5">
      <c r="A787" t="s">
        <v>6</v>
      </c>
      <c r="B787" s="163">
        <v>0</v>
      </c>
      <c r="C787" t="s">
        <v>79</v>
      </c>
      <c r="D787" s="164">
        <v>0</v>
      </c>
      <c r="E787" s="165">
        <f t="shared" si="12"/>
        <v>0</v>
      </c>
    </row>
    <row r="788" spans="1:5">
      <c r="A788" t="s">
        <v>12</v>
      </c>
      <c r="B788" s="163">
        <v>0</v>
      </c>
      <c r="C788" t="s">
        <v>79</v>
      </c>
      <c r="D788" s="164">
        <v>0</v>
      </c>
      <c r="E788" s="165">
        <f t="shared" si="12"/>
        <v>0</v>
      </c>
    </row>
    <row r="789" spans="1:5">
      <c r="A789" t="s">
        <v>278</v>
      </c>
      <c r="B789" s="163">
        <v>0</v>
      </c>
      <c r="C789" t="s">
        <v>79</v>
      </c>
      <c r="D789" s="164">
        <v>0</v>
      </c>
      <c r="E789" s="165">
        <f t="shared" si="12"/>
        <v>0</v>
      </c>
    </row>
    <row r="790" spans="1:5">
      <c r="A790" t="s">
        <v>279</v>
      </c>
      <c r="B790" s="163">
        <v>0</v>
      </c>
      <c r="C790" t="s">
        <v>79</v>
      </c>
      <c r="D790" s="164">
        <v>0</v>
      </c>
      <c r="E790" s="165">
        <f t="shared" si="12"/>
        <v>0</v>
      </c>
    </row>
    <row r="791" spans="1:5">
      <c r="A791" t="s">
        <v>280</v>
      </c>
      <c r="B791" s="163">
        <v>0</v>
      </c>
      <c r="C791" t="s">
        <v>79</v>
      </c>
      <c r="D791" s="164">
        <v>0</v>
      </c>
      <c r="E791" s="165">
        <f t="shared" si="12"/>
        <v>0</v>
      </c>
    </row>
    <row r="792" spans="1:5">
      <c r="A792" t="s">
        <v>437</v>
      </c>
      <c r="B792" s="163">
        <v>0</v>
      </c>
      <c r="C792" t="s">
        <v>79</v>
      </c>
      <c r="D792" s="164">
        <v>0</v>
      </c>
      <c r="E792" s="165">
        <f t="shared" si="12"/>
        <v>0</v>
      </c>
    </row>
    <row r="793" spans="1:5">
      <c r="A793" t="s">
        <v>281</v>
      </c>
      <c r="B793" s="163">
        <v>0</v>
      </c>
      <c r="C793" t="s">
        <v>79</v>
      </c>
      <c r="D793" s="164">
        <v>0</v>
      </c>
      <c r="E793" s="165">
        <f t="shared" si="12"/>
        <v>0</v>
      </c>
    </row>
    <row r="794" spans="1:5">
      <c r="A794" t="s">
        <v>284</v>
      </c>
      <c r="B794" s="163">
        <v>0</v>
      </c>
      <c r="C794" t="s">
        <v>79</v>
      </c>
      <c r="D794" s="164">
        <v>0</v>
      </c>
      <c r="E794" s="165">
        <f t="shared" si="12"/>
        <v>0</v>
      </c>
    </row>
    <row r="795" spans="1:5">
      <c r="A795" t="s">
        <v>285</v>
      </c>
      <c r="B795" s="163">
        <v>0</v>
      </c>
      <c r="C795" t="s">
        <v>79</v>
      </c>
      <c r="D795" s="164">
        <v>0</v>
      </c>
      <c r="E795" s="165">
        <f t="shared" ref="E795:E858" si="13">B795*D795</f>
        <v>0</v>
      </c>
    </row>
    <row r="796" spans="1:5">
      <c r="A796" t="s">
        <v>288</v>
      </c>
      <c r="B796" s="163">
        <v>0</v>
      </c>
      <c r="C796" t="s">
        <v>79</v>
      </c>
      <c r="D796" s="164">
        <v>0</v>
      </c>
      <c r="E796" s="165">
        <f t="shared" si="13"/>
        <v>0</v>
      </c>
    </row>
    <row r="797" spans="1:5">
      <c r="A797" t="s">
        <v>289</v>
      </c>
      <c r="B797" s="163">
        <v>0</v>
      </c>
      <c r="C797" t="s">
        <v>79</v>
      </c>
      <c r="D797" s="164">
        <v>0</v>
      </c>
      <c r="E797" s="165">
        <f t="shared" si="13"/>
        <v>0</v>
      </c>
    </row>
    <row r="798" spans="1:5">
      <c r="A798" t="s">
        <v>290</v>
      </c>
      <c r="B798" s="163">
        <v>0</v>
      </c>
      <c r="C798" t="s">
        <v>79</v>
      </c>
      <c r="D798" s="164">
        <v>0</v>
      </c>
      <c r="E798" s="165">
        <f t="shared" si="13"/>
        <v>0</v>
      </c>
    </row>
    <row r="799" spans="1:5">
      <c r="A799" t="s">
        <v>296</v>
      </c>
      <c r="B799" s="163">
        <v>0</v>
      </c>
      <c r="C799" t="s">
        <v>79</v>
      </c>
      <c r="D799" s="164">
        <v>0</v>
      </c>
      <c r="E799" s="165">
        <f t="shared" si="13"/>
        <v>0</v>
      </c>
    </row>
    <row r="800" spans="1:5">
      <c r="A800" t="s">
        <v>295</v>
      </c>
      <c r="B800" s="163">
        <v>0</v>
      </c>
      <c r="C800" t="s">
        <v>79</v>
      </c>
      <c r="D800" s="164">
        <v>0</v>
      </c>
      <c r="E800" s="165">
        <f t="shared" si="13"/>
        <v>0</v>
      </c>
    </row>
    <row r="801" spans="1:5">
      <c r="A801" t="s">
        <v>330</v>
      </c>
      <c r="B801" s="163">
        <v>0</v>
      </c>
      <c r="C801" t="s">
        <v>79</v>
      </c>
      <c r="D801" s="164">
        <v>0</v>
      </c>
      <c r="E801" s="165">
        <f t="shared" si="13"/>
        <v>0</v>
      </c>
    </row>
    <row r="802" spans="1:5">
      <c r="A802" t="s">
        <v>329</v>
      </c>
      <c r="B802" s="163">
        <v>0</v>
      </c>
      <c r="C802" t="s">
        <v>79</v>
      </c>
      <c r="D802" s="164">
        <v>0</v>
      </c>
      <c r="E802" s="165">
        <f t="shared" si="13"/>
        <v>0</v>
      </c>
    </row>
    <row r="803" spans="1:5">
      <c r="A803" t="s">
        <v>331</v>
      </c>
      <c r="B803" s="163">
        <v>0</v>
      </c>
      <c r="C803" t="s">
        <v>79</v>
      </c>
      <c r="D803" s="164">
        <v>0</v>
      </c>
      <c r="E803" s="165">
        <f t="shared" si="13"/>
        <v>0</v>
      </c>
    </row>
    <row r="804" spans="1:5">
      <c r="A804" t="s">
        <v>42</v>
      </c>
      <c r="B804" s="163">
        <v>0</v>
      </c>
      <c r="C804" t="s">
        <v>79</v>
      </c>
      <c r="D804" s="164">
        <v>0</v>
      </c>
      <c r="E804" s="165">
        <f t="shared" si="13"/>
        <v>0</v>
      </c>
    </row>
    <row r="805" spans="1:5">
      <c r="A805" t="s">
        <v>41</v>
      </c>
      <c r="B805" s="163">
        <v>0</v>
      </c>
      <c r="C805" t="s">
        <v>79</v>
      </c>
      <c r="D805" s="164">
        <v>0</v>
      </c>
      <c r="E805" s="165">
        <f t="shared" si="13"/>
        <v>0</v>
      </c>
    </row>
    <row r="806" spans="1:5">
      <c r="A806" t="s">
        <v>3</v>
      </c>
      <c r="B806" s="163">
        <v>0</v>
      </c>
      <c r="C806" t="s">
        <v>79</v>
      </c>
      <c r="D806" s="164">
        <v>0</v>
      </c>
      <c r="E806" s="165">
        <f t="shared" si="13"/>
        <v>0</v>
      </c>
    </row>
    <row r="807" spans="1:5">
      <c r="A807" t="s">
        <v>4</v>
      </c>
      <c r="B807" s="163">
        <v>0</v>
      </c>
      <c r="C807" t="s">
        <v>79</v>
      </c>
      <c r="D807" s="164">
        <v>0</v>
      </c>
      <c r="E807" s="165">
        <f t="shared" si="13"/>
        <v>0</v>
      </c>
    </row>
    <row r="808" spans="1:5">
      <c r="A808" t="s">
        <v>67</v>
      </c>
      <c r="B808" s="163">
        <v>0</v>
      </c>
      <c r="C808" t="s">
        <v>79</v>
      </c>
      <c r="D808" s="164">
        <v>0</v>
      </c>
      <c r="E808" s="165">
        <f t="shared" si="13"/>
        <v>0</v>
      </c>
    </row>
    <row r="809" spans="1:5">
      <c r="A809" t="s">
        <v>68</v>
      </c>
      <c r="B809" s="163">
        <v>0</v>
      </c>
      <c r="C809" t="s">
        <v>79</v>
      </c>
      <c r="D809" s="164">
        <v>0</v>
      </c>
      <c r="E809" s="165">
        <f t="shared" si="13"/>
        <v>0</v>
      </c>
    </row>
    <row r="810" spans="1:5">
      <c r="A810" t="s">
        <v>70</v>
      </c>
      <c r="B810" s="163">
        <v>0</v>
      </c>
      <c r="C810" t="s">
        <v>79</v>
      </c>
      <c r="D810" s="164">
        <v>0</v>
      </c>
      <c r="E810" s="165">
        <f t="shared" si="13"/>
        <v>0</v>
      </c>
    </row>
    <row r="811" spans="1:5">
      <c r="A811" t="s">
        <v>380</v>
      </c>
      <c r="B811" s="163">
        <v>0</v>
      </c>
      <c r="C811" t="s">
        <v>79</v>
      </c>
      <c r="D811" s="164">
        <v>0</v>
      </c>
      <c r="E811" s="165">
        <f t="shared" si="13"/>
        <v>0</v>
      </c>
    </row>
    <row r="812" spans="1:5">
      <c r="A812" t="s">
        <v>16</v>
      </c>
      <c r="B812" s="163">
        <v>0</v>
      </c>
      <c r="C812" t="s">
        <v>79</v>
      </c>
      <c r="D812" s="164">
        <v>0</v>
      </c>
      <c r="E812" s="165">
        <f t="shared" si="13"/>
        <v>0</v>
      </c>
    </row>
    <row r="813" spans="1:5">
      <c r="A813" t="s">
        <v>17</v>
      </c>
      <c r="B813" s="163">
        <v>0</v>
      </c>
      <c r="C813" t="s">
        <v>79</v>
      </c>
      <c r="D813" s="164">
        <v>0</v>
      </c>
      <c r="E813" s="165">
        <f t="shared" si="13"/>
        <v>0</v>
      </c>
    </row>
    <row r="814" spans="1:5">
      <c r="A814" t="s">
        <v>333</v>
      </c>
      <c r="B814" s="163">
        <v>0</v>
      </c>
      <c r="C814" t="s">
        <v>79</v>
      </c>
      <c r="D814" s="164">
        <v>0</v>
      </c>
      <c r="E814" s="165">
        <f t="shared" si="13"/>
        <v>0</v>
      </c>
    </row>
    <row r="815" spans="1:5">
      <c r="A815" t="s">
        <v>291</v>
      </c>
      <c r="B815" s="163">
        <v>0</v>
      </c>
      <c r="C815" t="s">
        <v>79</v>
      </c>
      <c r="D815" s="164">
        <v>0</v>
      </c>
      <c r="E815" s="165">
        <f t="shared" si="13"/>
        <v>0</v>
      </c>
    </row>
    <row r="816" spans="1:5">
      <c r="A816" t="s">
        <v>292</v>
      </c>
      <c r="B816" s="163">
        <v>0</v>
      </c>
      <c r="C816" t="s">
        <v>79</v>
      </c>
      <c r="D816" s="164">
        <v>0</v>
      </c>
      <c r="E816" s="165">
        <f t="shared" si="13"/>
        <v>0</v>
      </c>
    </row>
    <row r="817" spans="1:5">
      <c r="A817" t="s">
        <v>293</v>
      </c>
      <c r="B817" s="163">
        <v>0</v>
      </c>
      <c r="C817" t="s">
        <v>79</v>
      </c>
      <c r="D817" s="164">
        <v>0</v>
      </c>
      <c r="E817" s="165">
        <f t="shared" si="13"/>
        <v>0</v>
      </c>
    </row>
    <row r="818" spans="1:5">
      <c r="A818" t="s">
        <v>193</v>
      </c>
      <c r="B818" s="163">
        <v>0</v>
      </c>
      <c r="C818" t="s">
        <v>79</v>
      </c>
      <c r="D818" s="164">
        <v>0</v>
      </c>
      <c r="E818" s="165">
        <f t="shared" si="13"/>
        <v>0</v>
      </c>
    </row>
    <row r="819" spans="1:5">
      <c r="A819" t="s">
        <v>294</v>
      </c>
      <c r="B819" s="163">
        <v>0</v>
      </c>
      <c r="C819" t="s">
        <v>79</v>
      </c>
      <c r="D819" s="164">
        <v>0</v>
      </c>
      <c r="E819" s="165">
        <f t="shared" si="13"/>
        <v>0</v>
      </c>
    </row>
    <row r="820" spans="1:5">
      <c r="A820" t="s">
        <v>2</v>
      </c>
      <c r="B820" s="163">
        <v>0</v>
      </c>
      <c r="C820" t="s">
        <v>79</v>
      </c>
      <c r="D820" s="164">
        <v>0</v>
      </c>
      <c r="E820" s="165">
        <f t="shared" si="13"/>
        <v>0</v>
      </c>
    </row>
    <row r="821" spans="1:5">
      <c r="A821" t="s">
        <v>22</v>
      </c>
      <c r="B821" s="163">
        <v>0</v>
      </c>
      <c r="C821" t="s">
        <v>79</v>
      </c>
      <c r="D821" s="164">
        <v>0</v>
      </c>
      <c r="E821" s="165">
        <f t="shared" si="13"/>
        <v>0</v>
      </c>
    </row>
    <row r="822" spans="1:5">
      <c r="A822" t="s">
        <v>21</v>
      </c>
      <c r="B822" s="163">
        <v>0</v>
      </c>
      <c r="C822" t="s">
        <v>79</v>
      </c>
      <c r="D822" s="164">
        <v>0</v>
      </c>
      <c r="E822" s="165">
        <f t="shared" si="13"/>
        <v>0</v>
      </c>
    </row>
    <row r="823" spans="1:5">
      <c r="A823" t="s">
        <v>8</v>
      </c>
      <c r="B823" s="163">
        <v>0</v>
      </c>
      <c r="C823" t="s">
        <v>79</v>
      </c>
      <c r="D823" s="164">
        <v>0</v>
      </c>
      <c r="E823" s="165">
        <f t="shared" si="13"/>
        <v>0</v>
      </c>
    </row>
    <row r="824" spans="1:5">
      <c r="A824" t="s">
        <v>9</v>
      </c>
      <c r="B824" s="163">
        <v>0</v>
      </c>
      <c r="C824" t="s">
        <v>79</v>
      </c>
      <c r="D824" s="164">
        <v>0</v>
      </c>
      <c r="E824" s="165">
        <f t="shared" si="13"/>
        <v>0</v>
      </c>
    </row>
    <row r="825" spans="1:5">
      <c r="A825" t="s">
        <v>335</v>
      </c>
      <c r="B825" s="163">
        <v>0</v>
      </c>
      <c r="C825" t="s">
        <v>79</v>
      </c>
      <c r="D825" s="164">
        <v>0</v>
      </c>
      <c r="E825" s="165">
        <f t="shared" si="13"/>
        <v>0</v>
      </c>
    </row>
    <row r="826" spans="1:5">
      <c r="A826" t="s">
        <v>336</v>
      </c>
      <c r="B826" s="163">
        <v>0</v>
      </c>
      <c r="C826" t="s">
        <v>79</v>
      </c>
      <c r="D826" s="164">
        <v>0</v>
      </c>
      <c r="E826" s="165">
        <f t="shared" si="13"/>
        <v>0</v>
      </c>
    </row>
    <row r="827" spans="1:5">
      <c r="A827" t="s">
        <v>13</v>
      </c>
      <c r="B827" s="163">
        <v>0</v>
      </c>
      <c r="C827" t="s">
        <v>383</v>
      </c>
      <c r="D827" s="164">
        <v>0</v>
      </c>
      <c r="E827" s="165">
        <f t="shared" si="13"/>
        <v>0</v>
      </c>
    </row>
    <row r="828" spans="1:5">
      <c r="A828" t="s">
        <v>261</v>
      </c>
      <c r="B828" s="163">
        <v>0</v>
      </c>
      <c r="C828" t="s">
        <v>383</v>
      </c>
      <c r="D828" s="164">
        <v>0</v>
      </c>
      <c r="E828" s="165">
        <f t="shared" si="13"/>
        <v>0</v>
      </c>
    </row>
    <row r="829" spans="1:5">
      <c r="A829" t="s">
        <v>14</v>
      </c>
      <c r="B829" s="163">
        <v>0</v>
      </c>
      <c r="C829" t="s">
        <v>383</v>
      </c>
      <c r="D829" s="164">
        <v>0</v>
      </c>
      <c r="E829" s="165">
        <f t="shared" si="13"/>
        <v>0</v>
      </c>
    </row>
    <row r="830" spans="1:5">
      <c r="A830" t="s">
        <v>23</v>
      </c>
      <c r="B830" s="163">
        <v>0</v>
      </c>
      <c r="C830" t="s">
        <v>383</v>
      </c>
      <c r="D830" s="164">
        <v>0</v>
      </c>
      <c r="E830" s="165">
        <f t="shared" si="13"/>
        <v>0</v>
      </c>
    </row>
    <row r="831" spans="1:5">
      <c r="A831" t="s">
        <v>18</v>
      </c>
      <c r="B831" s="163">
        <v>0</v>
      </c>
      <c r="C831" t="s">
        <v>383</v>
      </c>
      <c r="D831" s="164">
        <v>0</v>
      </c>
      <c r="E831" s="165">
        <f t="shared" si="13"/>
        <v>0</v>
      </c>
    </row>
    <row r="832" spans="1:5">
      <c r="A832" t="s">
        <v>19</v>
      </c>
      <c r="B832" s="163">
        <v>0</v>
      </c>
      <c r="C832" t="s">
        <v>383</v>
      </c>
      <c r="D832" s="164">
        <v>0</v>
      </c>
      <c r="E832" s="165">
        <f t="shared" si="13"/>
        <v>0</v>
      </c>
    </row>
    <row r="833" spans="1:5">
      <c r="A833" t="s">
        <v>259</v>
      </c>
      <c r="B833" s="163">
        <v>0</v>
      </c>
      <c r="C833" t="s">
        <v>383</v>
      </c>
      <c r="D833" s="164">
        <v>0</v>
      </c>
      <c r="E833" s="165">
        <f t="shared" si="13"/>
        <v>0</v>
      </c>
    </row>
    <row r="834" spans="1:5">
      <c r="A834" t="s">
        <v>260</v>
      </c>
      <c r="B834" s="163">
        <v>0</v>
      </c>
      <c r="C834" t="s">
        <v>383</v>
      </c>
      <c r="D834" s="164">
        <v>0</v>
      </c>
      <c r="E834" s="165">
        <f t="shared" si="13"/>
        <v>0</v>
      </c>
    </row>
    <row r="835" spans="1:5">
      <c r="A835" t="s">
        <v>299</v>
      </c>
      <c r="B835" s="163">
        <v>0</v>
      </c>
      <c r="C835" t="s">
        <v>383</v>
      </c>
      <c r="D835" s="164">
        <v>0</v>
      </c>
      <c r="E835" s="165">
        <f t="shared" si="13"/>
        <v>0</v>
      </c>
    </row>
    <row r="836" spans="1:5">
      <c r="A836" t="s">
        <v>300</v>
      </c>
      <c r="B836" s="163">
        <v>0</v>
      </c>
      <c r="C836" t="s">
        <v>383</v>
      </c>
      <c r="D836" s="164">
        <v>0</v>
      </c>
      <c r="E836" s="165">
        <f t="shared" si="13"/>
        <v>0</v>
      </c>
    </row>
    <row r="837" spans="1:5">
      <c r="A837" t="s">
        <v>220</v>
      </c>
      <c r="B837" s="163">
        <v>0</v>
      </c>
      <c r="C837" t="s">
        <v>383</v>
      </c>
      <c r="D837" s="164">
        <v>0</v>
      </c>
      <c r="E837" s="165">
        <f t="shared" si="13"/>
        <v>0</v>
      </c>
    </row>
    <row r="838" spans="1:5">
      <c r="A838" t="s">
        <v>268</v>
      </c>
      <c r="B838" s="163">
        <v>0</v>
      </c>
      <c r="C838" t="s">
        <v>383</v>
      </c>
      <c r="D838" s="164">
        <v>0</v>
      </c>
      <c r="E838" s="165">
        <f t="shared" si="13"/>
        <v>0</v>
      </c>
    </row>
    <row r="839" spans="1:5">
      <c r="A839" t="s">
        <v>221</v>
      </c>
      <c r="B839" s="163">
        <v>0</v>
      </c>
      <c r="C839" t="s">
        <v>383</v>
      </c>
      <c r="D839" s="164">
        <v>0</v>
      </c>
      <c r="E839" s="165">
        <f t="shared" si="13"/>
        <v>0</v>
      </c>
    </row>
    <row r="840" spans="1:5">
      <c r="A840" t="s">
        <v>222</v>
      </c>
      <c r="B840" s="163">
        <v>0</v>
      </c>
      <c r="C840" t="s">
        <v>383</v>
      </c>
      <c r="D840" s="164">
        <v>0</v>
      </c>
      <c r="E840" s="165">
        <f t="shared" si="13"/>
        <v>0</v>
      </c>
    </row>
    <row r="841" spans="1:5">
      <c r="A841" t="s">
        <v>337</v>
      </c>
      <c r="B841" s="163">
        <v>0</v>
      </c>
      <c r="C841" t="s">
        <v>383</v>
      </c>
      <c r="D841" s="164">
        <v>0</v>
      </c>
      <c r="E841" s="165">
        <f t="shared" si="13"/>
        <v>0</v>
      </c>
    </row>
    <row r="842" spans="1:5">
      <c r="A842" t="s">
        <v>269</v>
      </c>
      <c r="B842" s="163">
        <v>0</v>
      </c>
      <c r="C842" t="s">
        <v>383</v>
      </c>
      <c r="D842" s="164">
        <v>0</v>
      </c>
      <c r="E842" s="165">
        <f t="shared" si="13"/>
        <v>0</v>
      </c>
    </row>
    <row r="843" spans="1:5">
      <c r="A843" t="s">
        <v>270</v>
      </c>
      <c r="B843" s="163">
        <v>0</v>
      </c>
      <c r="C843" t="s">
        <v>383</v>
      </c>
      <c r="D843" s="164">
        <v>0</v>
      </c>
      <c r="E843" s="165">
        <f t="shared" si="13"/>
        <v>0</v>
      </c>
    </row>
    <row r="844" spans="1:5">
      <c r="A844" t="s">
        <v>385</v>
      </c>
      <c r="B844" s="163">
        <v>0</v>
      </c>
      <c r="C844" t="s">
        <v>383</v>
      </c>
      <c r="D844" s="164">
        <v>0</v>
      </c>
      <c r="E844" s="165">
        <f t="shared" si="13"/>
        <v>0</v>
      </c>
    </row>
    <row r="845" spans="1:5">
      <c r="A845" t="s">
        <v>272</v>
      </c>
      <c r="B845" s="163">
        <v>0</v>
      </c>
      <c r="C845" t="s">
        <v>383</v>
      </c>
      <c r="D845" s="164">
        <v>0</v>
      </c>
      <c r="E845" s="165">
        <f t="shared" si="13"/>
        <v>0</v>
      </c>
    </row>
    <row r="846" spans="1:5">
      <c r="A846" t="s">
        <v>273</v>
      </c>
      <c r="B846" s="163">
        <v>0</v>
      </c>
      <c r="C846" t="s">
        <v>383</v>
      </c>
      <c r="D846" s="164">
        <v>0</v>
      </c>
      <c r="E846" s="165">
        <f t="shared" si="13"/>
        <v>0</v>
      </c>
    </row>
    <row r="847" spans="1:5">
      <c r="A847" t="s">
        <v>224</v>
      </c>
      <c r="B847" s="163">
        <v>0</v>
      </c>
      <c r="C847" t="s">
        <v>383</v>
      </c>
      <c r="D847" s="164">
        <v>0</v>
      </c>
      <c r="E847" s="165">
        <f t="shared" si="13"/>
        <v>0</v>
      </c>
    </row>
    <row r="848" spans="1:5">
      <c r="A848" t="s">
        <v>274</v>
      </c>
      <c r="B848" s="163">
        <v>0</v>
      </c>
      <c r="C848" t="s">
        <v>383</v>
      </c>
      <c r="D848" s="164">
        <v>0</v>
      </c>
      <c r="E848" s="165">
        <f t="shared" si="13"/>
        <v>0</v>
      </c>
    </row>
    <row r="849" spans="1:5">
      <c r="A849" t="s">
        <v>226</v>
      </c>
      <c r="B849" s="163">
        <v>0</v>
      </c>
      <c r="C849" t="s">
        <v>383</v>
      </c>
      <c r="D849" s="164">
        <v>0</v>
      </c>
      <c r="E849" s="165">
        <f t="shared" si="13"/>
        <v>0</v>
      </c>
    </row>
    <row r="850" spans="1:5">
      <c r="A850" t="s">
        <v>227</v>
      </c>
      <c r="B850" s="163">
        <v>0</v>
      </c>
      <c r="C850" t="s">
        <v>383</v>
      </c>
      <c r="D850" s="164">
        <v>0</v>
      </c>
      <c r="E850" s="165">
        <f t="shared" si="13"/>
        <v>0</v>
      </c>
    </row>
    <row r="851" spans="1:5">
      <c r="A851" t="s">
        <v>225</v>
      </c>
      <c r="B851" s="163">
        <v>0</v>
      </c>
      <c r="C851" t="s">
        <v>383</v>
      </c>
      <c r="D851" s="164">
        <v>0</v>
      </c>
      <c r="E851" s="165">
        <f t="shared" si="13"/>
        <v>0</v>
      </c>
    </row>
    <row r="852" spans="1:5">
      <c r="A852" t="s">
        <v>31</v>
      </c>
      <c r="B852" s="163">
        <v>0</v>
      </c>
      <c r="C852" t="s">
        <v>383</v>
      </c>
      <c r="D852" s="164">
        <v>0</v>
      </c>
      <c r="E852" s="165">
        <f t="shared" si="13"/>
        <v>0</v>
      </c>
    </row>
    <row r="853" spans="1:5">
      <c r="A853" t="s">
        <v>11</v>
      </c>
      <c r="B853" s="163">
        <v>0</v>
      </c>
      <c r="C853" t="s">
        <v>383</v>
      </c>
      <c r="D853" s="164">
        <v>0</v>
      </c>
      <c r="E853" s="165">
        <f t="shared" si="13"/>
        <v>0</v>
      </c>
    </row>
    <row r="854" spans="1:5">
      <c r="A854" t="s">
        <v>32</v>
      </c>
      <c r="B854" s="163">
        <v>0</v>
      </c>
      <c r="C854" t="s">
        <v>383</v>
      </c>
      <c r="D854" s="164">
        <v>0</v>
      </c>
      <c r="E854" s="165">
        <f t="shared" si="13"/>
        <v>0</v>
      </c>
    </row>
    <row r="855" spans="1:5">
      <c r="A855" t="s">
        <v>327</v>
      </c>
      <c r="B855" s="163">
        <v>0</v>
      </c>
      <c r="C855" t="s">
        <v>383</v>
      </c>
      <c r="D855" s="164">
        <v>0</v>
      </c>
      <c r="E855" s="165">
        <f t="shared" si="13"/>
        <v>0</v>
      </c>
    </row>
    <row r="856" spans="1:5">
      <c r="A856" t="s">
        <v>100</v>
      </c>
      <c r="B856" s="163">
        <v>0</v>
      </c>
      <c r="C856" t="s">
        <v>383</v>
      </c>
      <c r="D856" s="164">
        <v>0</v>
      </c>
      <c r="E856" s="165">
        <f t="shared" si="13"/>
        <v>0</v>
      </c>
    </row>
    <row r="857" spans="1:5">
      <c r="A857" t="s">
        <v>328</v>
      </c>
      <c r="B857" s="163">
        <v>0</v>
      </c>
      <c r="C857" t="s">
        <v>383</v>
      </c>
      <c r="D857" s="164">
        <v>0</v>
      </c>
      <c r="E857" s="165">
        <f t="shared" si="13"/>
        <v>0</v>
      </c>
    </row>
    <row r="858" spans="1:5">
      <c r="A858" t="s">
        <v>325</v>
      </c>
      <c r="B858" s="163">
        <v>0</v>
      </c>
      <c r="C858" t="s">
        <v>383</v>
      </c>
      <c r="D858" s="164">
        <v>0</v>
      </c>
      <c r="E858" s="165">
        <f t="shared" si="13"/>
        <v>0</v>
      </c>
    </row>
    <row r="859" spans="1:5">
      <c r="A859" t="s">
        <v>326</v>
      </c>
      <c r="B859" s="163">
        <v>0</v>
      </c>
      <c r="C859" t="s">
        <v>383</v>
      </c>
      <c r="D859" s="164">
        <v>0</v>
      </c>
      <c r="E859" s="165">
        <f t="shared" ref="E859:E901" si="14">B859*D859</f>
        <v>0</v>
      </c>
    </row>
    <row r="860" spans="1:5">
      <c r="A860" t="s">
        <v>276</v>
      </c>
      <c r="B860" s="163">
        <v>0</v>
      </c>
      <c r="C860" t="s">
        <v>383</v>
      </c>
      <c r="D860" s="164">
        <v>0</v>
      </c>
      <c r="E860" s="165">
        <f t="shared" si="14"/>
        <v>0</v>
      </c>
    </row>
    <row r="861" spans="1:5">
      <c r="A861" t="s">
        <v>277</v>
      </c>
      <c r="B861" s="163">
        <v>0</v>
      </c>
      <c r="C861" t="s">
        <v>383</v>
      </c>
      <c r="D861" s="164">
        <v>0</v>
      </c>
      <c r="E861" s="165">
        <f t="shared" si="14"/>
        <v>0</v>
      </c>
    </row>
    <row r="862" spans="1:5">
      <c r="A862" t="s">
        <v>6</v>
      </c>
      <c r="B862" s="163">
        <v>0</v>
      </c>
      <c r="C862" t="s">
        <v>383</v>
      </c>
      <c r="D862" s="164">
        <v>0</v>
      </c>
      <c r="E862" s="165">
        <f t="shared" si="14"/>
        <v>0</v>
      </c>
    </row>
    <row r="863" spans="1:5">
      <c r="A863" t="s">
        <v>12</v>
      </c>
      <c r="B863" s="163">
        <v>0</v>
      </c>
      <c r="C863" t="s">
        <v>383</v>
      </c>
      <c r="D863" s="164">
        <v>0</v>
      </c>
      <c r="E863" s="165">
        <f t="shared" si="14"/>
        <v>0</v>
      </c>
    </row>
    <row r="864" spans="1:5">
      <c r="A864" t="s">
        <v>278</v>
      </c>
      <c r="B864" s="163">
        <v>0</v>
      </c>
      <c r="C864" t="s">
        <v>383</v>
      </c>
      <c r="D864" s="164">
        <v>0</v>
      </c>
      <c r="E864" s="165">
        <f t="shared" si="14"/>
        <v>0</v>
      </c>
    </row>
    <row r="865" spans="1:5">
      <c r="A865" t="s">
        <v>279</v>
      </c>
      <c r="B865" s="163">
        <v>0</v>
      </c>
      <c r="C865" t="s">
        <v>383</v>
      </c>
      <c r="D865" s="164">
        <v>0</v>
      </c>
      <c r="E865" s="165">
        <f t="shared" si="14"/>
        <v>0</v>
      </c>
    </row>
    <row r="866" spans="1:5">
      <c r="A866" t="s">
        <v>280</v>
      </c>
      <c r="B866" s="163">
        <v>0</v>
      </c>
      <c r="C866" t="s">
        <v>383</v>
      </c>
      <c r="D866" s="164">
        <v>0</v>
      </c>
      <c r="E866" s="165">
        <f t="shared" si="14"/>
        <v>0</v>
      </c>
    </row>
    <row r="867" spans="1:5">
      <c r="A867" t="s">
        <v>437</v>
      </c>
      <c r="B867" s="163">
        <v>0</v>
      </c>
      <c r="C867" t="s">
        <v>383</v>
      </c>
      <c r="D867" s="164">
        <v>0</v>
      </c>
      <c r="E867" s="165">
        <f t="shared" si="14"/>
        <v>0</v>
      </c>
    </row>
    <row r="868" spans="1:5">
      <c r="A868" t="s">
        <v>281</v>
      </c>
      <c r="B868" s="163">
        <v>0</v>
      </c>
      <c r="C868" t="s">
        <v>383</v>
      </c>
      <c r="D868" s="164">
        <v>0</v>
      </c>
      <c r="E868" s="165">
        <f t="shared" si="14"/>
        <v>0</v>
      </c>
    </row>
    <row r="869" spans="1:5">
      <c r="A869" t="s">
        <v>284</v>
      </c>
      <c r="B869" s="163">
        <v>0</v>
      </c>
      <c r="C869" t="s">
        <v>383</v>
      </c>
      <c r="D869" s="164">
        <v>0</v>
      </c>
      <c r="E869" s="165">
        <f t="shared" si="14"/>
        <v>0</v>
      </c>
    </row>
    <row r="870" spans="1:5">
      <c r="A870" t="s">
        <v>285</v>
      </c>
      <c r="B870" s="163">
        <v>0</v>
      </c>
      <c r="C870" t="s">
        <v>383</v>
      </c>
      <c r="D870" s="164">
        <v>0</v>
      </c>
      <c r="E870" s="165">
        <f t="shared" si="14"/>
        <v>0</v>
      </c>
    </row>
    <row r="871" spans="1:5">
      <c r="A871" t="s">
        <v>288</v>
      </c>
      <c r="B871" s="163">
        <v>0</v>
      </c>
      <c r="C871" t="s">
        <v>383</v>
      </c>
      <c r="D871" s="164">
        <v>0</v>
      </c>
      <c r="E871" s="165">
        <f t="shared" si="14"/>
        <v>0</v>
      </c>
    </row>
    <row r="872" spans="1:5">
      <c r="A872" t="s">
        <v>289</v>
      </c>
      <c r="B872" s="163">
        <v>0</v>
      </c>
      <c r="C872" t="s">
        <v>383</v>
      </c>
      <c r="D872" s="164">
        <v>0</v>
      </c>
      <c r="E872" s="165">
        <f t="shared" si="14"/>
        <v>0</v>
      </c>
    </row>
    <row r="873" spans="1:5">
      <c r="A873" t="s">
        <v>290</v>
      </c>
      <c r="B873" s="163">
        <v>0</v>
      </c>
      <c r="C873" t="s">
        <v>383</v>
      </c>
      <c r="D873" s="164">
        <v>0</v>
      </c>
      <c r="E873" s="165">
        <f t="shared" si="14"/>
        <v>0</v>
      </c>
    </row>
    <row r="874" spans="1:5">
      <c r="A874" t="s">
        <v>296</v>
      </c>
      <c r="B874" s="163">
        <v>0</v>
      </c>
      <c r="C874" t="s">
        <v>383</v>
      </c>
      <c r="D874" s="164">
        <v>0</v>
      </c>
      <c r="E874" s="165">
        <f t="shared" si="14"/>
        <v>0</v>
      </c>
    </row>
    <row r="875" spans="1:5">
      <c r="A875" t="s">
        <v>295</v>
      </c>
      <c r="B875" s="163">
        <v>0</v>
      </c>
      <c r="C875" t="s">
        <v>383</v>
      </c>
      <c r="D875" s="164">
        <v>0</v>
      </c>
      <c r="E875" s="165">
        <f t="shared" si="14"/>
        <v>0</v>
      </c>
    </row>
    <row r="876" spans="1:5">
      <c r="A876" t="s">
        <v>330</v>
      </c>
      <c r="B876" s="163">
        <v>0</v>
      </c>
      <c r="C876" t="s">
        <v>383</v>
      </c>
      <c r="D876" s="164">
        <v>0</v>
      </c>
      <c r="E876" s="165">
        <f t="shared" si="14"/>
        <v>0</v>
      </c>
    </row>
    <row r="877" spans="1:5">
      <c r="A877" t="s">
        <v>329</v>
      </c>
      <c r="B877" s="163">
        <v>0</v>
      </c>
      <c r="C877" t="s">
        <v>383</v>
      </c>
      <c r="D877" s="164">
        <v>0</v>
      </c>
      <c r="E877" s="165">
        <f t="shared" si="14"/>
        <v>0</v>
      </c>
    </row>
    <row r="878" spans="1:5">
      <c r="A878" t="s">
        <v>331</v>
      </c>
      <c r="B878" s="163">
        <v>0</v>
      </c>
      <c r="C878" t="s">
        <v>383</v>
      </c>
      <c r="D878" s="164">
        <v>0</v>
      </c>
      <c r="E878" s="165">
        <f t="shared" si="14"/>
        <v>0</v>
      </c>
    </row>
    <row r="879" spans="1:5">
      <c r="A879" t="s">
        <v>42</v>
      </c>
      <c r="B879" s="163">
        <v>0</v>
      </c>
      <c r="C879" t="s">
        <v>383</v>
      </c>
      <c r="D879" s="164">
        <v>0</v>
      </c>
      <c r="E879" s="165">
        <f t="shared" si="14"/>
        <v>0</v>
      </c>
    </row>
    <row r="880" spans="1:5">
      <c r="A880" t="s">
        <v>41</v>
      </c>
      <c r="B880" s="163">
        <v>0</v>
      </c>
      <c r="C880" t="s">
        <v>383</v>
      </c>
      <c r="D880" s="164">
        <v>0</v>
      </c>
      <c r="E880" s="165">
        <f t="shared" si="14"/>
        <v>0</v>
      </c>
    </row>
    <row r="881" spans="1:5">
      <c r="A881" t="s">
        <v>3</v>
      </c>
      <c r="B881" s="163">
        <v>0</v>
      </c>
      <c r="C881" t="s">
        <v>383</v>
      </c>
      <c r="D881" s="164">
        <v>0</v>
      </c>
      <c r="E881" s="165">
        <f t="shared" si="14"/>
        <v>0</v>
      </c>
    </row>
    <row r="882" spans="1:5">
      <c r="A882" t="s">
        <v>4</v>
      </c>
      <c r="B882" s="163">
        <v>0</v>
      </c>
      <c r="C882" t="s">
        <v>383</v>
      </c>
      <c r="D882" s="164">
        <v>0</v>
      </c>
      <c r="E882" s="165">
        <f t="shared" si="14"/>
        <v>0</v>
      </c>
    </row>
    <row r="883" spans="1:5">
      <c r="A883" t="s">
        <v>67</v>
      </c>
      <c r="B883" s="163">
        <v>0</v>
      </c>
      <c r="C883" t="s">
        <v>383</v>
      </c>
      <c r="D883" s="164">
        <v>0</v>
      </c>
      <c r="E883" s="165">
        <f t="shared" si="14"/>
        <v>0</v>
      </c>
    </row>
    <row r="884" spans="1:5">
      <c r="A884" t="s">
        <v>68</v>
      </c>
      <c r="B884" s="163">
        <v>0</v>
      </c>
      <c r="C884" t="s">
        <v>383</v>
      </c>
      <c r="D884" s="164">
        <v>0</v>
      </c>
      <c r="E884" s="165">
        <f t="shared" si="14"/>
        <v>0</v>
      </c>
    </row>
    <row r="885" spans="1:5">
      <c r="A885" t="s">
        <v>70</v>
      </c>
      <c r="B885" s="163">
        <v>0</v>
      </c>
      <c r="C885" t="s">
        <v>383</v>
      </c>
      <c r="D885" s="164">
        <v>0</v>
      </c>
      <c r="E885" s="165">
        <f t="shared" si="14"/>
        <v>0</v>
      </c>
    </row>
    <row r="886" spans="1:5">
      <c r="A886" t="s">
        <v>380</v>
      </c>
      <c r="B886" s="163">
        <v>0</v>
      </c>
      <c r="C886" t="s">
        <v>383</v>
      </c>
      <c r="D886" s="164">
        <v>0</v>
      </c>
      <c r="E886" s="165">
        <f t="shared" si="14"/>
        <v>0</v>
      </c>
    </row>
    <row r="887" spans="1:5">
      <c r="A887" t="s">
        <v>16</v>
      </c>
      <c r="B887" s="163">
        <v>0</v>
      </c>
      <c r="C887" t="s">
        <v>383</v>
      </c>
      <c r="D887" s="164">
        <v>0</v>
      </c>
      <c r="E887" s="165">
        <f t="shared" si="14"/>
        <v>0</v>
      </c>
    </row>
    <row r="888" spans="1:5">
      <c r="A888" t="s">
        <v>17</v>
      </c>
      <c r="B888" s="163">
        <v>0</v>
      </c>
      <c r="C888" t="s">
        <v>383</v>
      </c>
      <c r="D888" s="164">
        <v>0</v>
      </c>
      <c r="E888" s="165">
        <f t="shared" si="14"/>
        <v>0</v>
      </c>
    </row>
    <row r="889" spans="1:5">
      <c r="A889" t="s">
        <v>333</v>
      </c>
      <c r="B889" s="163">
        <v>0</v>
      </c>
      <c r="C889" t="s">
        <v>383</v>
      </c>
      <c r="D889" s="164">
        <v>0</v>
      </c>
      <c r="E889" s="165">
        <f t="shared" si="14"/>
        <v>0</v>
      </c>
    </row>
    <row r="890" spans="1:5">
      <c r="A890" t="s">
        <v>291</v>
      </c>
      <c r="B890" s="163">
        <v>0</v>
      </c>
      <c r="C890" t="s">
        <v>383</v>
      </c>
      <c r="D890" s="164">
        <v>0</v>
      </c>
      <c r="E890" s="165">
        <f t="shared" si="14"/>
        <v>0</v>
      </c>
    </row>
    <row r="891" spans="1:5">
      <c r="A891" t="s">
        <v>292</v>
      </c>
      <c r="B891" s="163">
        <v>0</v>
      </c>
      <c r="C891" t="s">
        <v>383</v>
      </c>
      <c r="D891" s="164">
        <v>0</v>
      </c>
      <c r="E891" s="165">
        <f t="shared" si="14"/>
        <v>0</v>
      </c>
    </row>
    <row r="892" spans="1:5">
      <c r="A892" t="s">
        <v>293</v>
      </c>
      <c r="B892" s="163">
        <v>0</v>
      </c>
      <c r="C892" t="s">
        <v>383</v>
      </c>
      <c r="D892" s="164">
        <v>0</v>
      </c>
      <c r="E892" s="165">
        <f t="shared" si="14"/>
        <v>0</v>
      </c>
    </row>
    <row r="893" spans="1:5">
      <c r="A893" t="s">
        <v>193</v>
      </c>
      <c r="B893" s="163">
        <v>0</v>
      </c>
      <c r="C893" t="s">
        <v>383</v>
      </c>
      <c r="D893" s="164">
        <v>0</v>
      </c>
      <c r="E893" s="165">
        <f t="shared" si="14"/>
        <v>0</v>
      </c>
    </row>
    <row r="894" spans="1:5">
      <c r="A894" t="s">
        <v>294</v>
      </c>
      <c r="B894" s="163">
        <v>0</v>
      </c>
      <c r="C894" t="s">
        <v>383</v>
      </c>
      <c r="D894" s="164">
        <v>0</v>
      </c>
      <c r="E894" s="165">
        <f t="shared" si="14"/>
        <v>0</v>
      </c>
    </row>
    <row r="895" spans="1:5">
      <c r="A895" t="s">
        <v>2</v>
      </c>
      <c r="B895" s="163">
        <v>0</v>
      </c>
      <c r="C895" t="s">
        <v>383</v>
      </c>
      <c r="D895" s="164">
        <v>0</v>
      </c>
      <c r="E895" s="165">
        <f t="shared" si="14"/>
        <v>0</v>
      </c>
    </row>
    <row r="896" spans="1:5">
      <c r="A896" t="s">
        <v>22</v>
      </c>
      <c r="B896" s="163">
        <v>0</v>
      </c>
      <c r="C896" t="s">
        <v>383</v>
      </c>
      <c r="D896" s="164">
        <v>0</v>
      </c>
      <c r="E896" s="165">
        <f t="shared" si="14"/>
        <v>0</v>
      </c>
    </row>
    <row r="897" spans="1:5">
      <c r="A897" t="s">
        <v>21</v>
      </c>
      <c r="B897" s="163">
        <v>0</v>
      </c>
      <c r="C897" t="s">
        <v>383</v>
      </c>
      <c r="D897" s="164">
        <v>0</v>
      </c>
      <c r="E897" s="165">
        <f t="shared" si="14"/>
        <v>0</v>
      </c>
    </row>
    <row r="898" spans="1:5">
      <c r="A898" t="s">
        <v>8</v>
      </c>
      <c r="B898" s="163">
        <v>0</v>
      </c>
      <c r="C898" t="s">
        <v>383</v>
      </c>
      <c r="D898" s="164">
        <v>0</v>
      </c>
      <c r="E898" s="165">
        <f t="shared" si="14"/>
        <v>0</v>
      </c>
    </row>
    <row r="899" spans="1:5">
      <c r="A899" t="s">
        <v>9</v>
      </c>
      <c r="B899" s="163">
        <v>0</v>
      </c>
      <c r="C899" t="s">
        <v>383</v>
      </c>
      <c r="D899" s="164">
        <v>0</v>
      </c>
      <c r="E899" s="165">
        <f t="shared" si="14"/>
        <v>0</v>
      </c>
    </row>
    <row r="900" spans="1:5">
      <c r="A900" t="s">
        <v>335</v>
      </c>
      <c r="B900" s="163">
        <v>0</v>
      </c>
      <c r="C900" t="s">
        <v>383</v>
      </c>
      <c r="D900" s="164">
        <v>0</v>
      </c>
      <c r="E900" s="165">
        <f t="shared" si="14"/>
        <v>0</v>
      </c>
    </row>
    <row r="901" spans="1:5">
      <c r="A901" t="s">
        <v>336</v>
      </c>
      <c r="B901" s="163">
        <v>0</v>
      </c>
      <c r="C901" t="s">
        <v>383</v>
      </c>
      <c r="D901" s="164">
        <v>0</v>
      </c>
      <c r="E901" s="165">
        <f t="shared" si="14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0B9589-824A-41E2-8F92-66F508DD33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ALQUILER</vt:lpstr>
      <vt:lpstr>VENTA</vt:lpstr>
      <vt:lpstr>VALORES</vt:lpstr>
      <vt:lpstr>MATRIZ</vt:lpstr>
      <vt:lpstr>INDUSTRIAL</vt:lpstr>
      <vt:lpstr>CABAÑERO</vt:lpstr>
      <vt:lpstr>MICASITA</vt:lpstr>
      <vt:lpstr>ABERTURAS</vt:lpstr>
      <vt:lpstr>MOBILIARIO</vt:lpstr>
      <vt:lpstr>COMPONENTES</vt:lpstr>
      <vt:lpstr>CONFIGURACION MODULOS </vt:lpstr>
      <vt:lpstr>ALQUILER!Área_de_impresión</vt:lpstr>
      <vt:lpstr>VENTA!Área_de_impresión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Meza</dc:creator>
  <cp:lastModifiedBy>Mariano Aliandri</cp:lastModifiedBy>
  <cp:lastPrinted>2026-05-19T16:31:07Z</cp:lastPrinted>
  <dcterms:created xsi:type="dcterms:W3CDTF">2023-05-03T00:28:24Z</dcterms:created>
  <dcterms:modified xsi:type="dcterms:W3CDTF">2026-05-26T13:50:46Z</dcterms:modified>
</cp:coreProperties>
</file>